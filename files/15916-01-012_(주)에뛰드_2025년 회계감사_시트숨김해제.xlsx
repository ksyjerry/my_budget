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hpark181\Downloads\"/>
    </mc:Choice>
  </mc:AlternateContent>
  <xr:revisionPtr revIDLastSave="0" documentId="13_ncr:1_{7F3DC0EA-15A1-431F-8B0D-324A219AD652}" xr6:coauthVersionLast="47" xr6:coauthVersionMax="47" xr10:uidLastSave="{00000000-0000-0000-0000-000000000000}"/>
  <bookViews>
    <workbookView xWindow="-120" yWindow="-120" windowWidth="29040" windowHeight="17520" tabRatio="801" activeTab="3" xr2:uid="{FFE7A5D3-F374-4DA1-8AA2-BDA651ADA819}"/>
  </bookViews>
  <sheets>
    <sheet name="A_작성 Instruction" sheetId="2" r:id="rId1"/>
    <sheet name="B_ET 기본정보" sheetId="3" r:id="rId2"/>
    <sheet name="C_ET 구성원 정보" sheetId="4" r:id="rId3"/>
    <sheet name="D_2606 budget template" sheetId="5" r:id="rId4"/>
    <sheet name="F_표준감사시간" sheetId="6" r:id="rId5"/>
    <sheet name="E_예산관리단위" sheetId="7" r:id="rId6"/>
    <sheet name="DB_rVal" sheetId="8" state="hidden" r:id="rId7"/>
    <sheet name="DB_cList" sheetId="9" r:id="rId8"/>
    <sheet name="DB_tStat" sheetId="10" r:id="rId9"/>
    <sheet name="DB_tMap" sheetId="11" r:id="rId10"/>
  </sheets>
  <definedNames>
    <definedName name="_xlnm._FilterDatabase" localSheetId="3">'D_2606 budget template'!$B$22:$V$114</definedName>
    <definedName name="_xlnm._FilterDatabase" localSheetId="5" hidden="1">E_예산관리단위!$B$2:$J$311</definedName>
    <definedName name="List_FS_IT감사RA">DB_cList!$J$118</definedName>
    <definedName name="List_FS_KICS">DB_cList!$J$116:$J$117</definedName>
    <definedName name="List_FS_계획단계">DB_cList!$J$4:$J$5</definedName>
    <definedName name="List_FS_내부통제">DB_cList!$J$76:$J$115</definedName>
    <definedName name="List_FS_대분류">DB_cList!$G$3:$G$13</definedName>
    <definedName name="List_FS_부채및자본">DB_cList!$J$36:$J$52</definedName>
    <definedName name="List_FS_분반기검토">DB_cList!$J$3</definedName>
    <definedName name="List_FS_수익비용">DB_cList!$J$53:$J$64</definedName>
    <definedName name="List_FS_연결">DB_cList!$J$72:$J$75</definedName>
    <definedName name="List_FS_자산">DB_cList!$J$9:$J$35</definedName>
    <definedName name="List_FS_재무제표수준위험">DB_cList!$J$6:$J$8</definedName>
    <definedName name="List_FS_종결단계">DB_cList!$J$65:$J$71</definedName>
    <definedName name="List_IT감사RA">DB_cList!$E$87</definedName>
    <definedName name="List_Members">Tbl_Members[이름]</definedName>
    <definedName name="List_계획단계">DB_cList!$E$4:$E$5</definedName>
    <definedName name="List_내부통제">DB_cList!$E$63:$E$86</definedName>
    <definedName name="List_대분류">DB_cList!$B$3:$B$12</definedName>
    <definedName name="List_부채및자본">DB_cList!$E$29:$E$42</definedName>
    <definedName name="List_분반기검토">DB_cList!$E$3</definedName>
    <definedName name="List_수익비용">DB_cList!$E$43:$E$53</definedName>
    <definedName name="List_업무개시연월">DB_cList!$L$3:$L$19</definedName>
    <definedName name="List_연결">DB_cList!$E$59:$E$62</definedName>
    <definedName name="List_자산">DB_cList!$E$9:$E$28</definedName>
    <definedName name="List_재무제표수준위험">DB_cList!$E$6:$E$8</definedName>
    <definedName name="List_종결단계">DB_cList!$E$54:$E$58</definedName>
    <definedName name="Range_1_01" hidden="1">'B_ET 기본정보'!$C$5</definedName>
    <definedName name="Range_1_02" hidden="1">'B_ET 기본정보'!$C$6</definedName>
    <definedName name="Range_1_03" hidden="1">'B_ET 기본정보'!$C$7</definedName>
    <definedName name="Range_1_04" hidden="1">'B_ET 기본정보'!$C$8</definedName>
    <definedName name="Range_1_05" hidden="1">'B_ET 기본정보'!$C$9</definedName>
    <definedName name="Range_1_06" hidden="1">'B_ET 기본정보'!$C$10</definedName>
    <definedName name="Range_1_07" hidden="1">'B_ET 기본정보'!$C$11</definedName>
    <definedName name="Range_1_08" hidden="1">'B_ET 기본정보'!$C$12</definedName>
    <definedName name="Range_1_09" hidden="1">'B_ET 기본정보'!$C$13</definedName>
    <definedName name="Range_1_10" hidden="1">'B_ET 기본정보'!$C$14</definedName>
    <definedName name="Range_1_11" hidden="1">'B_ET 기본정보'!$C$15</definedName>
    <definedName name="Range_2_01" hidden="1">'B_ET 기본정보'!$C$20</definedName>
    <definedName name="Range_2_02" hidden="1">'B_ET 기본정보'!$C$21</definedName>
    <definedName name="Range_2_03" hidden="1">'B_ET 기본정보'!$C$22</definedName>
    <definedName name="Range_2_04" hidden="1">'B_ET 기본정보'!$C$23</definedName>
    <definedName name="Range_2_05" hidden="1">'B_ET 기본정보'!$C$24</definedName>
    <definedName name="Range_3_01" hidden="1">'B_ET 기본정보'!$C$29</definedName>
    <definedName name="Range_3_02" hidden="1">'B_ET 기본정보'!$C$30</definedName>
    <definedName name="Range_3_03" hidden="1">'B_ET 기본정보'!$C$31</definedName>
    <definedName name="Range_3_04" hidden="1">'B_ET 기본정보'!$C$32</definedName>
    <definedName name="Range_3_05" hidden="1">'B_ET 기본정보'!$C$33</definedName>
    <definedName name="Range_5_01" hidden="1">'D_2606 budget template'!$C$3</definedName>
    <definedName name="Range_5_02" hidden="1">'D_2606 budget template'!$C$4</definedName>
    <definedName name="Range_5_03" hidden="1">'D_2606 budget template'!$C$5</definedName>
    <definedName name="Range_5_04" hidden="1">'D_2606 budget template'!$C$6</definedName>
    <definedName name="Range_5_05" hidden="1">'D_2606 budget template'!$C$7</definedName>
    <definedName name="Range_5_06" hidden="1">'D_2606 budget template'!$C$8</definedName>
    <definedName name="Range_5_07" hidden="1">'D_2606 budget template'!$C$9</definedName>
    <definedName name="Range_5_08" hidden="1">'D_2606 budget template'!$C$10</definedName>
    <definedName name="Range_5_09" hidden="1">'D_2606 budget template'!$C$11</definedName>
    <definedName name="Range_5_10" hidden="1">'D_2606 budget template'!$C$12</definedName>
    <definedName name="Range_5_11" hidden="1">'D_2606 budget template'!$C$13</definedName>
    <definedName name="Range_5_12" hidden="1">'D_2606 budget template'!$C$14</definedName>
    <definedName name="Range_5_13" hidden="1">'D_2606 budget template'!$C$15</definedName>
    <definedName name="Range_5_14" hidden="1">'D_2606 budget template'!$C$16</definedName>
    <definedName name="Range_5_15" hidden="1">'D_2606 budget template'!$C$17</definedName>
    <definedName name="Range_5_16" hidden="1">'D_2606 budget template'!$C$18</definedName>
    <definedName name="Range_5_17" hidden="1">'D_2606 budget template'!$C$19</definedName>
    <definedName name="Range_Header_01" hidden="1">'D_2606 budget template'!$K$21</definedName>
    <definedName name="Range_Header_02" hidden="1">'D_2606 budget template'!$L$21</definedName>
    <definedName name="Range_Header_03" hidden="1">'D_2606 budget template'!$M$21</definedName>
    <definedName name="Range_Header_04" hidden="1">'D_2606 budget template'!$N$21</definedName>
    <definedName name="Range_Header_05" hidden="1">'D_2606 budget template'!$O$21</definedName>
    <definedName name="Range_Header_06" hidden="1">'D_2606 budget template'!$P$21</definedName>
    <definedName name="Range_Header_07" hidden="1">'D_2606 budget template'!$Q$21</definedName>
    <definedName name="Range_Header_08" hidden="1">'D_2606 budget template'!$R$21</definedName>
    <definedName name="Range_Header_09" hidden="1">'D_2606 budget template'!$S$21</definedName>
    <definedName name="Range_Header_10" hidden="1">'D_2606 budget template'!$T$21</definedName>
    <definedName name="Range_Header_11" hidden="1">'D_2606 budget template'!$U$21</definedName>
    <definedName name="Range_Header_12" hidden="1">'D_2606 budget template'!$V$21</definedName>
    <definedName name="Range_Header_1to12">'D_2606 budget template'!$K$21:$V$21</definedName>
    <definedName name="Range_Members">'C_ET 구성원 정보'!$B$7:$I$30</definedName>
    <definedName name="Range_TblBudgetAll">'D_2606 budget template'!$B$21:$X$114</definedName>
    <definedName name="Range_Template상단">'D_2606 budget template'!$B$3:$C$19</definedName>
    <definedName name="Range_기본정보1">'B_ET 기본정보'!$B$4:$D$15</definedName>
    <definedName name="Range_기본정보2">'B_ET 기본정보'!$B$19:$E$24</definedName>
    <definedName name="Range_기본정보3">'B_ET 기본정보'!$B$28:$D$33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5" l="1" a="1"/>
  <c r="F20" i="5" s="1"/>
  <c r="G31" i="4"/>
  <c r="W66" i="5"/>
  <c r="W30" i="5" l="1"/>
  <c r="I30" i="5"/>
  <c r="W25" i="5"/>
  <c r="I25" i="5"/>
  <c r="W26" i="5"/>
  <c r="I26" i="5"/>
  <c r="A1" i="6" l="1"/>
  <c r="B1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5" i="6"/>
  <c r="B5" i="6"/>
  <c r="G5" i="6"/>
  <c r="W5" i="6"/>
  <c r="K5" i="6" s="1"/>
  <c r="J5" i="6" s="1"/>
  <c r="A6" i="6"/>
  <c r="B6" i="6"/>
  <c r="G6" i="6"/>
  <c r="A7" i="6"/>
  <c r="B7" i="6"/>
  <c r="K7" i="6"/>
  <c r="J7" i="6" s="1"/>
  <c r="W7" i="6"/>
  <c r="A8" i="6"/>
  <c r="B8" i="6"/>
  <c r="K8" i="6"/>
  <c r="J8" i="6" s="1"/>
  <c r="W8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D16" i="6" a="1"/>
  <c r="D16" i="6" s="1"/>
  <c r="G16" i="6" a="1"/>
  <c r="G16" i="6" s="1"/>
  <c r="J20" i="6"/>
  <c r="K20" i="6"/>
  <c r="J21" i="6"/>
  <c r="K21" i="6"/>
  <c r="K22" i="6"/>
  <c r="J22" i="6" s="1"/>
  <c r="K23" i="6"/>
  <c r="J23" i="6" s="1"/>
  <c r="K24" i="6"/>
  <c r="J24" i="6" s="1"/>
  <c r="K25" i="6"/>
  <c r="J25" i="6" s="1"/>
  <c r="J26" i="6"/>
  <c r="K26" i="6"/>
  <c r="J27" i="6"/>
  <c r="K27" i="6"/>
  <c r="K28" i="6"/>
  <c r="J28" i="6" s="1"/>
  <c r="K29" i="6"/>
  <c r="J29" i="6" s="1"/>
  <c r="K30" i="6"/>
  <c r="J30" i="6" s="1"/>
  <c r="K31" i="6"/>
  <c r="J31" i="6" s="1"/>
  <c r="K32" i="6"/>
  <c r="J32" i="6" s="1"/>
  <c r="J33" i="6"/>
  <c r="K33" i="6"/>
  <c r="K34" i="6"/>
  <c r="J34" i="6" s="1"/>
  <c r="K35" i="6"/>
  <c r="J35" i="6" s="1"/>
  <c r="K36" i="6"/>
  <c r="J36" i="6" s="1"/>
  <c r="J37" i="6"/>
  <c r="K37" i="6"/>
  <c r="J38" i="6"/>
  <c r="K38" i="6"/>
  <c r="J39" i="6"/>
  <c r="K39" i="6"/>
  <c r="K40" i="6"/>
  <c r="J40" i="6" s="1"/>
  <c r="K41" i="6"/>
  <c r="J41" i="6" s="1"/>
  <c r="K42" i="6"/>
  <c r="J42" i="6" s="1"/>
  <c r="J43" i="6"/>
  <c r="K43" i="6"/>
  <c r="K44" i="6"/>
  <c r="J44" i="6" s="1"/>
  <c r="J45" i="6"/>
  <c r="K45" i="6"/>
  <c r="K46" i="6"/>
  <c r="J46" i="6" s="1"/>
  <c r="K47" i="6"/>
  <c r="J47" i="6" s="1"/>
  <c r="K48" i="6"/>
  <c r="J48" i="6" s="1"/>
  <c r="K49" i="6"/>
  <c r="J49" i="6" s="1"/>
  <c r="K50" i="6"/>
  <c r="J50" i="6" s="1"/>
  <c r="J51" i="6"/>
  <c r="K51" i="6"/>
  <c r="K52" i="6"/>
  <c r="J52" i="6" s="1"/>
  <c r="K53" i="6"/>
  <c r="J53" i="6" s="1"/>
  <c r="K54" i="6"/>
  <c r="J54" i="6" s="1"/>
  <c r="K55" i="6"/>
  <c r="J55" i="6" s="1"/>
  <c r="K56" i="6"/>
  <c r="J56" i="6" s="1"/>
  <c r="J57" i="6"/>
  <c r="K57" i="6"/>
  <c r="K58" i="6"/>
  <c r="J58" i="6" s="1"/>
  <c r="K59" i="6"/>
  <c r="J59" i="6" s="1"/>
  <c r="K60" i="6"/>
  <c r="J60" i="6" s="1"/>
  <c r="J61" i="6"/>
  <c r="K61" i="6"/>
  <c r="J62" i="6"/>
  <c r="K62" i="6"/>
  <c r="J63" i="6"/>
  <c r="K63" i="6"/>
  <c r="K64" i="6"/>
  <c r="J64" i="6" s="1"/>
  <c r="K65" i="6"/>
  <c r="J65" i="6" s="1"/>
  <c r="K66" i="6"/>
  <c r="J66" i="6" s="1"/>
  <c r="K67" i="6"/>
  <c r="J67" i="6" s="1"/>
  <c r="J68" i="6"/>
  <c r="K68" i="6"/>
  <c r="J69" i="6"/>
  <c r="K69" i="6"/>
  <c r="K70" i="6"/>
  <c r="J70" i="6" s="1"/>
  <c r="K71" i="6"/>
  <c r="J71" i="6" s="1"/>
  <c r="K72" i="6"/>
  <c r="J72" i="6" s="1"/>
  <c r="K73" i="6"/>
  <c r="J73" i="6" s="1"/>
  <c r="K74" i="6"/>
  <c r="J74" i="6" s="1"/>
  <c r="J75" i="6"/>
  <c r="K75" i="6"/>
  <c r="K76" i="6"/>
  <c r="J76" i="6" s="1"/>
  <c r="K77" i="6"/>
  <c r="J77" i="6" s="1"/>
  <c r="K78" i="6"/>
  <c r="J78" i="6" s="1"/>
  <c r="K79" i="6"/>
  <c r="J79" i="6" s="1"/>
  <c r="K80" i="6"/>
  <c r="J80" i="6" s="1"/>
  <c r="J81" i="6"/>
  <c r="K81" i="6"/>
  <c r="K82" i="6"/>
  <c r="J82" i="6" s="1"/>
  <c r="K83" i="6"/>
  <c r="J83" i="6" s="1"/>
  <c r="K84" i="6"/>
  <c r="J84" i="6" s="1"/>
  <c r="K85" i="6"/>
  <c r="J85" i="6" s="1"/>
  <c r="J86" i="6"/>
  <c r="K86" i="6"/>
  <c r="J87" i="6"/>
  <c r="K87" i="6"/>
  <c r="K88" i="6"/>
  <c r="J88" i="6" s="1"/>
  <c r="K89" i="6"/>
  <c r="J89" i="6" s="1"/>
  <c r="K90" i="6"/>
  <c r="J90" i="6" s="1"/>
  <c r="K91" i="6"/>
  <c r="J91" i="6" s="1"/>
  <c r="K92" i="6"/>
  <c r="J92" i="6" s="1"/>
  <c r="J93" i="6"/>
  <c r="K93" i="6"/>
  <c r="K94" i="6"/>
  <c r="J94" i="6" s="1"/>
  <c r="K95" i="6"/>
  <c r="J95" i="6" s="1"/>
  <c r="K96" i="6"/>
  <c r="J96" i="6" s="1"/>
  <c r="K97" i="6"/>
  <c r="J97" i="6" s="1"/>
  <c r="J98" i="6"/>
  <c r="K98" i="6"/>
  <c r="J99" i="6"/>
  <c r="K99" i="6"/>
  <c r="K100" i="6"/>
  <c r="J100" i="6" s="1"/>
  <c r="K101" i="6"/>
  <c r="J101" i="6" s="1"/>
  <c r="K102" i="6"/>
  <c r="J102" i="6" s="1"/>
  <c r="K103" i="6"/>
  <c r="J103" i="6" s="1"/>
  <c r="K104" i="6"/>
  <c r="J104" i="6" s="1"/>
  <c r="J105" i="6"/>
  <c r="K105" i="6"/>
  <c r="K106" i="6"/>
  <c r="J106" i="6" s="1"/>
  <c r="K107" i="6"/>
  <c r="J107" i="6" s="1"/>
  <c r="K108" i="6"/>
  <c r="J108" i="6" s="1"/>
  <c r="K109" i="6"/>
  <c r="J109" i="6" s="1"/>
  <c r="J110" i="6"/>
  <c r="K110" i="6"/>
  <c r="J111" i="6"/>
  <c r="K111" i="6"/>
  <c r="K112" i="6"/>
  <c r="J112" i="6" s="1"/>
  <c r="K113" i="6"/>
  <c r="J113" i="6" s="1"/>
  <c r="K114" i="6"/>
  <c r="J114" i="6" s="1"/>
  <c r="J115" i="6"/>
  <c r="K115" i="6"/>
  <c r="J116" i="6"/>
  <c r="K116" i="6"/>
  <c r="J117" i="6"/>
  <c r="K117" i="6"/>
  <c r="K118" i="6"/>
  <c r="J118" i="6" s="1"/>
  <c r="K119" i="6"/>
  <c r="J119" i="6" s="1"/>
  <c r="K120" i="6"/>
  <c r="J120" i="6" s="1"/>
  <c r="K121" i="6"/>
  <c r="J121" i="6" s="1"/>
  <c r="J122" i="6"/>
  <c r="K122" i="6"/>
  <c r="J123" i="6"/>
  <c r="K123" i="6"/>
  <c r="K124" i="6"/>
  <c r="J124" i="6" s="1"/>
  <c r="K125" i="6"/>
  <c r="J125" i="6" s="1"/>
  <c r="K126" i="6"/>
  <c r="J126" i="6" s="1"/>
  <c r="K127" i="6"/>
  <c r="J127" i="6" s="1"/>
  <c r="K128" i="6"/>
  <c r="J128" i="6" s="1"/>
  <c r="J129" i="6"/>
  <c r="K129" i="6"/>
  <c r="K130" i="6"/>
  <c r="J130" i="6" s="1"/>
  <c r="K131" i="6"/>
  <c r="J131" i="6" s="1"/>
  <c r="K132" i="6"/>
  <c r="J132" i="6" s="1"/>
  <c r="J133" i="6"/>
  <c r="K133" i="6"/>
  <c r="J134" i="6"/>
  <c r="K134" i="6"/>
  <c r="J135" i="6"/>
  <c r="K135" i="6"/>
  <c r="K136" i="6"/>
  <c r="J136" i="6" s="1"/>
  <c r="K137" i="6"/>
  <c r="J137" i="6" s="1"/>
  <c r="K138" i="6"/>
  <c r="J138" i="6" s="1"/>
  <c r="J139" i="6"/>
  <c r="K139" i="6"/>
  <c r="K140" i="6"/>
  <c r="J140" i="6" s="1"/>
  <c r="J141" i="6"/>
  <c r="K141" i="6"/>
  <c r="K142" i="6"/>
  <c r="J142" i="6" s="1"/>
  <c r="K143" i="6"/>
  <c r="J143" i="6" s="1"/>
  <c r="K144" i="6"/>
  <c r="J144" i="6" s="1"/>
  <c r="K145" i="6"/>
  <c r="J145" i="6" s="1"/>
  <c r="K146" i="6"/>
  <c r="J146" i="6" s="1"/>
  <c r="J147" i="6"/>
  <c r="K147" i="6"/>
  <c r="K148" i="6"/>
  <c r="J148" i="6" s="1"/>
  <c r="K149" i="6"/>
  <c r="J149" i="6" s="1"/>
  <c r="K150" i="6"/>
  <c r="J150" i="6" s="1"/>
  <c r="K151" i="6"/>
  <c r="J151" i="6" s="1"/>
  <c r="K152" i="6"/>
  <c r="J152" i="6" s="1"/>
  <c r="J153" i="6"/>
  <c r="K153" i="6"/>
  <c r="K154" i="6"/>
  <c r="J154" i="6" s="1"/>
  <c r="K155" i="6"/>
  <c r="J155" i="6" s="1"/>
  <c r="K156" i="6"/>
  <c r="J156" i="6" s="1"/>
  <c r="J157" i="6"/>
  <c r="K157" i="6"/>
  <c r="J158" i="6"/>
  <c r="K158" i="6"/>
  <c r="J159" i="6"/>
  <c r="K159" i="6"/>
  <c r="K160" i="6"/>
  <c r="J160" i="6" s="1"/>
  <c r="K161" i="6"/>
  <c r="J161" i="6" s="1"/>
  <c r="K162" i="6"/>
  <c r="J162" i="6" s="1"/>
  <c r="K163" i="6"/>
  <c r="J163" i="6" s="1"/>
  <c r="J164" i="6"/>
  <c r="K164" i="6"/>
  <c r="J165" i="6"/>
  <c r="K165" i="6"/>
  <c r="K166" i="6"/>
  <c r="J166" i="6" s="1"/>
  <c r="K167" i="6"/>
  <c r="J167" i="6" s="1"/>
  <c r="K168" i="6"/>
  <c r="J168" i="6" s="1"/>
  <c r="K169" i="6"/>
  <c r="J169" i="6" s="1"/>
  <c r="K170" i="6"/>
  <c r="J170" i="6" s="1"/>
  <c r="J171" i="6"/>
  <c r="K171" i="6"/>
  <c r="K172" i="6"/>
  <c r="J172" i="6" s="1"/>
  <c r="K173" i="6"/>
  <c r="J173" i="6" s="1"/>
  <c r="K174" i="6"/>
  <c r="J174" i="6" s="1"/>
  <c r="K175" i="6"/>
  <c r="J175" i="6" s="1"/>
  <c r="K176" i="6"/>
  <c r="J176" i="6" s="1"/>
  <c r="J177" i="6"/>
  <c r="K177" i="6"/>
  <c r="K178" i="6"/>
  <c r="J178" i="6" s="1"/>
  <c r="K179" i="6"/>
  <c r="J179" i="6" s="1"/>
  <c r="K180" i="6"/>
  <c r="J180" i="6" s="1"/>
  <c r="K181" i="6"/>
  <c r="J181" i="6" s="1"/>
  <c r="J182" i="6"/>
  <c r="K182" i="6"/>
  <c r="J183" i="6"/>
  <c r="K183" i="6"/>
  <c r="K184" i="6"/>
  <c r="J184" i="6" s="1"/>
  <c r="K185" i="6"/>
  <c r="J185" i="6" s="1"/>
  <c r="K186" i="6"/>
  <c r="J186" i="6" s="1"/>
  <c r="K187" i="6"/>
  <c r="J187" i="6" s="1"/>
  <c r="K188" i="6"/>
  <c r="J188" i="6" s="1"/>
  <c r="J189" i="6"/>
  <c r="K189" i="6"/>
  <c r="K190" i="6"/>
  <c r="J190" i="6" s="1"/>
  <c r="K191" i="6"/>
  <c r="J191" i="6" s="1"/>
  <c r="K192" i="6"/>
  <c r="J192" i="6" s="1"/>
  <c r="K193" i="6"/>
  <c r="J193" i="6" s="1"/>
  <c r="J194" i="6"/>
  <c r="K194" i="6"/>
  <c r="J195" i="6"/>
  <c r="K195" i="6"/>
  <c r="K196" i="6"/>
  <c r="J196" i="6" s="1"/>
  <c r="K197" i="6"/>
  <c r="J197" i="6" s="1"/>
  <c r="K198" i="6"/>
  <c r="J198" i="6" s="1"/>
  <c r="K199" i="6"/>
  <c r="J199" i="6" s="1"/>
  <c r="K200" i="6"/>
  <c r="J200" i="6" s="1"/>
  <c r="J201" i="6"/>
  <c r="K201" i="6"/>
  <c r="K202" i="6"/>
  <c r="J202" i="6" s="1"/>
  <c r="K203" i="6"/>
  <c r="J203" i="6" s="1"/>
  <c r="K204" i="6"/>
  <c r="J204" i="6" s="1"/>
  <c r="K205" i="6"/>
  <c r="J205" i="6" s="1"/>
  <c r="J206" i="6"/>
  <c r="K206" i="6"/>
  <c r="J207" i="6"/>
  <c r="K207" i="6"/>
  <c r="K208" i="6"/>
  <c r="J208" i="6" s="1"/>
  <c r="K209" i="6"/>
  <c r="J209" i="6" s="1"/>
  <c r="K210" i="6"/>
  <c r="J210" i="6" s="1"/>
  <c r="K211" i="6"/>
  <c r="J211" i="6" s="1"/>
  <c r="J212" i="6"/>
  <c r="K212" i="6"/>
  <c r="K213" i="6"/>
  <c r="J213" i="6" s="1"/>
  <c r="K214" i="6"/>
  <c r="J214" i="6" s="1"/>
  <c r="K215" i="6"/>
  <c r="J215" i="6" s="1"/>
  <c r="K216" i="6"/>
  <c r="J216" i="6" s="1"/>
  <c r="K217" i="6"/>
  <c r="J217" i="6" s="1"/>
  <c r="J218" i="6"/>
  <c r="K218" i="6"/>
  <c r="K219" i="6"/>
  <c r="J219" i="6" s="1"/>
  <c r="K220" i="6"/>
  <c r="J220" i="6" s="1"/>
  <c r="K221" i="6"/>
  <c r="J221" i="6" s="1"/>
  <c r="K222" i="6"/>
  <c r="J222" i="6" s="1"/>
  <c r="K223" i="6"/>
  <c r="J223" i="6" s="1"/>
  <c r="K224" i="6"/>
  <c r="J224" i="6" s="1"/>
  <c r="K225" i="6"/>
  <c r="J225" i="6" s="1"/>
  <c r="K226" i="6"/>
  <c r="J226" i="6" s="1"/>
  <c r="K227" i="6"/>
  <c r="J227" i="6" s="1"/>
  <c r="K228" i="6"/>
  <c r="J228" i="6" s="1"/>
  <c r="K229" i="6"/>
  <c r="J229" i="6" s="1"/>
  <c r="J230" i="6"/>
  <c r="K230" i="6"/>
  <c r="K231" i="6"/>
  <c r="J231" i="6" s="1"/>
  <c r="K232" i="6"/>
  <c r="J232" i="6" s="1"/>
  <c r="K233" i="6"/>
  <c r="J233" i="6" s="1"/>
  <c r="K234" i="6"/>
  <c r="J234" i="6" s="1"/>
  <c r="K235" i="6"/>
  <c r="J235" i="6" s="1"/>
  <c r="J236" i="6"/>
  <c r="K236" i="6"/>
  <c r="K237" i="6"/>
  <c r="J237" i="6" s="1"/>
  <c r="K238" i="6"/>
  <c r="J238" i="6" s="1"/>
  <c r="K239" i="6"/>
  <c r="J239" i="6" s="1"/>
  <c r="K240" i="6"/>
  <c r="J240" i="6" s="1"/>
  <c r="K241" i="6"/>
  <c r="J241" i="6" s="1"/>
  <c r="K242" i="6"/>
  <c r="J242" i="6" s="1"/>
  <c r="K243" i="6"/>
  <c r="J243" i="6" s="1"/>
  <c r="J244" i="6"/>
  <c r="K244" i="6"/>
  <c r="K245" i="6"/>
  <c r="J245" i="6" s="1"/>
  <c r="K246" i="6"/>
  <c r="J246" i="6" s="1"/>
  <c r="K247" i="6"/>
  <c r="J247" i="6" s="1"/>
  <c r="K248" i="6"/>
  <c r="J248" i="6" s="1"/>
  <c r="K249" i="6"/>
  <c r="J249" i="6" s="1"/>
  <c r="K250" i="6"/>
  <c r="J250" i="6" s="1"/>
  <c r="K251" i="6"/>
  <c r="J251" i="6" s="1"/>
  <c r="K252" i="6"/>
  <c r="J252" i="6" s="1"/>
  <c r="J253" i="6"/>
  <c r="K253" i="6"/>
  <c r="K254" i="6"/>
  <c r="J254" i="6" s="1"/>
  <c r="K255" i="6"/>
  <c r="J255" i="6" s="1"/>
  <c r="J256" i="6"/>
  <c r="K256" i="6"/>
  <c r="K257" i="6"/>
  <c r="J257" i="6" s="1"/>
  <c r="K258" i="6"/>
  <c r="J258" i="6" s="1"/>
  <c r="K259" i="6"/>
  <c r="J259" i="6" s="1"/>
  <c r="J260" i="6"/>
  <c r="K260" i="6"/>
  <c r="K261" i="6"/>
  <c r="J261" i="6" s="1"/>
  <c r="K262" i="6"/>
  <c r="J262" i="6" s="1"/>
  <c r="K263" i="6"/>
  <c r="J263" i="6" s="1"/>
  <c r="K264" i="6"/>
  <c r="J264" i="6" s="1"/>
  <c r="J265" i="6"/>
  <c r="K265" i="6"/>
  <c r="K266" i="6"/>
  <c r="J266" i="6" s="1"/>
  <c r="K267" i="6"/>
  <c r="J267" i="6" s="1"/>
  <c r="K268" i="6"/>
  <c r="J268" i="6" s="1"/>
  <c r="K269" i="6"/>
  <c r="J269" i="6" s="1"/>
  <c r="K270" i="6"/>
  <c r="J270" i="6" s="1"/>
  <c r="J271" i="6"/>
  <c r="K271" i="6"/>
  <c r="K272" i="6"/>
  <c r="J272" i="6" s="1"/>
  <c r="J273" i="6"/>
  <c r="K273" i="6"/>
  <c r="K274" i="6"/>
  <c r="J274" i="6" s="1"/>
  <c r="K275" i="6"/>
  <c r="J275" i="6" s="1"/>
  <c r="K276" i="6"/>
  <c r="J276" i="6" s="1"/>
  <c r="K277" i="6"/>
  <c r="J277" i="6" s="1"/>
  <c r="J278" i="6"/>
  <c r="K278" i="6"/>
  <c r="K279" i="6"/>
  <c r="J279" i="6" s="1"/>
  <c r="K280" i="6"/>
  <c r="J280" i="6" s="1"/>
  <c r="K281" i="6"/>
  <c r="J281" i="6" s="1"/>
  <c r="K282" i="6"/>
  <c r="J282" i="6" s="1"/>
  <c r="K283" i="6"/>
  <c r="J283" i="6" s="1"/>
  <c r="K284" i="6"/>
  <c r="J284" i="6" s="1"/>
  <c r="J285" i="6"/>
  <c r="K285" i="6"/>
  <c r="J286" i="6"/>
  <c r="K286" i="6"/>
  <c r="K287" i="6"/>
  <c r="J287" i="6" s="1"/>
  <c r="K288" i="6"/>
  <c r="J288" i="6" s="1"/>
  <c r="K289" i="6"/>
  <c r="J289" i="6" s="1"/>
  <c r="K290" i="6"/>
  <c r="J290" i="6" s="1"/>
  <c r="K291" i="6"/>
  <c r="J291" i="6" s="1"/>
  <c r="K292" i="6"/>
  <c r="J292" i="6" s="1"/>
  <c r="K293" i="6"/>
  <c r="J293" i="6" s="1"/>
  <c r="K294" i="6"/>
  <c r="J294" i="6" s="1"/>
  <c r="K295" i="6"/>
  <c r="J295" i="6" s="1"/>
  <c r="K296" i="6"/>
  <c r="J296" i="6" s="1"/>
  <c r="J297" i="6"/>
  <c r="K297" i="6"/>
  <c r="K298" i="6"/>
  <c r="J298" i="6" s="1"/>
  <c r="J299" i="6"/>
  <c r="K299" i="6"/>
  <c r="K300" i="6"/>
  <c r="J300" i="6" s="1"/>
  <c r="K301" i="6"/>
  <c r="J301" i="6" s="1"/>
  <c r="K302" i="6"/>
  <c r="J302" i="6" s="1"/>
  <c r="K303" i="6"/>
  <c r="J303" i="6" s="1"/>
  <c r="J304" i="6"/>
  <c r="K304" i="6"/>
  <c r="K305" i="6"/>
  <c r="J305" i="6" s="1"/>
  <c r="K306" i="6"/>
  <c r="J306" i="6" s="1"/>
  <c r="K307" i="6"/>
  <c r="J307" i="6" s="1"/>
  <c r="K308" i="6"/>
  <c r="J308" i="6" s="1"/>
  <c r="J309" i="6"/>
  <c r="K309" i="6"/>
  <c r="J310" i="6"/>
  <c r="K310" i="6"/>
  <c r="K311" i="6"/>
  <c r="J311" i="6" s="1"/>
  <c r="K312" i="6"/>
  <c r="J312" i="6" s="1"/>
  <c r="K313" i="6"/>
  <c r="J313" i="6" s="1"/>
  <c r="K314" i="6"/>
  <c r="J314" i="6" s="1"/>
  <c r="K315" i="6"/>
  <c r="J315" i="6" s="1"/>
  <c r="K316" i="6"/>
  <c r="J316" i="6" s="1"/>
  <c r="J317" i="6"/>
  <c r="K317" i="6"/>
  <c r="K318" i="6"/>
  <c r="J318" i="6" s="1"/>
  <c r="J319" i="6"/>
  <c r="K319" i="6"/>
  <c r="K320" i="6"/>
  <c r="J320" i="6" s="1"/>
  <c r="K321" i="6"/>
  <c r="J321" i="6" s="1"/>
  <c r="K322" i="6"/>
  <c r="J322" i="6" s="1"/>
  <c r="K323" i="6"/>
  <c r="J323" i="6" s="1"/>
  <c r="K324" i="6"/>
  <c r="J324" i="6" s="1"/>
  <c r="J325" i="6"/>
  <c r="K325" i="6"/>
  <c r="K326" i="6"/>
  <c r="J326" i="6" s="1"/>
  <c r="K327" i="6"/>
  <c r="J327" i="6" s="1"/>
  <c r="K328" i="6"/>
  <c r="J328" i="6" s="1"/>
  <c r="J329" i="6"/>
  <c r="K329" i="6"/>
  <c r="K330" i="6"/>
  <c r="J330" i="6" s="1"/>
  <c r="K331" i="6"/>
  <c r="J331" i="6" s="1"/>
  <c r="J332" i="6"/>
  <c r="K332" i="6"/>
  <c r="K333" i="6"/>
  <c r="J333" i="6" s="1"/>
  <c r="K334" i="6"/>
  <c r="J334" i="6" s="1"/>
  <c r="J335" i="6"/>
  <c r="K335" i="6"/>
  <c r="K336" i="6"/>
  <c r="J336" i="6" s="1"/>
  <c r="J337" i="6"/>
  <c r="K337" i="6"/>
  <c r="K338" i="6"/>
  <c r="J338" i="6" s="1"/>
  <c r="K339" i="6"/>
  <c r="J339" i="6" s="1"/>
  <c r="K340" i="6"/>
  <c r="J340" i="6" s="1"/>
  <c r="K341" i="6"/>
  <c r="J341" i="6" s="1"/>
  <c r="K342" i="6"/>
  <c r="J342" i="6" s="1"/>
  <c r="J343" i="6"/>
  <c r="K343" i="6"/>
  <c r="K344" i="6"/>
  <c r="J344" i="6" s="1"/>
  <c r="J345" i="6"/>
  <c r="K345" i="6"/>
  <c r="K346" i="6"/>
  <c r="J346" i="6" s="1"/>
  <c r="K347" i="6"/>
  <c r="J347" i="6" s="1"/>
  <c r="K348" i="6"/>
  <c r="J348" i="6" s="1"/>
  <c r="K349" i="6"/>
  <c r="J349" i="6" s="1"/>
  <c r="J350" i="6"/>
  <c r="K350" i="6"/>
  <c r="J351" i="6"/>
  <c r="K351" i="6"/>
  <c r="K352" i="6"/>
  <c r="J352" i="6" s="1"/>
  <c r="K353" i="6"/>
  <c r="J353" i="6" s="1"/>
  <c r="K354" i="6"/>
  <c r="J354" i="6" s="1"/>
  <c r="K355" i="6"/>
  <c r="J355" i="6" s="1"/>
  <c r="K356" i="6"/>
  <c r="J356" i="6" s="1"/>
  <c r="K357" i="6"/>
  <c r="J357" i="6" s="1"/>
  <c r="J358" i="6"/>
  <c r="K358" i="6"/>
  <c r="K359" i="6"/>
  <c r="J359" i="6" s="1"/>
  <c r="K360" i="6"/>
  <c r="J360" i="6" s="1"/>
  <c r="K361" i="6"/>
  <c r="J361" i="6" s="1"/>
  <c r="J362" i="6"/>
  <c r="K362" i="6"/>
  <c r="K363" i="6"/>
  <c r="J363" i="6" s="1"/>
  <c r="K364" i="6"/>
  <c r="J364" i="6" s="1"/>
  <c r="K365" i="6"/>
  <c r="J365" i="6" s="1"/>
  <c r="K366" i="6"/>
  <c r="J366" i="6" s="1"/>
  <c r="K367" i="6"/>
  <c r="J367" i="6" s="1"/>
  <c r="K368" i="6"/>
  <c r="J368" i="6" s="1"/>
  <c r="J369" i="6"/>
  <c r="K369" i="6"/>
  <c r="K370" i="6"/>
  <c r="J370" i="6" s="1"/>
  <c r="J371" i="6"/>
  <c r="K371" i="6"/>
  <c r="K372" i="6"/>
  <c r="J372" i="6" s="1"/>
  <c r="K373" i="6"/>
  <c r="J373" i="6" s="1"/>
  <c r="K374" i="6"/>
  <c r="J374" i="6" s="1"/>
  <c r="J375" i="6"/>
  <c r="K375" i="6"/>
  <c r="K376" i="6"/>
  <c r="J376" i="6" s="1"/>
  <c r="J377" i="6"/>
  <c r="K377" i="6"/>
  <c r="K378" i="6"/>
  <c r="J378" i="6" s="1"/>
  <c r="K379" i="6"/>
  <c r="J379" i="6" s="1"/>
  <c r="K380" i="6"/>
  <c r="J380" i="6" s="1"/>
  <c r="K381" i="6"/>
  <c r="J381" i="6" s="1"/>
  <c r="J382" i="6"/>
  <c r="K382" i="6"/>
  <c r="K383" i="6"/>
  <c r="J383" i="6" s="1"/>
  <c r="K384" i="6"/>
  <c r="J384" i="6" s="1"/>
  <c r="K385" i="6"/>
  <c r="J385" i="6" s="1"/>
  <c r="K386" i="6"/>
  <c r="J386" i="6" s="1"/>
  <c r="K387" i="6"/>
  <c r="J387" i="6" s="1"/>
  <c r="K388" i="6"/>
  <c r="J388" i="6" s="1"/>
  <c r="K389" i="6"/>
  <c r="J389" i="6" s="1"/>
  <c r="K390" i="6"/>
  <c r="J390" i="6" s="1"/>
  <c r="J391" i="6"/>
  <c r="K391" i="6"/>
  <c r="K392" i="6"/>
  <c r="J392" i="6" s="1"/>
  <c r="K393" i="6"/>
  <c r="J393" i="6" s="1"/>
  <c r="J394" i="6"/>
  <c r="K394" i="6"/>
  <c r="K395" i="6"/>
  <c r="J395" i="6" s="1"/>
  <c r="K396" i="6"/>
  <c r="J396" i="6" s="1"/>
  <c r="K397" i="6"/>
  <c r="J397" i="6" s="1"/>
  <c r="K398" i="6"/>
  <c r="J398" i="6" s="1"/>
  <c r="K399" i="6"/>
  <c r="J399" i="6" s="1"/>
  <c r="K400" i="6"/>
  <c r="J400" i="6" s="1"/>
  <c r="K401" i="6"/>
  <c r="J401" i="6" s="1"/>
  <c r="K402" i="6"/>
  <c r="J402" i="6" s="1"/>
  <c r="K403" i="6"/>
  <c r="J403" i="6" s="1"/>
  <c r="J404" i="6"/>
  <c r="K404" i="6"/>
  <c r="K405" i="6"/>
  <c r="J405" i="6" s="1"/>
  <c r="K406" i="6"/>
  <c r="J406" i="6" s="1"/>
  <c r="J407" i="6"/>
  <c r="K407" i="6"/>
  <c r="K408" i="6"/>
  <c r="J408" i="6" s="1"/>
  <c r="K409" i="6"/>
  <c r="J409" i="6" s="1"/>
  <c r="J410" i="6"/>
  <c r="K410" i="6"/>
  <c r="K411" i="6"/>
  <c r="J411" i="6" s="1"/>
  <c r="K412" i="6"/>
  <c r="J412" i="6" s="1"/>
  <c r="K413" i="6"/>
  <c r="J413" i="6" s="1"/>
  <c r="K414" i="6"/>
  <c r="J414" i="6" s="1"/>
  <c r="J415" i="6"/>
  <c r="K415" i="6"/>
  <c r="K416" i="6"/>
  <c r="J416" i="6" s="1"/>
  <c r="J417" i="6"/>
  <c r="K417" i="6"/>
  <c r="K418" i="6"/>
  <c r="J418" i="6" s="1"/>
  <c r="K419" i="6"/>
  <c r="J419" i="6" s="1"/>
  <c r="K420" i="6"/>
  <c r="J420" i="6" s="1"/>
  <c r="K421" i="6"/>
  <c r="J421" i="6" s="1"/>
  <c r="J422" i="6"/>
  <c r="K422" i="6"/>
  <c r="J423" i="6"/>
  <c r="K423" i="6"/>
  <c r="K424" i="6"/>
  <c r="J424" i="6" s="1"/>
  <c r="K425" i="6"/>
  <c r="J425" i="6" s="1"/>
  <c r="K426" i="6"/>
  <c r="J426" i="6" s="1"/>
  <c r="K427" i="6"/>
  <c r="J427" i="6" s="1"/>
  <c r="K428" i="6"/>
  <c r="J428" i="6" s="1"/>
  <c r="K429" i="6"/>
  <c r="J429" i="6" s="1"/>
  <c r="J430" i="6"/>
  <c r="K430" i="6"/>
  <c r="K431" i="6"/>
  <c r="J431" i="6" s="1"/>
  <c r="K432" i="6"/>
  <c r="J432" i="6" s="1"/>
  <c r="J433" i="6"/>
  <c r="K433" i="6"/>
  <c r="K434" i="6"/>
  <c r="J434" i="6" s="1"/>
  <c r="K435" i="6"/>
  <c r="J435" i="6" s="1"/>
  <c r="K436" i="6"/>
  <c r="J436" i="6" s="1"/>
  <c r="K437" i="6"/>
  <c r="J437" i="6" s="1"/>
  <c r="K438" i="6"/>
  <c r="J438" i="6" s="1"/>
  <c r="K439" i="6"/>
  <c r="J439" i="6" s="1"/>
  <c r="K440" i="6"/>
  <c r="J440" i="6" s="1"/>
  <c r="J441" i="6"/>
  <c r="K441" i="6"/>
  <c r="K442" i="6"/>
  <c r="J442" i="6" s="1"/>
  <c r="J443" i="6"/>
  <c r="K443" i="6"/>
  <c r="K444" i="6"/>
  <c r="J444" i="6" s="1"/>
  <c r="K445" i="6"/>
  <c r="J445" i="6" s="1"/>
  <c r="J446" i="6"/>
  <c r="K446" i="6"/>
  <c r="K447" i="6"/>
  <c r="J447" i="6" s="1"/>
  <c r="J448" i="6"/>
  <c r="K448" i="6"/>
  <c r="K449" i="6"/>
  <c r="J449" i="6" s="1"/>
  <c r="K450" i="6"/>
  <c r="J450" i="6" s="1"/>
  <c r="K451" i="6"/>
  <c r="J451" i="6" s="1"/>
  <c r="K452" i="6"/>
  <c r="J452" i="6" s="1"/>
  <c r="J453" i="6"/>
  <c r="K453" i="6"/>
  <c r="K454" i="6"/>
  <c r="J454" i="6" s="1"/>
  <c r="J455" i="6"/>
  <c r="K455" i="6"/>
  <c r="K456" i="6"/>
  <c r="J456" i="6" s="1"/>
  <c r="K457" i="6"/>
  <c r="J457" i="6" s="1"/>
  <c r="K458" i="6"/>
  <c r="J458" i="6" s="1"/>
  <c r="K459" i="6"/>
  <c r="J459" i="6" s="1"/>
  <c r="J460" i="6"/>
  <c r="K460" i="6"/>
  <c r="J461" i="6"/>
  <c r="K461" i="6"/>
  <c r="K462" i="6"/>
  <c r="J462" i="6" s="1"/>
  <c r="J463" i="6"/>
  <c r="K463" i="6"/>
  <c r="K464" i="6"/>
  <c r="J464" i="6" s="1"/>
  <c r="K465" i="6"/>
  <c r="J465" i="6" s="1"/>
  <c r="K466" i="6"/>
  <c r="J466" i="6" s="1"/>
  <c r="K467" i="6"/>
  <c r="J467" i="6" s="1"/>
  <c r="K468" i="6"/>
  <c r="J468" i="6" s="1"/>
  <c r="J469" i="6"/>
  <c r="K469" i="6"/>
  <c r="K470" i="6"/>
  <c r="J470" i="6" s="1"/>
  <c r="K471" i="6"/>
  <c r="J471" i="6" s="1"/>
  <c r="J472" i="6"/>
  <c r="K472" i="6"/>
  <c r="K473" i="6"/>
  <c r="J473" i="6" s="1"/>
  <c r="K474" i="6"/>
  <c r="J474" i="6" s="1"/>
  <c r="K475" i="6"/>
  <c r="J475" i="6" s="1"/>
  <c r="J476" i="6"/>
  <c r="K476" i="6"/>
  <c r="K477" i="6"/>
  <c r="J477" i="6" s="1"/>
  <c r="K478" i="6"/>
  <c r="J478" i="6" s="1"/>
  <c r="J479" i="6"/>
  <c r="K479" i="6"/>
  <c r="K480" i="6"/>
  <c r="J480" i="6" s="1"/>
  <c r="K481" i="6"/>
  <c r="J481" i="6" s="1"/>
  <c r="K482" i="6"/>
  <c r="J482" i="6" s="1"/>
  <c r="K483" i="6"/>
  <c r="J483" i="6" s="1"/>
  <c r="K484" i="6"/>
  <c r="J484" i="6" s="1"/>
  <c r="I29" i="5"/>
  <c r="W29" i="5"/>
  <c r="A16" i="6" l="1" a="1"/>
  <c r="A16" i="6" s="1"/>
  <c r="B16" i="6" a="1"/>
  <c r="B16" i="6" s="1"/>
  <c r="C16" i="6" a="1"/>
  <c r="C16" i="6" s="1"/>
  <c r="E16" i="6" a="1"/>
  <c r="E16" i="6" s="1"/>
  <c r="I97" i="5"/>
  <c r="I95" i="5"/>
  <c r="I77" i="5"/>
  <c r="I76" i="5"/>
  <c r="I75" i="5"/>
  <c r="I74" i="5"/>
  <c r="I73" i="5"/>
  <c r="I72" i="5"/>
  <c r="I71" i="5"/>
  <c r="I70" i="5"/>
  <c r="I69" i="5"/>
  <c r="I68" i="5"/>
  <c r="I67" i="5"/>
  <c r="I43" i="5"/>
  <c r="W43" i="5"/>
  <c r="I28" i="5"/>
  <c r="W28" i="5"/>
  <c r="I27" i="5"/>
  <c r="W27" i="5"/>
  <c r="DQ111" i="10"/>
  <c r="DQ110" i="10"/>
  <c r="DQ109" i="10"/>
  <c r="DQ108" i="10"/>
  <c r="DQ107" i="10"/>
  <c r="DQ106" i="10"/>
  <c r="DQ105" i="10"/>
  <c r="DQ104" i="10"/>
  <c r="DQ103" i="10"/>
  <c r="DQ102" i="10"/>
  <c r="DQ101" i="10"/>
  <c r="DQ100" i="10"/>
  <c r="DQ99" i="10"/>
  <c r="DQ98" i="10"/>
  <c r="DQ97" i="10"/>
  <c r="DQ96" i="10"/>
  <c r="DQ95" i="10"/>
  <c r="DQ94" i="10"/>
  <c r="DQ93" i="10"/>
  <c r="DQ92" i="10"/>
  <c r="DQ91" i="10"/>
  <c r="DQ90" i="10"/>
  <c r="DQ89" i="10"/>
  <c r="DQ88" i="10"/>
  <c r="DQ87" i="10"/>
  <c r="DQ86" i="10"/>
  <c r="DQ85" i="10"/>
  <c r="DQ84" i="10"/>
  <c r="DQ83" i="10"/>
  <c r="DQ82" i="10"/>
  <c r="DQ81" i="10"/>
  <c r="DQ80" i="10"/>
  <c r="DQ79" i="10"/>
  <c r="DQ78" i="10"/>
  <c r="DQ77" i="10"/>
  <c r="DQ76" i="10"/>
  <c r="DQ75" i="10"/>
  <c r="DQ74" i="10"/>
  <c r="DQ73" i="10"/>
  <c r="DQ72" i="10"/>
  <c r="DQ71" i="10"/>
  <c r="DQ70" i="10"/>
  <c r="DQ69" i="10"/>
  <c r="DQ68" i="10"/>
  <c r="DQ67" i="10"/>
  <c r="DQ66" i="10"/>
  <c r="DQ65" i="10"/>
  <c r="DQ64" i="10"/>
  <c r="DQ63" i="10"/>
  <c r="DQ62" i="10"/>
  <c r="DQ61" i="10"/>
  <c r="DQ60" i="10"/>
  <c r="DQ59" i="10"/>
  <c r="DQ58" i="10"/>
  <c r="DQ57" i="10"/>
  <c r="DQ56" i="10"/>
  <c r="DQ55" i="10"/>
  <c r="DQ54" i="10"/>
  <c r="DQ53" i="10"/>
  <c r="DQ52" i="10"/>
  <c r="DQ51" i="10"/>
  <c r="DQ50" i="10"/>
  <c r="DQ49" i="10"/>
  <c r="DQ48" i="10"/>
  <c r="DQ47" i="10"/>
  <c r="DQ46" i="10"/>
  <c r="DQ45" i="10"/>
  <c r="DQ44" i="10"/>
  <c r="DQ43" i="10"/>
  <c r="DQ42" i="10"/>
  <c r="DQ41" i="10"/>
  <c r="DQ40" i="10"/>
  <c r="DQ39" i="10"/>
  <c r="DQ38" i="10"/>
  <c r="DQ37" i="10"/>
  <c r="DQ36" i="10"/>
  <c r="DQ35" i="10"/>
  <c r="DQ34" i="10"/>
  <c r="DQ33" i="10"/>
  <c r="DQ32" i="10"/>
  <c r="DQ31" i="10"/>
  <c r="DQ30" i="10"/>
  <c r="DQ29" i="10"/>
  <c r="DQ28" i="10"/>
  <c r="DQ27" i="10"/>
  <c r="DQ26" i="10"/>
  <c r="DQ25" i="10"/>
  <c r="DQ24" i="10"/>
  <c r="DQ23" i="10"/>
  <c r="DQ22" i="10"/>
  <c r="DQ21" i="10"/>
  <c r="DQ20" i="10"/>
  <c r="DQ19" i="10"/>
  <c r="DQ18" i="10"/>
  <c r="DQ17" i="10"/>
  <c r="DQ16" i="10"/>
  <c r="DQ15" i="10"/>
  <c r="DQ14" i="10"/>
  <c r="DQ13" i="10"/>
  <c r="DQ12" i="10"/>
  <c r="DQ11" i="10"/>
  <c r="DQ10" i="10"/>
  <c r="DQ9" i="10"/>
  <c r="DQ8" i="10"/>
  <c r="DQ7" i="10"/>
  <c r="DQ6" i="10"/>
  <c r="DQ5" i="10"/>
  <c r="DQ4" i="10"/>
  <c r="DQ3" i="10"/>
  <c r="DQ2" i="10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L4" i="9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K4" i="9"/>
  <c r="K3" i="9"/>
  <c r="W114" i="5"/>
  <c r="I114" i="5"/>
  <c r="I113" i="5"/>
  <c r="D113" i="5"/>
  <c r="W113" i="5" s="1"/>
  <c r="I112" i="5"/>
  <c r="D112" i="5"/>
  <c r="W112" i="5" s="1"/>
  <c r="I111" i="5"/>
  <c r="D111" i="5"/>
  <c r="W111" i="5" s="1"/>
  <c r="I110" i="5"/>
  <c r="D110" i="5"/>
  <c r="W110" i="5" s="1"/>
  <c r="I109" i="5"/>
  <c r="D109" i="5"/>
  <c r="W109" i="5" s="1"/>
  <c r="I108" i="5"/>
  <c r="D108" i="5"/>
  <c r="W108" i="5" s="1"/>
  <c r="I107" i="5"/>
  <c r="D107" i="5"/>
  <c r="W107" i="5" s="1"/>
  <c r="I106" i="5"/>
  <c r="D106" i="5"/>
  <c r="W106" i="5" s="1"/>
  <c r="I105" i="5"/>
  <c r="D105" i="5"/>
  <c r="W105" i="5" s="1"/>
  <c r="I104" i="5"/>
  <c r="D104" i="5"/>
  <c r="W104" i="5" s="1"/>
  <c r="I103" i="5"/>
  <c r="D103" i="5"/>
  <c r="W103" i="5" s="1"/>
  <c r="I102" i="5"/>
  <c r="D102" i="5"/>
  <c r="W102" i="5" s="1"/>
  <c r="I101" i="5"/>
  <c r="D101" i="5"/>
  <c r="W101" i="5" s="1"/>
  <c r="I100" i="5"/>
  <c r="D100" i="5"/>
  <c r="W100" i="5" s="1"/>
  <c r="I99" i="5"/>
  <c r="D99" i="5"/>
  <c r="W99" i="5" s="1"/>
  <c r="I98" i="5"/>
  <c r="D98" i="5"/>
  <c r="W98" i="5" s="1"/>
  <c r="D97" i="5"/>
  <c r="W97" i="5" s="1"/>
  <c r="I96" i="5"/>
  <c r="D96" i="5"/>
  <c r="W96" i="5" s="1"/>
  <c r="D95" i="5"/>
  <c r="W95" i="5" s="1"/>
  <c r="I94" i="5"/>
  <c r="D94" i="5"/>
  <c r="W94" i="5" s="1"/>
  <c r="I93" i="5"/>
  <c r="D93" i="5"/>
  <c r="W93" i="5" s="1"/>
  <c r="I92" i="5"/>
  <c r="D92" i="5"/>
  <c r="W92" i="5" s="1"/>
  <c r="I91" i="5"/>
  <c r="D91" i="5"/>
  <c r="W91" i="5" s="1"/>
  <c r="I90" i="5"/>
  <c r="D90" i="5"/>
  <c r="W90" i="5" s="1"/>
  <c r="I89" i="5"/>
  <c r="D89" i="5"/>
  <c r="W89" i="5" s="1"/>
  <c r="W88" i="5"/>
  <c r="I88" i="5"/>
  <c r="W87" i="5"/>
  <c r="I87" i="5"/>
  <c r="W86" i="5"/>
  <c r="I86" i="5"/>
  <c r="W85" i="5"/>
  <c r="I85" i="5"/>
  <c r="W84" i="5"/>
  <c r="I84" i="5"/>
  <c r="W83" i="5"/>
  <c r="I83" i="5"/>
  <c r="I82" i="5"/>
  <c r="D82" i="5"/>
  <c r="W82" i="5" s="1"/>
  <c r="W81" i="5"/>
  <c r="I81" i="5"/>
  <c r="W80" i="5"/>
  <c r="I80" i="5"/>
  <c r="W79" i="5"/>
  <c r="I79" i="5"/>
  <c r="W78" i="5"/>
  <c r="I78" i="5"/>
  <c r="W77" i="5"/>
  <c r="W76" i="5"/>
  <c r="W75" i="5"/>
  <c r="W74" i="5"/>
  <c r="W73" i="5"/>
  <c r="W72" i="5"/>
  <c r="W71" i="5"/>
  <c r="W70" i="5"/>
  <c r="W69" i="5"/>
  <c r="W68" i="5"/>
  <c r="W67" i="5"/>
  <c r="I66" i="5"/>
  <c r="W65" i="5"/>
  <c r="I65" i="5"/>
  <c r="W64" i="5"/>
  <c r="I64" i="5"/>
  <c r="W63" i="5"/>
  <c r="I63" i="5"/>
  <c r="W62" i="5"/>
  <c r="I62" i="5"/>
  <c r="W61" i="5"/>
  <c r="I61" i="5"/>
  <c r="W60" i="5"/>
  <c r="I60" i="5"/>
  <c r="W59" i="5"/>
  <c r="I59" i="5"/>
  <c r="W58" i="5"/>
  <c r="I58" i="5"/>
  <c r="W57" i="5"/>
  <c r="I57" i="5"/>
  <c r="W56" i="5"/>
  <c r="I56" i="5"/>
  <c r="W55" i="5"/>
  <c r="I55" i="5"/>
  <c r="W54" i="5"/>
  <c r="I54" i="5"/>
  <c r="W53" i="5"/>
  <c r="I53" i="5"/>
  <c r="W52" i="5"/>
  <c r="I52" i="5"/>
  <c r="W51" i="5"/>
  <c r="I51" i="5"/>
  <c r="W50" i="5"/>
  <c r="I50" i="5"/>
  <c r="W49" i="5"/>
  <c r="I49" i="5"/>
  <c r="W48" i="5"/>
  <c r="I48" i="5"/>
  <c r="W47" i="5"/>
  <c r="I47" i="5"/>
  <c r="W46" i="5"/>
  <c r="I46" i="5"/>
  <c r="W45" i="5"/>
  <c r="I45" i="5"/>
  <c r="W44" i="5"/>
  <c r="I44" i="5"/>
  <c r="W42" i="5"/>
  <c r="I42" i="5"/>
  <c r="W41" i="5"/>
  <c r="I41" i="5"/>
  <c r="W40" i="5"/>
  <c r="I40" i="5"/>
  <c r="W39" i="5"/>
  <c r="I39" i="5"/>
  <c r="W38" i="5"/>
  <c r="I38" i="5"/>
  <c r="W37" i="5"/>
  <c r="I37" i="5"/>
  <c r="W36" i="5"/>
  <c r="I36" i="5"/>
  <c r="W35" i="5"/>
  <c r="I35" i="5"/>
  <c r="W34" i="5"/>
  <c r="I34" i="5"/>
  <c r="W33" i="5"/>
  <c r="I33" i="5"/>
  <c r="W32" i="5"/>
  <c r="I32" i="5"/>
  <c r="W31" i="5"/>
  <c r="I31" i="5"/>
  <c r="W24" i="5"/>
  <c r="I24" i="5"/>
  <c r="W23" i="5"/>
  <c r="I23" i="5"/>
  <c r="K21" i="5"/>
  <c r="L2" i="6" s="1"/>
  <c r="L3" i="6" s="1"/>
  <c r="E20" i="5"/>
  <c r="C18" i="5"/>
  <c r="C8" i="5"/>
  <c r="C7" i="5"/>
  <c r="C6" i="5"/>
  <c r="C5" i="5"/>
  <c r="C3" i="5"/>
  <c r="G6" i="4"/>
  <c r="G32" i="4" s="1"/>
  <c r="D27" i="8" a="1"/>
  <c r="C19" i="8" a="1"/>
  <c r="D5" i="8" a="1"/>
  <c r="D14" i="8" a="1"/>
  <c r="C2" i="8" a="1"/>
  <c r="C27" i="8" a="1"/>
  <c r="C4" i="8" a="1"/>
  <c r="D38" i="8" a="1"/>
  <c r="C11" i="8" a="1"/>
  <c r="D2" i="8" a="1"/>
  <c r="D4" i="8" a="1"/>
  <c r="C34" i="8" a="1"/>
  <c r="D10" i="8" a="1"/>
  <c r="C12" i="8" a="1"/>
  <c r="C38" i="8" a="1"/>
  <c r="C18" i="8" a="1"/>
  <c r="D9" i="8" a="1"/>
  <c r="C24" i="8" a="1"/>
  <c r="D7" i="8" a="1"/>
  <c r="C22" i="8" a="1"/>
  <c r="D19" i="8" a="1"/>
  <c r="D22" i="8" a="1"/>
  <c r="D13" i="8" a="1"/>
  <c r="C15" i="8" a="1"/>
  <c r="D23" i="8" a="1"/>
  <c r="C6" i="8" a="1"/>
  <c r="C8" i="8" a="1"/>
  <c r="D16" i="8" a="1"/>
  <c r="D26" i="8" a="1"/>
  <c r="D12" i="8" a="1"/>
  <c r="C9" i="8" a="1"/>
  <c r="D11" i="8" a="1"/>
  <c r="D40" i="8" a="1"/>
  <c r="C3" i="8" a="1"/>
  <c r="C17" i="8" a="1"/>
  <c r="D3" i="8" a="1"/>
  <c r="D8" i="8" a="1"/>
  <c r="C10" i="8" a="1"/>
  <c r="C5" i="8" a="1"/>
  <c r="D20" i="8" a="1"/>
  <c r="C21" i="8" a="1"/>
  <c r="C13" i="8" a="1"/>
  <c r="C23" i="8" a="1"/>
  <c r="C25" i="8" a="1"/>
  <c r="C7" i="8" a="1"/>
  <c r="D24" i="8" a="1"/>
  <c r="C14" i="8" a="1"/>
  <c r="D21" i="8" a="1"/>
  <c r="D18" i="8" a="1"/>
  <c r="C40" i="8" a="1"/>
  <c r="D28" i="8" a="1"/>
  <c r="D34" i="8" a="1"/>
  <c r="C20" i="8" a="1"/>
  <c r="D17" i="8" a="1"/>
  <c r="D6" i="8" a="1"/>
  <c r="D25" i="8" a="1"/>
  <c r="D15" i="8" a="1"/>
  <c r="C26" i="8" a="1"/>
  <c r="C28" i="8" a="1"/>
  <c r="C16" i="8" a="1"/>
  <c r="F30" i="5" l="1" a="1"/>
  <c r="F30" i="5" s="1"/>
  <c r="E1" i="6"/>
  <c r="H4" i="5"/>
  <c r="F25" i="5" a="1"/>
  <c r="F25" i="5" s="1"/>
  <c r="F26" i="5" a="1"/>
  <c r="F26" i="5" s="1"/>
  <c r="F29" i="5" a="1"/>
  <c r="F29" i="5" s="1"/>
  <c r="F114" i="5" a="1"/>
  <c r="F114" i="5" s="1"/>
  <c r="C9" i="5"/>
  <c r="F43" i="5" a="1"/>
  <c r="F43" i="5" s="1"/>
  <c r="F28" i="5" a="1"/>
  <c r="F28" i="5" s="1"/>
  <c r="F27" i="5" a="1"/>
  <c r="F27" i="5" s="1"/>
  <c r="H30" i="4"/>
  <c r="I30" i="4" s="1"/>
  <c r="H17" i="4"/>
  <c r="I17" i="4" s="1"/>
  <c r="P19" i="5"/>
  <c r="V20" i="5"/>
  <c r="F92" i="5" a="1"/>
  <c r="F92" i="5" s="1"/>
  <c r="F24" i="5" a="1"/>
  <c r="F24" i="5" s="1"/>
  <c r="F103" i="5" a="1"/>
  <c r="F103" i="5" s="1"/>
  <c r="F94" i="5" a="1"/>
  <c r="F94" i="5" s="1"/>
  <c r="D3" i="8"/>
  <c r="D16" i="8"/>
  <c r="C9" i="8"/>
  <c r="C11" i="8"/>
  <c r="D5" i="8"/>
  <c r="C24" i="8"/>
  <c r="D11" i="8"/>
  <c r="D18" i="8"/>
  <c r="C6" i="8"/>
  <c r="C40" i="8"/>
  <c r="C19" i="8"/>
  <c r="D6" i="8"/>
  <c r="D40" i="8"/>
  <c r="C8" i="8"/>
  <c r="D19" i="8"/>
  <c r="D8" i="8"/>
  <c r="C14" i="8"/>
  <c r="C21" i="8"/>
  <c r="C27" i="8"/>
  <c r="D21" i="8"/>
  <c r="D27" i="8"/>
  <c r="C4" i="8"/>
  <c r="D14" i="8"/>
  <c r="C17" i="8"/>
  <c r="D22" i="8"/>
  <c r="C25" i="8"/>
  <c r="C38" i="8"/>
  <c r="D9" i="8"/>
  <c r="C12" i="8"/>
  <c r="D17" i="8"/>
  <c r="C20" i="8"/>
  <c r="D4" i="8"/>
  <c r="C7" i="8"/>
  <c r="C15" i="8"/>
  <c r="D25" i="8"/>
  <c r="C28" i="8"/>
  <c r="D38" i="8"/>
  <c r="C2" i="8"/>
  <c r="D20" i="8"/>
  <c r="C23" i="8"/>
  <c r="D7" i="8"/>
  <c r="D15" i="8"/>
  <c r="C18" i="8"/>
  <c r="D28" i="8"/>
  <c r="D2" i="8"/>
  <c r="C5" i="8"/>
  <c r="D10" i="8"/>
  <c r="C13" i="8"/>
  <c r="D23" i="8"/>
  <c r="C26" i="8"/>
  <c r="C3" i="8"/>
  <c r="D13" i="8"/>
  <c r="C16" i="8"/>
  <c r="D26" i="8"/>
  <c r="D34" i="8"/>
  <c r="C10" i="8"/>
  <c r="D12" i="8"/>
  <c r="C22" i="8"/>
  <c r="D24" i="8"/>
  <c r="C34" i="8"/>
  <c r="Q19" i="5"/>
  <c r="H18" i="4"/>
  <c r="I18" i="4" s="1"/>
  <c r="F23" i="5" a="1"/>
  <c r="F23" i="5" s="1"/>
  <c r="H10" i="4"/>
  <c r="I10" i="4" s="1"/>
  <c r="H13" i="4"/>
  <c r="I13" i="4" s="1"/>
  <c r="H21" i="4"/>
  <c r="I21" i="4" s="1"/>
  <c r="F110" i="5" a="1"/>
  <c r="F110" i="5" s="1"/>
  <c r="F98" i="5" a="1"/>
  <c r="F98" i="5" s="1"/>
  <c r="F112" i="5" a="1"/>
  <c r="F112" i="5" s="1"/>
  <c r="F101" i="5" a="1"/>
  <c r="F101" i="5" s="1"/>
  <c r="F90" i="5" a="1"/>
  <c r="F90" i="5" s="1"/>
  <c r="F108" i="5" a="1"/>
  <c r="F108" i="5" s="1"/>
  <c r="F99" i="5" a="1"/>
  <c r="F99" i="5" s="1"/>
  <c r="F106" i="5" a="1"/>
  <c r="F106" i="5" s="1"/>
  <c r="F97" i="5" a="1"/>
  <c r="F97" i="5" s="1"/>
  <c r="F88" i="5" a="1"/>
  <c r="F88" i="5" s="1"/>
  <c r="F86" i="5" a="1"/>
  <c r="F86" i="5" s="1"/>
  <c r="F84" i="5" a="1"/>
  <c r="F84" i="5" s="1"/>
  <c r="F82" i="5" a="1"/>
  <c r="F82" i="5" s="1"/>
  <c r="F80" i="5" a="1"/>
  <c r="F80" i="5" s="1"/>
  <c r="F78" i="5" a="1"/>
  <c r="F78" i="5" s="1"/>
  <c r="F76" i="5" a="1"/>
  <c r="F76" i="5" s="1"/>
  <c r="F74" i="5" a="1"/>
  <c r="F74" i="5" s="1"/>
  <c r="F72" i="5" a="1"/>
  <c r="F72" i="5" s="1"/>
  <c r="F70" i="5" a="1"/>
  <c r="F70" i="5" s="1"/>
  <c r="F68" i="5" a="1"/>
  <c r="F68" i="5" s="1"/>
  <c r="F66" i="5" a="1"/>
  <c r="F66" i="5" s="1"/>
  <c r="F64" i="5" a="1"/>
  <c r="F64" i="5" s="1"/>
  <c r="F62" i="5" a="1"/>
  <c r="F62" i="5" s="1"/>
  <c r="F60" i="5" a="1"/>
  <c r="F60" i="5" s="1"/>
  <c r="F58" i="5" a="1"/>
  <c r="F58" i="5" s="1"/>
  <c r="F56" i="5" a="1"/>
  <c r="F56" i="5" s="1"/>
  <c r="F54" i="5" a="1"/>
  <c r="F54" i="5" s="1"/>
  <c r="F52" i="5" a="1"/>
  <c r="F52" i="5" s="1"/>
  <c r="F50" i="5" a="1"/>
  <c r="F50" i="5" s="1"/>
  <c r="F48" i="5" a="1"/>
  <c r="F48" i="5" s="1"/>
  <c r="F46" i="5" a="1"/>
  <c r="F46" i="5" s="1"/>
  <c r="F44" i="5" a="1"/>
  <c r="F44" i="5" s="1"/>
  <c r="F41" i="5" a="1"/>
  <c r="F41" i="5" s="1"/>
  <c r="F39" i="5" a="1"/>
  <c r="F39" i="5" s="1"/>
  <c r="F37" i="5" a="1"/>
  <c r="F37" i="5" s="1"/>
  <c r="F35" i="5" a="1"/>
  <c r="F35" i="5" s="1"/>
  <c r="F33" i="5" a="1"/>
  <c r="F33" i="5" s="1"/>
  <c r="F31" i="5" a="1"/>
  <c r="F31" i="5" s="1"/>
  <c r="F95" i="5" a="1"/>
  <c r="F95" i="5" s="1"/>
  <c r="F104" i="5" a="1"/>
  <c r="F104" i="5" s="1"/>
  <c r="F93" i="5" a="1"/>
  <c r="F93" i="5" s="1"/>
  <c r="F96" i="5" a="1"/>
  <c r="F96" i="5" s="1"/>
  <c r="F87" i="5" a="1"/>
  <c r="F87" i="5" s="1"/>
  <c r="F85" i="5" a="1"/>
  <c r="F85" i="5" s="1"/>
  <c r="F79" i="5" a="1"/>
  <c r="F79" i="5" s="1"/>
  <c r="F73" i="5" a="1"/>
  <c r="F73" i="5" s="1"/>
  <c r="F65" i="5" a="1"/>
  <c r="F65" i="5" s="1"/>
  <c r="F59" i="5" a="1"/>
  <c r="F59" i="5" s="1"/>
  <c r="F53" i="5" a="1"/>
  <c r="F53" i="5" s="1"/>
  <c r="F45" i="5" a="1"/>
  <c r="F45" i="5" s="1"/>
  <c r="F34" i="5" a="1"/>
  <c r="F34" i="5" s="1"/>
  <c r="F113" i="5" a="1"/>
  <c r="F113" i="5" s="1"/>
  <c r="F102" i="5" a="1"/>
  <c r="F102" i="5" s="1"/>
  <c r="F91" i="5" a="1"/>
  <c r="F91" i="5" s="1"/>
  <c r="F81" i="5" a="1"/>
  <c r="F81" i="5" s="1"/>
  <c r="F75" i="5" a="1"/>
  <c r="F75" i="5" s="1"/>
  <c r="F69" i="5" a="1"/>
  <c r="F69" i="5" s="1"/>
  <c r="F63" i="5" a="1"/>
  <c r="F63" i="5" s="1"/>
  <c r="F55" i="5" a="1"/>
  <c r="F55" i="5" s="1"/>
  <c r="F49" i="5" a="1"/>
  <c r="F49" i="5" s="1"/>
  <c r="F42" i="5" a="1"/>
  <c r="F42" i="5" s="1"/>
  <c r="F36" i="5" a="1"/>
  <c r="F36" i="5" s="1"/>
  <c r="F111" i="5" a="1"/>
  <c r="F111" i="5" s="1"/>
  <c r="F109" i="5" a="1"/>
  <c r="F109" i="5" s="1"/>
  <c r="F100" i="5" a="1"/>
  <c r="F100" i="5" s="1"/>
  <c r="F89" i="5" a="1"/>
  <c r="F89" i="5" s="1"/>
  <c r="F83" i="5" a="1"/>
  <c r="F83" i="5" s="1"/>
  <c r="F71" i="5" a="1"/>
  <c r="F71" i="5" s="1"/>
  <c r="F61" i="5" a="1"/>
  <c r="F61" i="5" s="1"/>
  <c r="F51" i="5" a="1"/>
  <c r="F51" i="5" s="1"/>
  <c r="F40" i="5" a="1"/>
  <c r="F40" i="5" s="1"/>
  <c r="F32" i="5" a="1"/>
  <c r="F32" i="5" s="1"/>
  <c r="F107" i="5" a="1"/>
  <c r="F107" i="5" s="1"/>
  <c r="F77" i="5" a="1"/>
  <c r="F77" i="5" s="1"/>
  <c r="F67" i="5" a="1"/>
  <c r="F67" i="5" s="1"/>
  <c r="F57" i="5" a="1"/>
  <c r="F57" i="5" s="1"/>
  <c r="F47" i="5" a="1"/>
  <c r="F47" i="5" s="1"/>
  <c r="F38" i="5" a="1"/>
  <c r="F38" i="5" s="1"/>
  <c r="H14" i="4"/>
  <c r="I14" i="4" s="1"/>
  <c r="H22" i="4"/>
  <c r="I22" i="4" s="1"/>
  <c r="J20" i="5"/>
  <c r="H23" i="4"/>
  <c r="I23" i="4" s="1"/>
  <c r="C12" i="5"/>
  <c r="W11" i="6" s="1"/>
  <c r="K11" i="6" s="1"/>
  <c r="J11" i="6" s="1"/>
  <c r="K20" i="5"/>
  <c r="L20" i="5"/>
  <c r="H24" i="4"/>
  <c r="I24" i="4" s="1"/>
  <c r="R20" i="5"/>
  <c r="H16" i="4"/>
  <c r="I16" i="4" s="1"/>
  <c r="H25" i="4"/>
  <c r="I25" i="4" s="1"/>
  <c r="H8" i="4"/>
  <c r="H27" i="4"/>
  <c r="I27" i="4" s="1"/>
  <c r="F105" i="5" a="1"/>
  <c r="F105" i="5" s="1"/>
  <c r="H9" i="4"/>
  <c r="I9" i="4" s="1"/>
  <c r="K19" i="5"/>
  <c r="C11" i="5"/>
  <c r="W9" i="6" s="1"/>
  <c r="K9" i="6" s="1"/>
  <c r="J9" i="6" s="1"/>
  <c r="C10" i="5"/>
  <c r="W10" i="6" s="1"/>
  <c r="K10" i="6" s="1"/>
  <c r="J10" i="6" s="1"/>
  <c r="H28" i="4"/>
  <c r="I28" i="4" s="1"/>
  <c r="H20" i="4"/>
  <c r="I20" i="4" s="1"/>
  <c r="H12" i="4"/>
  <c r="I12" i="4" s="1"/>
  <c r="H26" i="4"/>
  <c r="I26" i="4" s="1"/>
  <c r="H11" i="4"/>
  <c r="I11" i="4" s="1"/>
  <c r="H29" i="4"/>
  <c r="I29" i="4" s="1"/>
  <c r="U20" i="5"/>
  <c r="N19" i="5"/>
  <c r="M19" i="5"/>
  <c r="T20" i="5"/>
  <c r="S20" i="5"/>
  <c r="L19" i="5"/>
  <c r="C17" i="5"/>
  <c r="Q20" i="5"/>
  <c r="V19" i="5"/>
  <c r="J19" i="5"/>
  <c r="U19" i="5"/>
  <c r="P20" i="5"/>
  <c r="M20" i="5"/>
  <c r="O20" i="5"/>
  <c r="T19" i="5"/>
  <c r="N20" i="5"/>
  <c r="S19" i="5"/>
  <c r="R19" i="5"/>
  <c r="H15" i="4"/>
  <c r="I15" i="4" s="1"/>
  <c r="O19" i="5"/>
  <c r="L21" i="5"/>
  <c r="M2" i="6" s="1"/>
  <c r="M3" i="6" s="1"/>
  <c r="H19" i="4"/>
  <c r="I19" i="4" s="1"/>
  <c r="C29" i="8" a="1"/>
  <c r="C41" i="8" a="1"/>
  <c r="C32" i="8" a="1"/>
  <c r="D31" i="8" a="1"/>
  <c r="C31" i="8" a="1"/>
  <c r="D37" i="8" a="1"/>
  <c r="D30" i="8" a="1"/>
  <c r="C30" i="8" a="1"/>
  <c r="D41" i="8" a="1"/>
  <c r="D29" i="8" a="1"/>
  <c r="D32" i="8" a="1"/>
  <c r="C37" i="8" a="1"/>
  <c r="G30" i="5" l="1"/>
  <c r="G26" i="5"/>
  <c r="G25" i="5"/>
  <c r="C15" i="5"/>
  <c r="G55" i="5"/>
  <c r="G29" i="5"/>
  <c r="G65" i="5"/>
  <c r="G51" i="5"/>
  <c r="G37" i="5"/>
  <c r="G86" i="5"/>
  <c r="G62" i="5"/>
  <c r="G43" i="5"/>
  <c r="G28" i="5"/>
  <c r="G27" i="5"/>
  <c r="G114" i="5"/>
  <c r="G40" i="5"/>
  <c r="G49" i="5"/>
  <c r="G59" i="5"/>
  <c r="G84" i="5"/>
  <c r="G94" i="5"/>
  <c r="G82" i="5"/>
  <c r="G92" i="5"/>
  <c r="G63" i="5"/>
  <c r="G39" i="5"/>
  <c r="G64" i="5"/>
  <c r="G88" i="5"/>
  <c r="G61" i="5"/>
  <c r="G73" i="5"/>
  <c r="G71" i="5"/>
  <c r="G69" i="5"/>
  <c r="G79" i="5"/>
  <c r="G41" i="5"/>
  <c r="G66" i="5"/>
  <c r="G97" i="5"/>
  <c r="G23" i="5"/>
  <c r="X20" i="5"/>
  <c r="C29" i="8"/>
  <c r="D29" i="8"/>
  <c r="G77" i="5"/>
  <c r="G83" i="5"/>
  <c r="G75" i="5"/>
  <c r="G85" i="5"/>
  <c r="G44" i="5"/>
  <c r="G68" i="5"/>
  <c r="G106" i="5"/>
  <c r="G24" i="5"/>
  <c r="G38" i="5"/>
  <c r="G89" i="5"/>
  <c r="G81" i="5"/>
  <c r="G87" i="5"/>
  <c r="G46" i="5"/>
  <c r="G70" i="5"/>
  <c r="G99" i="5"/>
  <c r="G95" i="5"/>
  <c r="G47" i="5"/>
  <c r="G100" i="5"/>
  <c r="G91" i="5"/>
  <c r="G96" i="5"/>
  <c r="G48" i="5"/>
  <c r="G72" i="5"/>
  <c r="G108" i="5"/>
  <c r="G105" i="5"/>
  <c r="G101" i="5"/>
  <c r="G35" i="5"/>
  <c r="G57" i="5"/>
  <c r="G109" i="5"/>
  <c r="G102" i="5"/>
  <c r="G93" i="5"/>
  <c r="G74" i="5"/>
  <c r="G90" i="5"/>
  <c r="G50" i="5"/>
  <c r="G67" i="5"/>
  <c r="G111" i="5"/>
  <c r="G113" i="5"/>
  <c r="G104" i="5"/>
  <c r="G76" i="5"/>
  <c r="G52" i="5"/>
  <c r="G34" i="5"/>
  <c r="G78" i="5"/>
  <c r="G112" i="5"/>
  <c r="G54" i="5"/>
  <c r="G107" i="5"/>
  <c r="G36" i="5"/>
  <c r="G45" i="5"/>
  <c r="G31" i="5"/>
  <c r="G56" i="5"/>
  <c r="G80" i="5"/>
  <c r="G98" i="5"/>
  <c r="G103" i="5"/>
  <c r="G60" i="5"/>
  <c r="G32" i="5"/>
  <c r="G42" i="5"/>
  <c r="G53" i="5"/>
  <c r="G33" i="5"/>
  <c r="G58" i="5"/>
  <c r="G110" i="5"/>
  <c r="E23" i="8"/>
  <c r="E38" i="8"/>
  <c r="E15" i="8"/>
  <c r="E11" i="8"/>
  <c r="E6" i="8"/>
  <c r="E3" i="8"/>
  <c r="E34" i="8"/>
  <c r="E22" i="8"/>
  <c r="E19" i="8"/>
  <c r="E5" i="8"/>
  <c r="E4" i="8"/>
  <c r="E40" i="8"/>
  <c r="E7" i="8"/>
  <c r="E24" i="8"/>
  <c r="C37" i="8"/>
  <c r="D37" i="8"/>
  <c r="D30" i="8"/>
  <c r="C30" i="8"/>
  <c r="D32" i="8"/>
  <c r="C32" i="8"/>
  <c r="D31" i="8"/>
  <c r="C31" i="8"/>
  <c r="D41" i="8"/>
  <c r="C41" i="8"/>
  <c r="C13" i="5"/>
  <c r="E10" i="8"/>
  <c r="E18" i="8"/>
  <c r="E20" i="8"/>
  <c r="E27" i="8"/>
  <c r="E21" i="8"/>
  <c r="M21" i="5"/>
  <c r="N2" i="6" s="1"/>
  <c r="N3" i="6" s="1"/>
  <c r="E16" i="8"/>
  <c r="E12" i="8"/>
  <c r="E14" i="8"/>
  <c r="E9" i="8"/>
  <c r="E26" i="8"/>
  <c r="E2" i="8"/>
  <c r="E25" i="8"/>
  <c r="E8" i="8"/>
  <c r="I8" i="4"/>
  <c r="H6" i="4"/>
  <c r="E13" i="8"/>
  <c r="E28" i="8"/>
  <c r="E17" i="8"/>
  <c r="C42" i="8" a="1"/>
  <c r="D33" i="8" a="1"/>
  <c r="D35" i="8" a="1"/>
  <c r="D42" i="8" a="1"/>
  <c r="C33" i="8" a="1"/>
  <c r="C35" i="8" a="1"/>
  <c r="X30" i="5" l="1"/>
  <c r="X66" i="5"/>
  <c r="X25" i="5"/>
  <c r="X26" i="5"/>
  <c r="D35" i="8"/>
  <c r="C35" i="8"/>
  <c r="D1" i="6"/>
  <c r="X29" i="5"/>
  <c r="X43" i="5"/>
  <c r="X28" i="5"/>
  <c r="X27" i="5"/>
  <c r="E29" i="8"/>
  <c r="E41" i="8"/>
  <c r="E30" i="8"/>
  <c r="E31" i="8"/>
  <c r="D42" i="8"/>
  <c r="C42" i="8"/>
  <c r="D33" i="8"/>
  <c r="C33" i="8"/>
  <c r="N21" i="5"/>
  <c r="O2" i="6" s="1"/>
  <c r="O3" i="6" s="1"/>
  <c r="E37" i="8"/>
  <c r="E32" i="8"/>
  <c r="X111" i="5"/>
  <c r="X99" i="5"/>
  <c r="X81" i="5"/>
  <c r="X113" i="5"/>
  <c r="X102" i="5"/>
  <c r="X91" i="5"/>
  <c r="X109" i="5"/>
  <c r="X100" i="5"/>
  <c r="X89" i="5"/>
  <c r="X98" i="5"/>
  <c r="X79" i="5"/>
  <c r="X75" i="5"/>
  <c r="X71" i="5"/>
  <c r="X67" i="5"/>
  <c r="X63" i="5"/>
  <c r="X59" i="5"/>
  <c r="X55" i="5"/>
  <c r="X107" i="5"/>
  <c r="X87" i="5"/>
  <c r="X85" i="5"/>
  <c r="X83" i="5"/>
  <c r="X77" i="5"/>
  <c r="X73" i="5"/>
  <c r="X69" i="5"/>
  <c r="X65" i="5"/>
  <c r="X61" i="5"/>
  <c r="X57" i="5"/>
  <c r="X53" i="5"/>
  <c r="X49" i="5"/>
  <c r="X105" i="5"/>
  <c r="X96" i="5"/>
  <c r="X23" i="5"/>
  <c r="X94" i="5"/>
  <c r="X114" i="5"/>
  <c r="X103" i="5"/>
  <c r="X92" i="5"/>
  <c r="X112" i="5"/>
  <c r="X101" i="5"/>
  <c r="X90" i="5"/>
  <c r="X110" i="5"/>
  <c r="C16" i="5"/>
  <c r="X84" i="5"/>
  <c r="X70" i="5"/>
  <c r="X51" i="5"/>
  <c r="X60" i="5"/>
  <c r="X88" i="5"/>
  <c r="X74" i="5"/>
  <c r="X46" i="5"/>
  <c r="X41" i="5"/>
  <c r="X37" i="5"/>
  <c r="X33" i="5"/>
  <c r="X24" i="5"/>
  <c r="X78" i="5"/>
  <c r="X108" i="5"/>
  <c r="X64" i="5"/>
  <c r="X50" i="5"/>
  <c r="X54" i="5"/>
  <c r="X104" i="5"/>
  <c r="X97" i="5"/>
  <c r="X82" i="5"/>
  <c r="X68" i="5"/>
  <c r="X45" i="5"/>
  <c r="X40" i="5"/>
  <c r="X36" i="5"/>
  <c r="X32" i="5"/>
  <c r="X93" i="5"/>
  <c r="X58" i="5"/>
  <c r="X106" i="5"/>
  <c r="X86" i="5"/>
  <c r="X72" i="5"/>
  <c r="X76" i="5"/>
  <c r="X52" i="5"/>
  <c r="X19" i="5"/>
  <c r="X95" i="5"/>
  <c r="X80" i="5"/>
  <c r="X62" i="5"/>
  <c r="X48" i="5"/>
  <c r="X44" i="5"/>
  <c r="X39" i="5"/>
  <c r="X35" i="5"/>
  <c r="X31" i="5"/>
  <c r="X56" i="5"/>
  <c r="X47" i="5"/>
  <c r="X42" i="5"/>
  <c r="X38" i="5"/>
  <c r="X34" i="5"/>
  <c r="D43" i="8" a="1"/>
  <c r="C36" i="8" a="1"/>
  <c r="D36" i="8" a="1"/>
  <c r="C43" i="8" a="1"/>
  <c r="E35" i="8" l="1"/>
  <c r="R16" i="6" a="1"/>
  <c r="R16" i="6" s="1"/>
  <c r="L15" i="6"/>
  <c r="L14" i="6"/>
  <c r="L13" i="6"/>
  <c r="L12" i="6"/>
  <c r="Q16" i="6" a="1"/>
  <c r="Q16" i="6" s="1"/>
  <c r="W12" i="6"/>
  <c r="S14" i="6"/>
  <c r="S12" i="6"/>
  <c r="N16" i="6" a="1"/>
  <c r="N16" i="6" s="1"/>
  <c r="W16" i="6" a="1"/>
  <c r="W16" i="6" s="1"/>
  <c r="W15" i="6"/>
  <c r="W14" i="6"/>
  <c r="W13" i="6"/>
  <c r="S15" i="6"/>
  <c r="S13" i="6"/>
  <c r="R15" i="6"/>
  <c r="R14" i="6"/>
  <c r="R13" i="6"/>
  <c r="R12" i="6"/>
  <c r="Q15" i="6"/>
  <c r="Q14" i="6"/>
  <c r="Q13" i="6"/>
  <c r="Q12" i="6"/>
  <c r="P13" i="6"/>
  <c r="O14" i="6"/>
  <c r="M15" i="6"/>
  <c r="M14" i="6"/>
  <c r="M13" i="6"/>
  <c r="M12" i="6"/>
  <c r="V15" i="6"/>
  <c r="V14" i="6"/>
  <c r="V13" i="6"/>
  <c r="V12" i="6"/>
  <c r="V16" i="6" a="1"/>
  <c r="V16" i="6" s="1"/>
  <c r="U15" i="6"/>
  <c r="U14" i="6"/>
  <c r="U13" i="6"/>
  <c r="U12" i="6"/>
  <c r="T15" i="6"/>
  <c r="T14" i="6"/>
  <c r="T13" i="6"/>
  <c r="T12" i="6"/>
  <c r="U16" i="6" a="1"/>
  <c r="U16" i="6" s="1"/>
  <c r="T16" i="6" a="1"/>
  <c r="T16" i="6" s="1"/>
  <c r="P16" i="6" a="1"/>
  <c r="P16" i="6" s="1"/>
  <c r="O16" i="6" a="1"/>
  <c r="O16" i="6" s="1"/>
  <c r="P15" i="6"/>
  <c r="P14" i="6"/>
  <c r="P12" i="6"/>
  <c r="O15" i="6"/>
  <c r="O13" i="6"/>
  <c r="O12" i="6"/>
  <c r="N15" i="6"/>
  <c r="N14" i="6"/>
  <c r="N13" i="6"/>
  <c r="N12" i="6"/>
  <c r="L16" i="6" a="1"/>
  <c r="L16" i="6" s="1"/>
  <c r="S16" i="6" a="1"/>
  <c r="S16" i="6" s="1"/>
  <c r="M16" i="6" a="1"/>
  <c r="M16" i="6" s="1"/>
  <c r="E42" i="8"/>
  <c r="E33" i="8"/>
  <c r="D43" i="8"/>
  <c r="C43" i="8"/>
  <c r="D36" i="8"/>
  <c r="C36" i="8"/>
  <c r="O21" i="5"/>
  <c r="P2" i="6" s="1"/>
  <c r="P3" i="6" s="1"/>
  <c r="C19" i="5"/>
  <c r="C44" i="8" a="1"/>
  <c r="D44" i="8" a="1"/>
  <c r="D39" i="8" a="1"/>
  <c r="C39" i="8" a="1"/>
  <c r="M4" i="6" l="1"/>
  <c r="Q4" i="6"/>
  <c r="K16" i="6"/>
  <c r="J16" i="6" s="1"/>
  <c r="V4" i="6"/>
  <c r="O4" i="6"/>
  <c r="P4" i="6"/>
  <c r="K18" i="6"/>
  <c r="J18" i="6" s="1"/>
  <c r="K17" i="6"/>
  <c r="J17" i="6" s="1"/>
  <c r="K19" i="6"/>
  <c r="J19" i="6" s="1"/>
  <c r="K13" i="6"/>
  <c r="J13" i="6" s="1"/>
  <c r="K14" i="6"/>
  <c r="J14" i="6" s="1"/>
  <c r="T4" i="6"/>
  <c r="N4" i="6"/>
  <c r="R4" i="6"/>
  <c r="K15" i="6"/>
  <c r="J15" i="6" s="1"/>
  <c r="K12" i="6"/>
  <c r="J12" i="6" s="1"/>
  <c r="S4" i="6"/>
  <c r="U4" i="6"/>
  <c r="L4" i="6"/>
  <c r="E43" i="8"/>
  <c r="E36" i="8"/>
  <c r="D44" i="8"/>
  <c r="C44" i="8"/>
  <c r="D39" i="8"/>
  <c r="C39" i="8"/>
  <c r="P21" i="5"/>
  <c r="Q2" i="6" s="1"/>
  <c r="Q3" i="6" s="1"/>
  <c r="C45" i="8" a="1"/>
  <c r="D45" i="8" a="1"/>
  <c r="H1" i="6" l="1"/>
  <c r="W6" i="6" s="1"/>
  <c r="E44" i="8"/>
  <c r="C45" i="8"/>
  <c r="D45" i="8"/>
  <c r="Q21" i="5"/>
  <c r="R2" i="6" s="1"/>
  <c r="R3" i="6" s="1"/>
  <c r="E39" i="8"/>
  <c r="C46" i="8" a="1"/>
  <c r="D46" i="8" a="1"/>
  <c r="K6" i="6" l="1"/>
  <c r="J6" i="6" s="1"/>
  <c r="J4" i="6" s="1"/>
  <c r="W4" i="6"/>
  <c r="C46" i="8"/>
  <c r="D46" i="8"/>
  <c r="R21" i="5"/>
  <c r="S2" i="6" s="1"/>
  <c r="S3" i="6" s="1"/>
  <c r="E45" i="8"/>
  <c r="D47" i="8" a="1"/>
  <c r="C47" i="8" a="1"/>
  <c r="K4" i="6" l="1"/>
  <c r="G1" i="6" s="1"/>
  <c r="D47" i="8"/>
  <c r="C47" i="8"/>
  <c r="S21" i="5"/>
  <c r="T2" i="6" s="1"/>
  <c r="T3" i="6" s="1"/>
  <c r="E46" i="8"/>
  <c r="C48" i="8" a="1"/>
  <c r="D48" i="8" a="1"/>
  <c r="I4" i="6" l="1"/>
  <c r="E47" i="8"/>
  <c r="D48" i="8"/>
  <c r="C48" i="8"/>
  <c r="T21" i="5"/>
  <c r="U2" i="6" s="1"/>
  <c r="U3" i="6" s="1"/>
  <c r="C49" i="8" a="1"/>
  <c r="D49" i="8" a="1"/>
  <c r="E48" i="8" l="1"/>
  <c r="D49" i="8"/>
  <c r="C49" i="8"/>
  <c r="U21" i="5"/>
  <c r="V2" i="6" s="1"/>
  <c r="V3" i="6" s="1"/>
  <c r="C50" i="8" a="1"/>
  <c r="D50" i="8" a="1"/>
  <c r="E49" i="8" l="1"/>
  <c r="D50" i="8"/>
  <c r="C50" i="8"/>
  <c r="V21" i="5"/>
  <c r="W2" i="6" s="1"/>
  <c r="W3" i="6" s="1"/>
  <c r="C51" i="8" a="1"/>
  <c r="D51" i="8" a="1"/>
  <c r="E50" i="8" l="1"/>
  <c r="C51" i="8"/>
  <c r="D51" i="8"/>
  <c r="E51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Heejeong Park</author>
  </authors>
  <commentList>
    <comment ref="D5" authorId="0" shapeId="0" xr:uid="{F26FBAD2-4D66-4E77-B313-F66214EFE1B2}">
      <text>
        <r>
          <rPr>
            <b/>
            <sz val="9"/>
            <color indexed="81"/>
            <rFont val="Tahoma"/>
            <family val="2"/>
          </rPr>
          <t>EL</t>
        </r>
      </text>
    </comment>
    <comment ref="D6" authorId="0" shapeId="0" xr:uid="{7B42A886-E334-4589-95D8-555BB0440010}">
      <text>
        <r>
          <rPr>
            <b/>
            <sz val="9"/>
            <color indexed="81"/>
            <rFont val="Tahoma"/>
            <family val="2"/>
          </rPr>
          <t>PM</t>
        </r>
      </text>
    </comment>
    <comment ref="D9" authorId="0" shapeId="0" xr:uid="{C46BEDA0-4138-4A39-A49C-78F38B260308}">
      <text>
        <r>
          <rPr>
            <b/>
            <sz val="9"/>
            <color indexed="81"/>
            <rFont val="Tahoma"/>
            <family val="2"/>
          </rPr>
          <t>SPA EL</t>
        </r>
      </text>
    </comment>
    <comment ref="D10" authorId="0" shapeId="0" xr:uid="{7038CD28-9734-4878-87D8-D3B747E7B83F}">
      <text>
        <r>
          <rPr>
            <b/>
            <sz val="9"/>
            <color indexed="81"/>
            <rFont val="Tahoma"/>
            <family val="2"/>
          </rPr>
          <t>Fulcrum</t>
        </r>
      </text>
    </comment>
    <comment ref="D11" authorId="0" shapeId="0" xr:uid="{840561AC-C0A6-4C36-B04B-457C0D9AC1F9}">
      <text>
        <r>
          <rPr>
            <b/>
            <sz val="9"/>
            <color indexed="81"/>
            <rFont val="Tahoma"/>
            <family val="2"/>
          </rPr>
          <t>Specialist</t>
        </r>
      </text>
    </comment>
    <comment ref="D12" authorId="0" shapeId="0" xr:uid="{5F477C9E-F5AB-4FA0-ABFD-C8C326DECF51}">
      <text>
        <r>
          <rPr>
            <b/>
            <sz val="9"/>
            <color indexed="81"/>
            <rFont val="Tahoma"/>
            <family val="2"/>
          </rPr>
          <t>TBD Grade</t>
        </r>
        <r>
          <rPr>
            <b/>
            <sz val="9"/>
            <color indexed="81"/>
            <rFont val="돋움"/>
            <family val="3"/>
            <charset val="129"/>
          </rPr>
          <t>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집계</t>
        </r>
      </text>
    </comment>
    <comment ref="D13" authorId="0" shapeId="0" xr:uid="{171B77F5-B092-4B4F-8BB2-5CBAD12B3398}">
      <text>
        <r>
          <rPr>
            <b/>
            <sz val="9"/>
            <color indexed="81"/>
            <rFont val="Tahoma"/>
            <family val="2"/>
          </rPr>
          <t>TBD Grade</t>
        </r>
        <r>
          <rPr>
            <b/>
            <sz val="9"/>
            <color indexed="81"/>
            <rFont val="돋움"/>
            <family val="3"/>
            <charset val="129"/>
          </rPr>
          <t>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집계</t>
        </r>
      </text>
    </comment>
    <comment ref="D14" authorId="0" shapeId="0" xr:uid="{0237169F-36E3-4676-9310-F907EFD92715}">
      <text>
        <r>
          <rPr>
            <b/>
            <sz val="9"/>
            <color indexed="81"/>
            <rFont val="Tahoma"/>
            <family val="2"/>
          </rPr>
          <t>TBD Grade</t>
        </r>
        <r>
          <rPr>
            <b/>
            <sz val="9"/>
            <color indexed="81"/>
            <rFont val="돋움"/>
            <family val="3"/>
            <charset val="129"/>
          </rPr>
          <t>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집계</t>
        </r>
      </text>
    </comment>
    <comment ref="D15" authorId="0" shapeId="0" xr:uid="{B3642B9B-39CB-42E2-B16C-3421F9B58A6D}">
      <text>
        <r>
          <rPr>
            <b/>
            <sz val="9"/>
            <color indexed="81"/>
            <rFont val="Tahoma"/>
            <family val="2"/>
          </rPr>
          <t xml:space="preserve">New comer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<sst xmlns="http://schemas.openxmlformats.org/spreadsheetml/2006/main" count="18161" uniqueCount="1230">
  <si>
    <t>A 작성 Instruction</t>
    <phoneticPr fontId="5" type="noConversion"/>
  </si>
  <si>
    <t>1. 당기 감사 Client 기본 정보</t>
    <phoneticPr fontId="4" type="noConversion"/>
  </si>
  <si>
    <t>구분</t>
  </si>
  <si>
    <t>선택항목</t>
    <phoneticPr fontId="5" type="noConversion"/>
  </si>
  <si>
    <t>선택목록</t>
    <phoneticPr fontId="5" type="noConversion"/>
  </si>
  <si>
    <t>1) 표준산업분류</t>
  </si>
  <si>
    <t>⑤ 도소매업</t>
  </si>
  <si>
    <t>① 제조업,② 서비스업,③ 건설업,④ 금융업,⑤ 도소매업,⑥ 기타</t>
    <phoneticPr fontId="5" type="noConversion"/>
  </si>
  <si>
    <t>2) 자산규모</t>
  </si>
  <si>
    <t>⑤ 별도 1천억미만 ~ 500억이상</t>
  </si>
  <si>
    <r>
      <t>① 별도 2조&amp;연결 5조(자산매출평균) 이상,</t>
    </r>
    <r>
      <rPr>
        <sz val="10"/>
        <color theme="1"/>
        <rFont val="맑은 고딕"/>
        <family val="3"/>
        <charset val="129"/>
      </rPr>
      <t>② 별도 2조이상,③ 별도 2조미만 ~ 5천억이상,④ 별도 5천억미만 ~ 1천억이상,⑤ 별도 1천억미만 ~ 500억이상,⑥ 별도 500억미만 ~ 200억이상,⑦ 별도 200억 미만</t>
    </r>
    <phoneticPr fontId="5" type="noConversion"/>
  </si>
  <si>
    <t>3) 상장/비상장</t>
  </si>
  <si>
    <t>⑥ 비상장</t>
  </si>
  <si>
    <t>① 유가증권상장,② 코스닥상장,③ 코넥스상장,④ 채권상장,⑤ 상장예정,⑥ 비상장</t>
    <phoneticPr fontId="5" type="noConversion"/>
  </si>
  <si>
    <t>4) 사업보고서 제출</t>
  </si>
  <si>
    <t>② 사업보고서 제출미대상</t>
  </si>
  <si>
    <t>① 사업보고서 제출대상,② 사업보고서 제출미대상</t>
    <phoneticPr fontId="5" type="noConversion"/>
  </si>
  <si>
    <t>5) GAAP</t>
  </si>
  <si>
    <t>① IFRS</t>
  </si>
  <si>
    <t>① IFRS,② 일반기준</t>
    <phoneticPr fontId="5" type="noConversion"/>
  </si>
  <si>
    <t>6) 연결재무제표작성</t>
  </si>
  <si>
    <t>② 미작성</t>
  </si>
  <si>
    <t>① 작성,② 미작성</t>
    <phoneticPr fontId="5" type="noConversion"/>
  </si>
  <si>
    <t>7) 연결자회사수</t>
  </si>
  <si>
    <t>① 없음</t>
  </si>
  <si>
    <t>① 없음,② 10개 이하,③ 11개~50개,④ 51개~100개,⑤ 100개 초과</t>
    <phoneticPr fontId="5" type="noConversion"/>
  </si>
  <si>
    <t>8) 내부회계관리제도</t>
  </si>
  <si>
    <t>② 내부회계감사(별도)</t>
  </si>
  <si>
    <t>① 내부회계감사(연결),② 내부회계감사(별도),③ 내부회계검토,④ 의무없음</t>
    <phoneticPr fontId="5" type="noConversion"/>
  </si>
  <si>
    <t>9) 초도감사</t>
  </si>
  <si>
    <t>① 초도감사</t>
  </si>
  <si>
    <t>① 초도감사,② 계속감사</t>
    <phoneticPr fontId="5" type="noConversion"/>
  </si>
  <si>
    <t>10) 업무개시일</t>
  </si>
  <si>
    <t>업무개시 연월을 기재 (25년 1월 ~ 26년 5월 중 선택)</t>
    <phoneticPr fontId="5" type="noConversion"/>
  </si>
  <si>
    <t>11) 총계약시간</t>
  </si>
  <si>
    <t>2. 프로젝트 코드 기본정보</t>
  </si>
  <si>
    <t>비고</t>
    <phoneticPr fontId="5" type="noConversion"/>
  </si>
  <si>
    <t xml:space="preserve"> 사번</t>
    <phoneticPr fontId="5" type="noConversion"/>
  </si>
  <si>
    <t>표감 activity mapping</t>
    <phoneticPr fontId="5" type="noConversion"/>
  </si>
  <si>
    <t>1) Project code</t>
    <phoneticPr fontId="5" type="noConversion"/>
  </si>
  <si>
    <t>15916-01-012</t>
  </si>
  <si>
    <t>2) Project 명</t>
    <phoneticPr fontId="5" type="noConversion"/>
  </si>
  <si>
    <t>(주)에뛰드/2025년 회계감사</t>
  </si>
  <si>
    <t>3) 본부명</t>
    <phoneticPr fontId="5" type="noConversion"/>
  </si>
  <si>
    <t>CM Audit 1</t>
  </si>
  <si>
    <t>4) EL</t>
    <phoneticPr fontId="5" type="noConversion"/>
  </si>
  <si>
    <t>최성우</t>
    <phoneticPr fontId="5" type="noConversion"/>
  </si>
  <si>
    <t>재무제표기말감사</t>
  </si>
  <si>
    <t>5) PM</t>
    <phoneticPr fontId="5" type="noConversion"/>
  </si>
  <si>
    <t>이창욱</t>
    <phoneticPr fontId="5" type="noConversion"/>
  </si>
  <si>
    <t>3. 프로젝트 코드 QRP,RM, EL, PM  시간 정보</t>
  </si>
  <si>
    <t>시간</t>
    <phoneticPr fontId="5" type="noConversion"/>
  </si>
  <si>
    <t>1) QRP</t>
    <phoneticPr fontId="5" type="noConversion"/>
  </si>
  <si>
    <t>QRP</t>
  </si>
  <si>
    <t>2) RM/CRS/M&amp;T 등</t>
  </si>
  <si>
    <t>QC-(RM, ACS, M&amp;T 등)</t>
  </si>
  <si>
    <t>3) FLDT-EL</t>
  </si>
  <si>
    <t>기타</t>
  </si>
  <si>
    <t>4) FLDT-PM</t>
  </si>
  <si>
    <t>5) RA-EL,PM</t>
    <phoneticPr fontId="5" type="noConversion"/>
  </si>
  <si>
    <t>SPA_내부통제</t>
  </si>
  <si>
    <t xml:space="preserve">1. 감사 ET 구성원 정보 입력 </t>
  </si>
  <si>
    <t>1) 동 sheet에 이름과 사번 입력 시 budget template에서 "이름"기준 입력을 지원합니다.</t>
  </si>
  <si>
    <t>2) 동명이인인 경우, 이름을 상이하게 조정하여 기재부탁드립니다.(e.g. 김삼일32, 김삼일26)</t>
  </si>
  <si>
    <t>3) FLDT/RA EL과 PM은 기재할 필요가 없습니다.</t>
  </si>
  <si>
    <t>Optional</t>
    <phoneticPr fontId="5" type="noConversion"/>
  </si>
  <si>
    <t>이름</t>
  </si>
  <si>
    <t>사번</t>
  </si>
  <si>
    <t>비고</t>
  </si>
  <si>
    <t>사전 배부</t>
    <phoneticPr fontId="5" type="noConversion"/>
  </si>
  <si>
    <t>Template 반영현황</t>
    <phoneticPr fontId="5" type="noConversion"/>
  </si>
  <si>
    <t>예산대비 반영차이</t>
    <phoneticPr fontId="5" type="noConversion"/>
  </si>
  <si>
    <t>FLDT 구성원</t>
  </si>
  <si>
    <t>서보경</t>
  </si>
  <si>
    <t>ET 구성원 정보 입력</t>
  </si>
  <si>
    <t>이채연</t>
  </si>
  <si>
    <t>최우금</t>
  </si>
  <si>
    <t>정다희</t>
  </si>
  <si>
    <t>TBD_Associate_1</t>
  </si>
  <si>
    <t>Defalut로 설정(인원이 특정되지 않는 경우 숫자 및 직급을 추가하여 인원 구분, 불필요시 행삭제)</t>
    <phoneticPr fontId="5" type="noConversion"/>
  </si>
  <si>
    <t>New comer1</t>
  </si>
  <si>
    <t>New Staff</t>
  </si>
  <si>
    <t>Defalut로 설정(인원이 특정되지 않는 경우 숫자를 추가하여 인원 구분, 불필요시 행삭제)</t>
    <phoneticPr fontId="5" type="noConversion"/>
  </si>
  <si>
    <t>지원 ET 구성원</t>
  </si>
  <si>
    <t>Fulcrum</t>
  </si>
  <si>
    <t>Defalut로 설정(인원구분 없이 단일 항목으로만 사용)</t>
  </si>
  <si>
    <t>RA</t>
  </si>
  <si>
    <t>Specialist</t>
  </si>
  <si>
    <t>기타</t>
    <phoneticPr fontId="5" type="noConversion"/>
  </si>
  <si>
    <t>↑D시트 Budget Table 내의 구성원</t>
    <phoneticPr fontId="5" type="noConversion"/>
  </si>
  <si>
    <t>↓D시트 Budget Table 밖의 구성원</t>
    <phoneticPr fontId="5" type="noConversion"/>
  </si>
  <si>
    <t>RM/CRS/M&amp;T 등</t>
  </si>
  <si>
    <t>FLDT-EL</t>
  </si>
  <si>
    <t>FLDT-PM</t>
  </si>
  <si>
    <t>RA-EL,PM</t>
  </si>
  <si>
    <t>[Budget 기초정보 및 검증]</t>
    <phoneticPr fontId="5" type="noConversion"/>
  </si>
  <si>
    <t>1) 계약시간</t>
    <phoneticPr fontId="5" type="noConversion"/>
  </si>
  <si>
    <t>&lt; B_ET 기본정보 정보 자동입력</t>
    <phoneticPr fontId="5" type="noConversion"/>
  </si>
  <si>
    <t xml:space="preserve">2) AX/DX Transition </t>
  </si>
  <si>
    <t>&lt; ET의 감사환경을 고려하여 Digital tool을 포함한 AX/DX Transition 적용 목표치를 입력</t>
    <phoneticPr fontId="5" type="noConversion"/>
  </si>
  <si>
    <t>3) QRP, RM 등 시간</t>
    <phoneticPr fontId="5" type="noConversion"/>
  </si>
  <si>
    <t>&lt; B_ET 기본정보 정보 자동입력</t>
  </si>
  <si>
    <t>4) FLDT-EL 시간</t>
    <phoneticPr fontId="5" type="noConversion"/>
  </si>
  <si>
    <t>5) FLDT-PM 시간</t>
    <phoneticPr fontId="5" type="noConversion"/>
  </si>
  <si>
    <t>6) RA-EL/PM 시간</t>
    <phoneticPr fontId="5" type="noConversion"/>
  </si>
  <si>
    <t>7) ET controllable budget</t>
    <phoneticPr fontId="5" type="noConversion"/>
  </si>
  <si>
    <t>&lt; AX/DX Transition, EL/PM 투입 시간 고려 자동 산출</t>
    <phoneticPr fontId="5" type="noConversion"/>
  </si>
  <si>
    <t>8-1) Fulcrum 활용 시간</t>
    <phoneticPr fontId="5" type="noConversion"/>
  </si>
  <si>
    <t>&lt; ET controllalble budget에 포함되어 있으며, Budget 입력 시 자동입력</t>
    <phoneticPr fontId="5" type="noConversion"/>
  </si>
  <si>
    <t>8-2) RA-Staff 활용 시간</t>
    <phoneticPr fontId="5" type="noConversion"/>
  </si>
  <si>
    <t>8-3) Specialist 활용 시간</t>
    <phoneticPr fontId="5" type="noConversion"/>
  </si>
  <si>
    <t>8-4) FLDT budget</t>
    <phoneticPr fontId="5" type="noConversion"/>
  </si>
  <si>
    <t>&lt; FLDT에 배부되는 시간으로서 자동 산출</t>
    <phoneticPr fontId="5" type="noConversion"/>
  </si>
  <si>
    <t>8-5) 지방/해외 출장 시간</t>
    <phoneticPr fontId="5" type="noConversion"/>
  </si>
  <si>
    <t>&lt; 지방/해외 출장 시 소요되는 시간을 기재</t>
    <phoneticPr fontId="5" type="noConversion"/>
  </si>
  <si>
    <t>① 배부 검증 - 전체 시간</t>
    <phoneticPr fontId="5" type="noConversion"/>
  </si>
  <si>
    <t>&lt; D열 Scope여부 체크항목의 관리단위별 Budget 합계와 일치 필요</t>
    <phoneticPr fontId="5" type="noConversion"/>
  </si>
  <si>
    <t>② 배부 검증 - FLDT 시간</t>
    <phoneticPr fontId="5" type="noConversion"/>
  </si>
  <si>
    <t>&lt; D열 Scope여부 체크항목 중 FLDT 관리단위별 Budget 합계와 일치 필요</t>
    <phoneticPr fontId="5" type="noConversion"/>
  </si>
  <si>
    <t>③ 배부 검증 - 월별합계검증</t>
    <phoneticPr fontId="5" type="noConversion"/>
  </si>
  <si>
    <t>&lt; D열 Scope여부 체크항목 중 Budget 합계와 K열~V열 합계 일치 필요</t>
    <phoneticPr fontId="5" type="noConversion"/>
  </si>
  <si>
    <t>9) Budget 작성 주기</t>
    <phoneticPr fontId="5" type="noConversion"/>
  </si>
  <si>
    <t>10) Template 작성 완료여부</t>
    <phoneticPr fontId="5" type="noConversion"/>
  </si>
  <si>
    <t>FLDT외</t>
  </si>
  <si>
    <t>FLDT 기말비율</t>
    <phoneticPr fontId="5" type="noConversion"/>
  </si>
  <si>
    <t>E/F/G열은 작성에 도움을 주기 위한 단순참고용, 삭제가능(수식유지시 느림)</t>
    <phoneticPr fontId="5" type="noConversion"/>
  </si>
  <si>
    <t>FLDT</t>
  </si>
  <si>
    <t>ET 전체 기말비율</t>
    <phoneticPr fontId="5" type="noConversion"/>
  </si>
  <si>
    <t>대분류 명</t>
  </si>
  <si>
    <t>Budget 관리단위</t>
    <phoneticPr fontId="5" type="noConversion"/>
  </si>
  <si>
    <t>해당</t>
  </si>
  <si>
    <t>25/06
Debriefing 실적</t>
    <phoneticPr fontId="5" type="noConversion"/>
  </si>
  <si>
    <t>유사회사
평균 비율</t>
    <phoneticPr fontId="5" type="noConversion"/>
  </si>
  <si>
    <t>유사회사 평균비율 
적용 시 산출 시간</t>
    <phoneticPr fontId="5" type="noConversion"/>
  </si>
  <si>
    <t>Assignment</t>
    <phoneticPr fontId="5" type="noConversion"/>
  </si>
  <si>
    <t>사번</t>
    <phoneticPr fontId="5" type="noConversion"/>
  </si>
  <si>
    <t>Budget
합계</t>
    <phoneticPr fontId="5" type="noConversion"/>
  </si>
  <si>
    <t>합계검증</t>
  </si>
  <si>
    <t>기말비율</t>
    <phoneticPr fontId="5" type="noConversion"/>
  </si>
  <si>
    <t>Budget 관리단위</t>
  </si>
  <si>
    <t>25/06 Debriefing실적</t>
    <phoneticPr fontId="5" type="noConversion"/>
  </si>
  <si>
    <t>유사회사 평균 비율</t>
  </si>
  <si>
    <t>유사회사평균비율 적용 시 산출 시간</t>
    <phoneticPr fontId="5" type="noConversion"/>
  </si>
  <si>
    <t>Budget 합계</t>
    <phoneticPr fontId="5" type="noConversion"/>
  </si>
  <si>
    <t>1</t>
    <phoneticPr fontId="5" type="noConversion"/>
  </si>
  <si>
    <t>2</t>
    <phoneticPr fontId="5" type="noConversion"/>
  </si>
  <si>
    <t>3</t>
    <phoneticPr fontId="5" type="noConversion"/>
  </si>
  <si>
    <t>4</t>
    <phoneticPr fontId="5" type="noConversion"/>
  </si>
  <si>
    <t>5</t>
    <phoneticPr fontId="5" type="noConversion"/>
  </si>
  <si>
    <t>6</t>
    <phoneticPr fontId="5" type="noConversion"/>
  </si>
  <si>
    <t>7</t>
    <phoneticPr fontId="5" type="noConversion"/>
  </si>
  <si>
    <t>8</t>
    <phoneticPr fontId="5" type="noConversion"/>
  </si>
  <si>
    <t>9</t>
    <phoneticPr fontId="5" type="noConversion"/>
  </si>
  <si>
    <t>10</t>
    <phoneticPr fontId="5" type="noConversion"/>
  </si>
  <si>
    <t>11</t>
    <phoneticPr fontId="5" type="noConversion"/>
  </si>
  <si>
    <t>12</t>
    <phoneticPr fontId="5" type="noConversion"/>
  </si>
  <si>
    <t>기말비율</t>
  </si>
  <si>
    <t>분반기 검토</t>
  </si>
  <si>
    <t>계획단계</t>
  </si>
  <si>
    <t>초도감사</t>
  </si>
  <si>
    <t>재무제표 수준 위험</t>
  </si>
  <si>
    <t>부정위험</t>
  </si>
  <si>
    <t>계속기업</t>
  </si>
  <si>
    <t>기타(특수관계자/법률 및 규정)</t>
  </si>
  <si>
    <t>자산</t>
  </si>
  <si>
    <t>현금및현금성자산-일반</t>
  </si>
  <si>
    <t>현금및현금성자산-조회</t>
  </si>
  <si>
    <t>채무 및 지분증권-일반</t>
  </si>
  <si>
    <t>채무 및 지분증권-공정가치평가</t>
  </si>
  <si>
    <t>파생상품</t>
  </si>
  <si>
    <t>매출채권-일반</t>
  </si>
  <si>
    <t>매출채권-조회</t>
  </si>
  <si>
    <t>고객 반품, 할인 및 충당금</t>
  </si>
  <si>
    <t>재고자산-일반</t>
  </si>
  <si>
    <t>재고자산-실사입회및문서화</t>
  </si>
  <si>
    <t>건설계약</t>
  </si>
  <si>
    <t>기타자산</t>
  </si>
  <si>
    <t>유/무형자산/투자부동산-일반</t>
  </si>
  <si>
    <t>유/무형자산/투자부동산-취득처분</t>
  </si>
  <si>
    <t>종속기업 등에 대한 투자자산-일반</t>
  </si>
  <si>
    <t>종속기업 등에 대한 투자자산-손상검토</t>
  </si>
  <si>
    <t>영업권-일반</t>
  </si>
  <si>
    <t>영업권-PPA</t>
  </si>
  <si>
    <t>영업권-손상검토</t>
  </si>
  <si>
    <t>자산 - 기타</t>
  </si>
  <si>
    <t>부채 및 자본</t>
  </si>
  <si>
    <t>매입채무-일반</t>
  </si>
  <si>
    <t>매입채무-조회</t>
  </si>
  <si>
    <t>특수관계자/내부거래</t>
  </si>
  <si>
    <t>기타부채 및 충당부채-일반</t>
  </si>
  <si>
    <t>기타부채 및 충당부채-부외부채/우발부채검토</t>
  </si>
  <si>
    <t>법인세</t>
  </si>
  <si>
    <t>차입금/복합금융상품-일반</t>
  </si>
  <si>
    <t>차입금/복합금융상품-공정가치평가</t>
  </si>
  <si>
    <t>차입금/복합금융상품-약정사항 검토</t>
  </si>
  <si>
    <t>이연수익</t>
  </si>
  <si>
    <t>리스</t>
  </si>
  <si>
    <t>퇴직급여/장기종업원급여</t>
  </si>
  <si>
    <t>부채 - 기타</t>
  </si>
  <si>
    <t>자본금 및 기타 자본 계정</t>
  </si>
  <si>
    <t>수익/비용</t>
  </si>
  <si>
    <t>매출(IIFRS15/K-GAAP)-일반</t>
    <phoneticPr fontId="5" type="noConversion"/>
  </si>
  <si>
    <t>매출(IIFRS15/K-GAAP)-발생사실테스트</t>
  </si>
  <si>
    <t>매출(IIFRS15/K-GAAP)-Cut-off테스트</t>
  </si>
  <si>
    <t>기타 영업수익</t>
  </si>
  <si>
    <t>매출원가-일반</t>
  </si>
  <si>
    <t>매출원가-증빙테스트</t>
  </si>
  <si>
    <t>영업비용</t>
  </si>
  <si>
    <t>인건비</t>
  </si>
  <si>
    <t>영업외손익</t>
  </si>
  <si>
    <t>주식기준보상비용-일반</t>
  </si>
  <si>
    <t>비용 - 기타</t>
  </si>
  <si>
    <t>종결단계</t>
  </si>
  <si>
    <t>주석검토-별도</t>
  </si>
  <si>
    <t>주석검토-연결</t>
  </si>
  <si>
    <t>기말감사 - 별도CF</t>
  </si>
  <si>
    <t>외국어 보고서</t>
  </si>
  <si>
    <t>연결</t>
  </si>
  <si>
    <t>기말감사 - 연결일반</t>
  </si>
  <si>
    <t>기말감사 - 연결GA/CA</t>
  </si>
  <si>
    <t>기말감사 - 연결법인세</t>
  </si>
  <si>
    <t>기말감사 - 연결CF</t>
  </si>
  <si>
    <t>내부통제</t>
  </si>
  <si>
    <t>내부통제-계획/종결</t>
  </si>
  <si>
    <t>내부회계검토</t>
  </si>
  <si>
    <t>설계평가-내부통제-ELC</t>
  </si>
  <si>
    <t>설계평가-내부통제-ITGC</t>
    <phoneticPr fontId="5" type="noConversion"/>
  </si>
  <si>
    <t>설계평가-내부통제-재무보고(FR)</t>
  </si>
  <si>
    <t>설계평가-내부통제-자금</t>
  </si>
  <si>
    <t>설계평가-내부통제-매출/매출채권</t>
  </si>
  <si>
    <t>설계평가-내부통제-재고/원가</t>
  </si>
  <si>
    <t>설계평가-내부통제-매입/매입채무</t>
  </si>
  <si>
    <t>설계평가-내부통제-급여/퇴직급여</t>
  </si>
  <si>
    <t>설계평가-내부통제-유/무형자산/투자부동산</t>
  </si>
  <si>
    <t>설계평가-내부통제-연결</t>
  </si>
  <si>
    <t>설계평가-내부통제-기타프로세스</t>
  </si>
  <si>
    <t>운영평가-내부통제-ELC</t>
  </si>
  <si>
    <t>운영평가-내부통제-ITGC</t>
    <phoneticPr fontId="5" type="noConversion"/>
  </si>
  <si>
    <t>운영평가-내부통제-재무보고(FR)</t>
  </si>
  <si>
    <t>운영평가-내부통제-자금</t>
  </si>
  <si>
    <t>운영평가-내부통제-매출/매출채권</t>
  </si>
  <si>
    <t>운영평가-내부통제-재고/원가</t>
  </si>
  <si>
    <t>운영평가-내부통제-매입/매입채무</t>
  </si>
  <si>
    <t>운영평가-내부통제-급여/퇴직급여</t>
  </si>
  <si>
    <t>운영평가-내부통제-유/무형자산/투자부동산</t>
  </si>
  <si>
    <t>운영평가-내부통제-연결</t>
  </si>
  <si>
    <t>운영평가-내부통제-기타프로세스</t>
  </si>
  <si>
    <t>IT 감사-RA</t>
  </si>
  <si>
    <t>(마지막행)</t>
    <phoneticPr fontId="21" type="noConversion"/>
  </si>
  <si>
    <t>(마지막행)</t>
  </si>
  <si>
    <t>검증</t>
    <phoneticPr fontId="21" type="noConversion"/>
  </si>
  <si>
    <t>Monthly</t>
    <phoneticPr fontId="5" type="noConversion"/>
  </si>
  <si>
    <t>Project Code</t>
  </si>
  <si>
    <t>Project Name</t>
  </si>
  <si>
    <t>TBD</t>
  </si>
  <si>
    <t>Activity</t>
  </si>
  <si>
    <t>Location</t>
  </si>
  <si>
    <t>Name</t>
  </si>
  <si>
    <t>Grade</t>
  </si>
  <si>
    <t>숙련도</t>
  </si>
  <si>
    <t>숙련도 고려투입시간</t>
  </si>
  <si>
    <t>TotalTime</t>
  </si>
  <si>
    <t/>
  </si>
  <si>
    <r>
      <rPr>
        <b/>
        <i/>
        <sz val="8"/>
        <color indexed="10"/>
        <rFont val="맑은 고딕"/>
        <family val="3"/>
        <charset val="129"/>
      </rPr>
      <t>(필수)</t>
    </r>
    <r>
      <rPr>
        <b/>
        <i/>
        <sz val="8"/>
        <color indexed="23"/>
        <rFont val="맑은 고딕"/>
        <family val="3"/>
        <charset val="129"/>
      </rPr>
      <t xml:space="preserve">프로젝트 코드 입력 </t>
    </r>
    <phoneticPr fontId="28" type="noConversion"/>
  </si>
  <si>
    <t>옵션</t>
  </si>
  <si>
    <r>
      <rPr>
        <b/>
        <i/>
        <sz val="8"/>
        <color indexed="10"/>
        <rFont val="맑은 고딕"/>
        <family val="3"/>
        <charset val="129"/>
      </rPr>
      <t>(필수)</t>
    </r>
    <r>
      <rPr>
        <b/>
        <i/>
        <sz val="8"/>
        <color indexed="23"/>
        <rFont val="맑은 고딕"/>
        <family val="3"/>
        <charset val="129"/>
      </rPr>
      <t xml:space="preserve">목록에서 선택 </t>
    </r>
  </si>
  <si>
    <r>
      <rPr>
        <b/>
        <i/>
        <sz val="8"/>
        <color indexed="10"/>
        <rFont val="맑은 고딕"/>
        <family val="3"/>
        <charset val="129"/>
      </rPr>
      <t>(필수)</t>
    </r>
    <r>
      <rPr>
        <b/>
        <i/>
        <sz val="8"/>
        <color indexed="23"/>
        <rFont val="맑은 고딕"/>
        <family val="3"/>
        <charset val="129"/>
      </rPr>
      <t xml:space="preserve">목록에서 선택 </t>
    </r>
    <phoneticPr fontId="28" type="noConversion"/>
  </si>
  <si>
    <r>
      <rPr>
        <b/>
        <i/>
        <sz val="8"/>
        <color indexed="10"/>
        <rFont val="맑은 고딕"/>
        <family val="3"/>
        <charset val="129"/>
      </rPr>
      <t>(필수)</t>
    </r>
    <r>
      <rPr>
        <b/>
        <i/>
        <sz val="8"/>
        <color indexed="23"/>
        <rFont val="맑은 고딕"/>
        <family val="3"/>
        <charset val="129"/>
      </rPr>
      <t>목록에서 선택</t>
    </r>
  </si>
  <si>
    <t>N</t>
    <phoneticPr fontId="5" type="noConversion"/>
  </si>
  <si>
    <t>재무제표기말감사</t>
    <phoneticPr fontId="5" type="noConversion"/>
  </si>
  <si>
    <t>Field</t>
  </si>
  <si>
    <t>Y</t>
  </si>
  <si>
    <t>Non-Field</t>
  </si>
  <si>
    <t>Partner</t>
    <phoneticPr fontId="5" type="noConversion"/>
  </si>
  <si>
    <t>Director</t>
    <phoneticPr fontId="5" type="noConversion"/>
  </si>
  <si>
    <t>Senior-Associate</t>
  </si>
  <si>
    <t>Manager</t>
    <phoneticPr fontId="5" type="noConversion"/>
  </si>
  <si>
    <t>Senior-Associate</t>
    <phoneticPr fontId="5" type="noConversion"/>
  </si>
  <si>
    <t>Associate</t>
    <phoneticPr fontId="5" type="noConversion"/>
  </si>
  <si>
    <t>Time Report Activity 구분</t>
  </si>
  <si>
    <t>대분류 코드</t>
  </si>
  <si>
    <t>중분류 코드</t>
  </si>
  <si>
    <t>중분류 명</t>
  </si>
  <si>
    <t>소분류 코드</t>
  </si>
  <si>
    <t>소분류 명</t>
  </si>
  <si>
    <t>Code number1</t>
  </si>
  <si>
    <t>Code name1</t>
  </si>
  <si>
    <t>Code number2</t>
  </si>
  <si>
    <t>Code name2</t>
  </si>
  <si>
    <t>Code number3</t>
  </si>
  <si>
    <t>Code name3</t>
  </si>
  <si>
    <t>AA1000</t>
  </si>
  <si>
    <t>PM/Sub PM</t>
  </si>
  <si>
    <t>AA1100</t>
  </si>
  <si>
    <t>감사/검토 계획 수립</t>
  </si>
  <si>
    <t>AA1101</t>
  </si>
  <si>
    <t>-</t>
  </si>
  <si>
    <t>N/A(FLDT-PM 시간)</t>
    <phoneticPr fontId="5" type="noConversion"/>
  </si>
  <si>
    <t>AA1200</t>
  </si>
  <si>
    <t>Client communication</t>
  </si>
  <si>
    <t>AA1201</t>
  </si>
  <si>
    <t>AA1300</t>
  </si>
  <si>
    <t>Internal communication</t>
  </si>
  <si>
    <t>AA1301</t>
  </si>
  <si>
    <t>AA1400</t>
  </si>
  <si>
    <t>코칭&amp;리뷰</t>
  </si>
  <si>
    <t>AA1401</t>
  </si>
  <si>
    <t>AA1600</t>
  </si>
  <si>
    <t>감사/검토 종결 단계</t>
  </si>
  <si>
    <t>AA1601</t>
  </si>
  <si>
    <t>AA1800</t>
  </si>
  <si>
    <t>Admin</t>
  </si>
  <si>
    <t>AA1801</t>
  </si>
  <si>
    <t>AA1900</t>
  </si>
  <si>
    <t>AA1901</t>
  </si>
  <si>
    <t>AA10000</t>
  </si>
  <si>
    <t>AA11000</t>
  </si>
  <si>
    <t>계획/준비</t>
  </si>
  <si>
    <t>AA11002</t>
  </si>
  <si>
    <t>Aura DB tailoring</t>
  </si>
  <si>
    <t>AA11010</t>
  </si>
  <si>
    <t>Planning EGA 문서화</t>
  </si>
  <si>
    <t>AA11015</t>
  </si>
  <si>
    <t>AA12000</t>
  </si>
  <si>
    <t>분석적절차</t>
  </si>
  <si>
    <t>AA12002</t>
  </si>
  <si>
    <t>별도</t>
  </si>
  <si>
    <t>AA12003</t>
  </si>
  <si>
    <t>AA13000</t>
  </si>
  <si>
    <t>주석검토</t>
  </si>
  <si>
    <t>AA13002</t>
  </si>
  <si>
    <t>AA13003</t>
  </si>
  <si>
    <t>AA14000</t>
  </si>
  <si>
    <t>현금흐름표 검증</t>
  </si>
  <si>
    <t>AA14002</t>
  </si>
  <si>
    <t>AA14003</t>
  </si>
  <si>
    <t>AA15000</t>
  </si>
  <si>
    <t>보고서 풋팅/Cross-reference</t>
  </si>
  <si>
    <t>AA15002</t>
  </si>
  <si>
    <t>AA15003</t>
  </si>
  <si>
    <t>AA16000</t>
  </si>
  <si>
    <t>종결 단계</t>
  </si>
  <si>
    <t>AA16010</t>
  </si>
  <si>
    <t>Completion EGA</t>
  </si>
  <si>
    <t>AA16015</t>
  </si>
  <si>
    <t>리뷰대응</t>
  </si>
  <si>
    <t>AA16025</t>
  </si>
  <si>
    <t>AA17000</t>
  </si>
  <si>
    <t>AA17001</t>
  </si>
  <si>
    <t>BB1000</t>
  </si>
  <si>
    <t>감사관련활동</t>
  </si>
  <si>
    <t>BB1100</t>
  </si>
  <si>
    <t>지방/해외 출장</t>
  </si>
  <si>
    <t>BB1101</t>
  </si>
  <si>
    <t>N/A((8-5) 지방/해외 출장 시간)</t>
    <phoneticPr fontId="5" type="noConversion"/>
  </si>
  <si>
    <t>BB10000</t>
  </si>
  <si>
    <t>BB11000</t>
  </si>
  <si>
    <t>Aura tailoring</t>
  </si>
  <si>
    <t>BB11001</t>
  </si>
  <si>
    <t>BB12000</t>
  </si>
  <si>
    <t>Planning meeting</t>
  </si>
  <si>
    <t>BB12001</t>
    <phoneticPr fontId="5" type="noConversion"/>
  </si>
  <si>
    <t>BB13000</t>
  </si>
  <si>
    <t>BB13002</t>
  </si>
  <si>
    <t>BB13003</t>
  </si>
  <si>
    <t>BB14000</t>
  </si>
  <si>
    <t>GA/CA 계획 및 문서화</t>
  </si>
  <si>
    <t>BB14001</t>
  </si>
  <si>
    <t>GA</t>
  </si>
  <si>
    <t>BB14002</t>
  </si>
  <si>
    <t>CA</t>
  </si>
  <si>
    <t>BB16000</t>
  </si>
  <si>
    <t>BB16001</t>
  </si>
  <si>
    <t>BB17000</t>
  </si>
  <si>
    <t>BB17001</t>
  </si>
  <si>
    <t>BB17500</t>
  </si>
  <si>
    <t>고객 및 사업의 이해</t>
  </si>
  <si>
    <t>BB17501</t>
  </si>
  <si>
    <t>BB18000</t>
  </si>
  <si>
    <t>BB18001</t>
  </si>
  <si>
    <t>CC10000</t>
  </si>
  <si>
    <t>CC13000</t>
  </si>
  <si>
    <t>설계평가</t>
  </si>
  <si>
    <t>CC13003</t>
  </si>
  <si>
    <t>ELC</t>
  </si>
  <si>
    <t>CC13005</t>
  </si>
  <si>
    <t>재무보고(FR)</t>
  </si>
  <si>
    <t>CC13007</t>
  </si>
  <si>
    <t>자금</t>
  </si>
  <si>
    <t>CC13009</t>
  </si>
  <si>
    <t>매출/매출채권</t>
  </si>
  <si>
    <t>CC13011</t>
  </si>
  <si>
    <t>재고/원가</t>
  </si>
  <si>
    <t>CC13013</t>
  </si>
  <si>
    <t>매입/매입채무</t>
  </si>
  <si>
    <t>CC13015</t>
  </si>
  <si>
    <t>급여/퇴직급여</t>
  </si>
  <si>
    <t>CC13017</t>
  </si>
  <si>
    <t>유/무형자산/투자부동산</t>
  </si>
  <si>
    <t>CC13021</t>
  </si>
  <si>
    <t>CC13022</t>
  </si>
  <si>
    <t>ITGC</t>
  </si>
  <si>
    <t>설계평가-내부통제-ITGC</t>
  </si>
  <si>
    <t>CC13023</t>
  </si>
  <si>
    <t>기타(TAX, 자본금 등)</t>
  </si>
  <si>
    <t>설계평가-내부통제-기타프로세스</t>
    <phoneticPr fontId="5" type="noConversion"/>
  </si>
  <si>
    <t>CC14000</t>
  </si>
  <si>
    <t>운영평가</t>
  </si>
  <si>
    <t>CC14003</t>
  </si>
  <si>
    <t>CC14005</t>
  </si>
  <si>
    <t>CC14007</t>
  </si>
  <si>
    <t>CC14009</t>
  </si>
  <si>
    <t>CC14011</t>
  </si>
  <si>
    <t>CC14013</t>
  </si>
  <si>
    <t>CC14015</t>
  </si>
  <si>
    <t>CC14017</t>
  </si>
  <si>
    <t>CC14021</t>
  </si>
  <si>
    <t>CC14022</t>
  </si>
  <si>
    <t>운영평가-내부통제-ITGC</t>
  </si>
  <si>
    <t>CC14023</t>
  </si>
  <si>
    <t>CC18000</t>
  </si>
  <si>
    <t>미비점 식별 및 평가</t>
  </si>
  <si>
    <t>CC18001</t>
  </si>
  <si>
    <t>CC18500</t>
  </si>
  <si>
    <t>CC18501</t>
  </si>
  <si>
    <t>CC19000</t>
  </si>
  <si>
    <t>CC19001</t>
  </si>
  <si>
    <t>DD10000</t>
    <phoneticPr fontId="6" type="noConversion"/>
  </si>
  <si>
    <t>IT 감사-RA</t>
    <phoneticPr fontId="6" type="noConversion"/>
  </si>
  <si>
    <t>DD10100</t>
  </si>
  <si>
    <t>DD10101</t>
  </si>
  <si>
    <t>N/A(RA-EL/PM 시간)</t>
  </si>
  <si>
    <t>DD10102</t>
  </si>
  <si>
    <t>DD10103</t>
  </si>
  <si>
    <t>DD10104</t>
  </si>
  <si>
    <t>DD10105</t>
  </si>
  <si>
    <t>DD10109</t>
  </si>
  <si>
    <t>DD10110</t>
  </si>
  <si>
    <t>DD10000</t>
  </si>
  <si>
    <t>DD11000</t>
  </si>
  <si>
    <t>Planning</t>
  </si>
  <si>
    <t>DD11001</t>
  </si>
  <si>
    <t>감사전략 검토 및 미팅</t>
  </si>
  <si>
    <t>DD11002</t>
  </si>
  <si>
    <t>Kick off template 작성</t>
  </si>
  <si>
    <t>DD11005</t>
  </si>
  <si>
    <t>DD11009</t>
  </si>
  <si>
    <t>DD12000</t>
  </si>
  <si>
    <t>DD12001</t>
  </si>
  <si>
    <t>DD13000</t>
  </si>
  <si>
    <t>DD13001</t>
  </si>
  <si>
    <t>DD14000</t>
  </si>
  <si>
    <t>설계 및 운영평가</t>
  </si>
  <si>
    <t>DD14001</t>
  </si>
  <si>
    <t>자동통제_매출/매출채권</t>
  </si>
  <si>
    <t>DD14002</t>
  </si>
  <si>
    <t>자동통제_재고/원가</t>
  </si>
  <si>
    <t>DD14003</t>
  </si>
  <si>
    <t>자동통제_매입/매입채무</t>
  </si>
  <si>
    <t>DD14004</t>
  </si>
  <si>
    <t>자동통제_재무보고</t>
  </si>
  <si>
    <t>DD14005</t>
  </si>
  <si>
    <t>자동통제_연결</t>
  </si>
  <si>
    <t>DD14006</t>
  </si>
  <si>
    <t>자동통제_여신</t>
  </si>
  <si>
    <t>(금융)설계평가-내부통제-대출채권</t>
  </si>
  <si>
    <t>DD14007</t>
  </si>
  <si>
    <t>자동통제_충당금</t>
  </si>
  <si>
    <t>(금융)설계평가-내부통제-대출채권 대손충당금</t>
  </si>
  <si>
    <t>DD14008</t>
  </si>
  <si>
    <t>자동통제_유가증권</t>
  </si>
  <si>
    <t>(금융)설계평가-내부통제-유가증권</t>
  </si>
  <si>
    <t>DD14009</t>
  </si>
  <si>
    <t>자동통제_파생상품</t>
  </si>
  <si>
    <t>(금융)설계평가-내부통제-파생상품</t>
  </si>
  <si>
    <t>DD14010</t>
  </si>
  <si>
    <t>자동통제_기타</t>
  </si>
  <si>
    <t>DD14011</t>
  </si>
  <si>
    <t>SOC EGA 문서화</t>
  </si>
  <si>
    <t>DD14015</t>
  </si>
  <si>
    <t>DD16000</t>
  </si>
  <si>
    <t>DD16001</t>
  </si>
  <si>
    <t>DD17000</t>
  </si>
  <si>
    <t>입증 감사</t>
  </si>
  <si>
    <t>DD17001</t>
  </si>
  <si>
    <t>DD18000</t>
  </si>
  <si>
    <t>DD18001</t>
  </si>
  <si>
    <t>DD18006</t>
  </si>
  <si>
    <t>리뷰 대응</t>
  </si>
  <si>
    <t>DD18008</t>
  </si>
  <si>
    <t>Memo/Report 작성</t>
  </si>
  <si>
    <t>DD18009</t>
  </si>
  <si>
    <t>DD19000</t>
  </si>
  <si>
    <t>DD19001</t>
  </si>
  <si>
    <t>EE10000</t>
  </si>
  <si>
    <t>EE11000</t>
  </si>
  <si>
    <t>EE11001</t>
  </si>
  <si>
    <t>EE12000</t>
  </si>
  <si>
    <t>EE12001</t>
  </si>
  <si>
    <t>EE14000</t>
  </si>
  <si>
    <t>특수관계자 거래</t>
  </si>
  <si>
    <t>EE14001</t>
  </si>
  <si>
    <t>EE15000</t>
  </si>
  <si>
    <t>법률 및 규정</t>
  </si>
  <si>
    <t>EE15001</t>
  </si>
  <si>
    <t>FF10000</t>
  </si>
  <si>
    <t>FF10100</t>
  </si>
  <si>
    <t>현금 및 현금성자산</t>
  </si>
  <si>
    <t>FF10102</t>
  </si>
  <si>
    <t>총괄표&amp;증감분석</t>
  </si>
  <si>
    <t>FF10103</t>
  </si>
  <si>
    <t>계정 이해 및 감사계획 수립</t>
  </si>
  <si>
    <t>FF10108</t>
  </si>
  <si>
    <t>금융기관 조회절차</t>
  </si>
  <si>
    <t>FF10109</t>
  </si>
  <si>
    <t>기업신용공여정보 대사절차</t>
  </si>
  <si>
    <t>FF10110</t>
  </si>
  <si>
    <t>현금성자산 분류</t>
  </si>
  <si>
    <t>FF10115</t>
  </si>
  <si>
    <t>이자수익 테스트-FS</t>
  </si>
  <si>
    <t>FF10120</t>
  </si>
  <si>
    <t>FF10200</t>
  </si>
  <si>
    <t>채무 및 지분증권</t>
  </si>
  <si>
    <t>FF10202</t>
  </si>
  <si>
    <t>FF10203</t>
  </si>
  <si>
    <t>FF10206</t>
  </si>
  <si>
    <t>취득/분류 테스트</t>
  </si>
  <si>
    <t>FF10207</t>
  </si>
  <si>
    <t>처분 테스트</t>
  </si>
  <si>
    <t>FF10208</t>
  </si>
  <si>
    <t>투자수익 및 이자수익 테스트</t>
  </si>
  <si>
    <t>FF10209</t>
  </si>
  <si>
    <t>조회절차</t>
  </si>
  <si>
    <t>FF10210</t>
  </si>
  <si>
    <t>공정가치 평가</t>
  </si>
  <si>
    <t>FF10211</t>
  </si>
  <si>
    <t>손상 평가</t>
  </si>
  <si>
    <t>FF10220</t>
  </si>
  <si>
    <t>FF10300</t>
  </si>
  <si>
    <t>FF10302</t>
  </si>
  <si>
    <t>FF10303</t>
  </si>
  <si>
    <t>FF10306</t>
  </si>
  <si>
    <t>최초측정</t>
  </si>
  <si>
    <t>FF10307</t>
  </si>
  <si>
    <t>FF10308</t>
  </si>
  <si>
    <t>거래 및 평가손익</t>
  </si>
  <si>
    <t>FF10309</t>
  </si>
  <si>
    <t>FF10310</t>
  </si>
  <si>
    <t>위험회피 테스트</t>
  </si>
  <si>
    <t>FF10320</t>
  </si>
  <si>
    <t>FF10400</t>
  </si>
  <si>
    <t>매출채권</t>
  </si>
  <si>
    <t>FF10402</t>
  </si>
  <si>
    <t>FF10403</t>
  </si>
  <si>
    <t>FF10406</t>
  </si>
  <si>
    <t>채권조회</t>
  </si>
  <si>
    <t>FF10408</t>
  </si>
  <si>
    <t>손실충당금</t>
  </si>
  <si>
    <t>FF10420</t>
  </si>
  <si>
    <t>FF10500</t>
  </si>
  <si>
    <t>FF10502</t>
  </si>
  <si>
    <t>FF10503</t>
  </si>
  <si>
    <t>FF10504</t>
  </si>
  <si>
    <t>반품 충당금 테스트</t>
  </si>
  <si>
    <t>FF10505</t>
  </si>
  <si>
    <t>매출 할인 테스트</t>
  </si>
  <si>
    <t>FF10506</t>
  </si>
  <si>
    <t>기타 충당금 테스트</t>
  </si>
  <si>
    <t>FF10510</t>
  </si>
  <si>
    <t>FF10600</t>
  </si>
  <si>
    <t>재고자산</t>
  </si>
  <si>
    <t>FF10602</t>
  </si>
  <si>
    <t>FF10603</t>
  </si>
  <si>
    <t>FF10605</t>
  </si>
  <si>
    <t>T-계정 Recon</t>
  </si>
  <si>
    <t>FF10606</t>
  </si>
  <si>
    <t>재고실사 입회(계획/수행)</t>
  </si>
  <si>
    <t>FF10607</t>
  </si>
  <si>
    <t>Q 테스트</t>
  </si>
  <si>
    <t>FF10609</t>
  </si>
  <si>
    <t>타처보관재고 조회</t>
  </si>
  <si>
    <t>FF10610</t>
  </si>
  <si>
    <t>cut-off 테스트</t>
  </si>
  <si>
    <t>FF10611</t>
  </si>
  <si>
    <t>미착품 테스트</t>
  </si>
  <si>
    <t>FF10612</t>
  </si>
  <si>
    <t>단가 테스트</t>
  </si>
  <si>
    <t>FF10613</t>
  </si>
  <si>
    <t>평가충당금 테스트</t>
  </si>
  <si>
    <t>FF10620</t>
  </si>
  <si>
    <t>FF10700</t>
  </si>
  <si>
    <t>FF10702</t>
  </si>
  <si>
    <t>FF10703</t>
  </si>
  <si>
    <t>FF10704</t>
  </si>
  <si>
    <t>계약조건 테스트</t>
  </si>
  <si>
    <t>FF10705</t>
  </si>
  <si>
    <t>계약자산/계약부채 테스트</t>
  </si>
  <si>
    <t>FF10706</t>
  </si>
  <si>
    <t>총공사예정원가 테스트</t>
  </si>
  <si>
    <t>FF10707</t>
  </si>
  <si>
    <t>진행률 테스트</t>
  </si>
  <si>
    <t>FF10708</t>
  </si>
  <si>
    <t>수익인식계산 정확성 테스트</t>
  </si>
  <si>
    <t>FF10720</t>
  </si>
  <si>
    <t>FF10800</t>
  </si>
  <si>
    <t>FF10802</t>
  </si>
  <si>
    <t>FF10803</t>
  </si>
  <si>
    <t>FF10805</t>
  </si>
  <si>
    <t>취득 및 처분 테스트</t>
  </si>
  <si>
    <t>FF10806</t>
  </si>
  <si>
    <t>FF10807</t>
  </si>
  <si>
    <t>FF10810</t>
  </si>
  <si>
    <t>FF10900</t>
  </si>
  <si>
    <t>리스채권</t>
  </si>
  <si>
    <t>FF10902</t>
  </si>
  <si>
    <t>FF10903</t>
  </si>
  <si>
    <t>FF10904</t>
  </si>
  <si>
    <t>분류 및 최초측정 테스트</t>
  </si>
  <si>
    <t>FF10905</t>
  </si>
  <si>
    <t>후속측정 테스트</t>
  </si>
  <si>
    <t>FF10906</t>
  </si>
  <si>
    <t>리스수익 테스트</t>
  </si>
  <si>
    <t>FF10910</t>
  </si>
  <si>
    <t>FF11000</t>
  </si>
  <si>
    <t>FF11002</t>
  </si>
  <si>
    <t>FF11003</t>
  </si>
  <si>
    <t>FF11004</t>
  </si>
  <si>
    <t>실사 및 등기부등본 검토</t>
  </si>
  <si>
    <t>FF11005</t>
  </si>
  <si>
    <t>FF11006</t>
  </si>
  <si>
    <t>감가상각비 테스트</t>
  </si>
  <si>
    <t>FF11007</t>
  </si>
  <si>
    <t>차입원가 테스트</t>
  </si>
  <si>
    <t>FF11008</t>
  </si>
  <si>
    <t>건설중인자산 검토</t>
  </si>
  <si>
    <t>FF11009</t>
  </si>
  <si>
    <t>FF11015</t>
  </si>
  <si>
    <t>FF11100</t>
  </si>
  <si>
    <t>종속기업 등에 대한 투자자산</t>
  </si>
  <si>
    <t>FF11102</t>
  </si>
  <si>
    <t>FF11103</t>
  </si>
  <si>
    <t>FF11104</t>
  </si>
  <si>
    <t>약정 검토</t>
  </si>
  <si>
    <t>FF11105</t>
  </si>
  <si>
    <t>FF11106</t>
  </si>
  <si>
    <t>지분법손익 테스트</t>
  </si>
  <si>
    <t>FF11107</t>
  </si>
  <si>
    <t>FF11115</t>
  </si>
  <si>
    <t>FF11200</t>
  </si>
  <si>
    <t>영업권</t>
  </si>
  <si>
    <t>FF11202</t>
  </si>
  <si>
    <t>FF11203</t>
  </si>
  <si>
    <t>FF11210</t>
  </si>
  <si>
    <t>PPA 평가</t>
  </si>
  <si>
    <t>FF11215</t>
  </si>
  <si>
    <t>FF11220</t>
  </si>
  <si>
    <t>FF12000</t>
  </si>
  <si>
    <t>FF12001</t>
  </si>
  <si>
    <t>GG10000</t>
  </si>
  <si>
    <t>GG10100</t>
  </si>
  <si>
    <t>매입채무</t>
  </si>
  <si>
    <t>GG10102</t>
  </si>
  <si>
    <t>GG10103</t>
  </si>
  <si>
    <t>GG10105</t>
  </si>
  <si>
    <t>GG10106</t>
  </si>
  <si>
    <t>부외부채 테스트</t>
  </si>
  <si>
    <t>GG10107</t>
  </si>
  <si>
    <t>우발부채 테스트</t>
  </si>
  <si>
    <t>GG10115</t>
  </si>
  <si>
    <t>GG10200</t>
  </si>
  <si>
    <t>GG10202</t>
  </si>
  <si>
    <t>특수관계자/내부거래</t>
    <phoneticPr fontId="5" type="noConversion"/>
  </si>
  <si>
    <t>GG10203</t>
  </si>
  <si>
    <t>거래 이해 및 감사계획 수립</t>
  </si>
  <si>
    <t>GG10206</t>
  </si>
  <si>
    <t>완전성 테스트</t>
  </si>
  <si>
    <t>GG10210</t>
  </si>
  <si>
    <t>거래 및 잔액 테스트</t>
  </si>
  <si>
    <t>GG10215</t>
  </si>
  <si>
    <t>GG10300</t>
  </si>
  <si>
    <t>기타부채 및 충당부채</t>
  </si>
  <si>
    <t>GG10302</t>
  </si>
  <si>
    <t>GG10303</t>
  </si>
  <si>
    <t>GG10305</t>
  </si>
  <si>
    <t>기타부채 및 충당부채 테스트</t>
  </si>
  <si>
    <t>GG10306</t>
  </si>
  <si>
    <t>GG10307</t>
  </si>
  <si>
    <t>GG10308</t>
  </si>
  <si>
    <t>GG10315</t>
  </si>
  <si>
    <t>GG10400</t>
  </si>
  <si>
    <t>GG10402</t>
  </si>
  <si>
    <t>GG10403</t>
  </si>
  <si>
    <t>GG10404</t>
  </si>
  <si>
    <t>미지급법인세/이연법인세 테스트</t>
  </si>
  <si>
    <t>GG10406</t>
  </si>
  <si>
    <t>이연법인세 실현가능성</t>
  </si>
  <si>
    <t>GG10408</t>
  </si>
  <si>
    <t>불확실한 법인세 처리 영향 평가</t>
  </si>
  <si>
    <t>GG10415</t>
  </si>
  <si>
    <t>GG10500</t>
  </si>
  <si>
    <t>차입금/복합금융상품</t>
    <phoneticPr fontId="5" type="noConversion"/>
  </si>
  <si>
    <t>GG10502</t>
  </si>
  <si>
    <t>차입금/복합금융상품</t>
  </si>
  <si>
    <t>GG10503</t>
  </si>
  <si>
    <t>GG10504</t>
  </si>
  <si>
    <t>계약서 검토</t>
  </si>
  <si>
    <t>GG10505</t>
  </si>
  <si>
    <t>차입 및 상환 테스트</t>
  </si>
  <si>
    <t>GG10506</t>
  </si>
  <si>
    <t>GG10507</t>
  </si>
  <si>
    <t>약정사항 검토</t>
  </si>
  <si>
    <t>GG10508</t>
  </si>
  <si>
    <t>이자비용 테스트</t>
  </si>
  <si>
    <t>GG10509</t>
  </si>
  <si>
    <t>GG10515</t>
  </si>
  <si>
    <t>GG10600</t>
  </si>
  <si>
    <t>GG10602</t>
  </si>
  <si>
    <t>GG10603</t>
  </si>
  <si>
    <t>GG10604</t>
  </si>
  <si>
    <t>최초 인식(분류 및 측정) 테스트</t>
  </si>
  <si>
    <t>GG10605</t>
  </si>
  <si>
    <t>후속 측정(상각스케쥴 등) 테스트</t>
  </si>
  <si>
    <t>GG10610</t>
  </si>
  <si>
    <t>GG10700</t>
  </si>
  <si>
    <t>리스부채</t>
  </si>
  <si>
    <t>GG10702</t>
  </si>
  <si>
    <t>GG10703</t>
  </si>
  <si>
    <t>GG10704</t>
  </si>
  <si>
    <t>최초 인식 테스트</t>
  </si>
  <si>
    <t>GG10705</t>
  </si>
  <si>
    <t>후속 측정 테스트</t>
  </si>
  <si>
    <t>GG10710</t>
  </si>
  <si>
    <t>GG10800</t>
  </si>
  <si>
    <t>IFRS - 확정급여부채/장기종업원급여</t>
    <phoneticPr fontId="5" type="noConversion"/>
  </si>
  <si>
    <t>GG10802</t>
  </si>
  <si>
    <t>퇴직급여/장기종업원급여</t>
    <phoneticPr fontId="5" type="noConversion"/>
  </si>
  <si>
    <t>IFRS - 확정급여부채/장기종업원급여</t>
  </si>
  <si>
    <t>GG10803</t>
  </si>
  <si>
    <t>GG10805</t>
  </si>
  <si>
    <t>가정 및 기초데이터 검토</t>
  </si>
  <si>
    <t>GG10806</t>
  </si>
  <si>
    <t>사외적립자산의 공정가치 테스트</t>
  </si>
  <si>
    <t>GG10807</t>
  </si>
  <si>
    <t>확정급여채무의 현재가치 테스트</t>
  </si>
  <si>
    <t>GG10808</t>
  </si>
  <si>
    <t>퇴직금 지급테스트</t>
  </si>
  <si>
    <t>GG10815</t>
  </si>
  <si>
    <t>GG10900</t>
  </si>
  <si>
    <t>KGAAP - 퇴직급여충당금</t>
  </si>
  <si>
    <t>GG10902</t>
  </si>
  <si>
    <t>GG10903</t>
  </si>
  <si>
    <t>GG10905</t>
  </si>
  <si>
    <t>기초데이터 검토</t>
  </si>
  <si>
    <t>GG10906</t>
  </si>
  <si>
    <t>퇴직급여충당부채 재계산</t>
  </si>
  <si>
    <t>GG10907</t>
  </si>
  <si>
    <t>GG10915</t>
  </si>
  <si>
    <t>GG11000</t>
  </si>
  <si>
    <t>부채-기타</t>
  </si>
  <si>
    <t>GG11001</t>
  </si>
  <si>
    <t>GG12000</t>
  </si>
  <si>
    <t>GG12002</t>
  </si>
  <si>
    <t>GG12003</t>
  </si>
  <si>
    <t>GG12008</t>
  </si>
  <si>
    <t>입증감사절차</t>
  </si>
  <si>
    <t>GG12010</t>
  </si>
  <si>
    <t>II10000</t>
  </si>
  <si>
    <t>II10100</t>
  </si>
  <si>
    <t>매출</t>
  </si>
  <si>
    <t>II10102</t>
  </si>
  <si>
    <t>매출(IIFRS15/K-GAAP)-일반</t>
  </si>
  <si>
    <t>II10103</t>
  </si>
  <si>
    <t>II10106</t>
  </si>
  <si>
    <t>발생사실 테스트</t>
  </si>
  <si>
    <t>II10107</t>
  </si>
  <si>
    <t>II10108</t>
  </si>
  <si>
    <t>부가세 과세표준과 매출액 대사</t>
  </si>
  <si>
    <t>II10109</t>
  </si>
  <si>
    <t>반품 및 매출할인 테스트</t>
  </si>
  <si>
    <t>II10115</t>
  </si>
  <si>
    <t>II10300</t>
  </si>
  <si>
    <t>II10302</t>
  </si>
  <si>
    <t>II10303</t>
  </si>
  <si>
    <t>II10305</t>
  </si>
  <si>
    <t>II10306</t>
  </si>
  <si>
    <t>II10310</t>
  </si>
  <si>
    <t>II10400</t>
  </si>
  <si>
    <t>매출원가</t>
  </si>
  <si>
    <t>II10402</t>
  </si>
  <si>
    <t>II10403</t>
  </si>
  <si>
    <t>II10406</t>
  </si>
  <si>
    <t>원재료/상품 매입 테스트</t>
  </si>
  <si>
    <t>II10408</t>
  </si>
  <si>
    <t>매출원가/영업비용 분류 테스트</t>
  </si>
  <si>
    <t>II10410</t>
  </si>
  <si>
    <t>II10500</t>
  </si>
  <si>
    <t>II10502</t>
  </si>
  <si>
    <t>II10503</t>
  </si>
  <si>
    <t>II10504</t>
  </si>
  <si>
    <t>II10508</t>
  </si>
  <si>
    <t>II10510</t>
  </si>
  <si>
    <t>II10600</t>
  </si>
  <si>
    <t>II10602</t>
  </si>
  <si>
    <t>II10603</t>
  </si>
  <si>
    <t>II10606</t>
  </si>
  <si>
    <t>급여대장 reconciliation</t>
  </si>
  <si>
    <t>II10607</t>
  </si>
  <si>
    <t>급여대장 기초data 검토</t>
  </si>
  <si>
    <t>II10608</t>
  </si>
  <si>
    <t>급여지급 테스트</t>
  </si>
  <si>
    <t>II10609</t>
  </si>
  <si>
    <t>급여 관련 부채 테스트</t>
  </si>
  <si>
    <t>II10615</t>
  </si>
  <si>
    <t>II10700</t>
  </si>
  <si>
    <t>II10702</t>
  </si>
  <si>
    <t>II10703</t>
  </si>
  <si>
    <t>II10705</t>
  </si>
  <si>
    <t>II10710</t>
  </si>
  <si>
    <t>II10800</t>
  </si>
  <si>
    <t>주식기준보상비용</t>
  </si>
  <si>
    <t>II10802</t>
  </si>
  <si>
    <t>II10803</t>
  </si>
  <si>
    <t>II10804</t>
  </si>
  <si>
    <t>II10810</t>
  </si>
  <si>
    <t>II10900</t>
  </si>
  <si>
    <t>비용-기타</t>
  </si>
  <si>
    <t>II10902</t>
  </si>
  <si>
    <t>II10903</t>
  </si>
  <si>
    <t>II10905</t>
  </si>
  <si>
    <t>II10910</t>
  </si>
  <si>
    <t>KK10000</t>
  </si>
  <si>
    <t>KK10200</t>
  </si>
  <si>
    <t>연결프로세스 및 회계정책 이해</t>
  </si>
  <si>
    <t>KK10201</t>
  </si>
  <si>
    <t>KK10300</t>
  </si>
  <si>
    <t>연결범위 검토</t>
  </si>
  <si>
    <t>KK10301</t>
  </si>
  <si>
    <t>KK10400</t>
  </si>
  <si>
    <t>연결절차 테스트</t>
  </si>
  <si>
    <t>KK10401</t>
  </si>
  <si>
    <t>KK10500</t>
  </si>
  <si>
    <t>Package 대사</t>
  </si>
  <si>
    <t>KK10501</t>
  </si>
  <si>
    <t>KK10600</t>
  </si>
  <si>
    <t>연결법인세 테스트</t>
  </si>
  <si>
    <t>KK10601</t>
  </si>
  <si>
    <t>KK10700</t>
  </si>
  <si>
    <t>부문감사인 업무 평가</t>
  </si>
  <si>
    <t>KK10701</t>
  </si>
  <si>
    <t>KK10900</t>
  </si>
  <si>
    <t>KK10901</t>
  </si>
  <si>
    <t>LL10000</t>
  </si>
  <si>
    <t>LL10100</t>
  </si>
  <si>
    <t>LL10102</t>
  </si>
  <si>
    <t>LL10103</t>
  </si>
  <si>
    <t>LL10150</t>
  </si>
  <si>
    <t>공시사항 점검표(E-Checker)</t>
  </si>
  <si>
    <t>LL10200</t>
  </si>
  <si>
    <t>LL10202</t>
  </si>
  <si>
    <t>LL10203</t>
  </si>
  <si>
    <t>LL10300</t>
  </si>
  <si>
    <t>최종 분석적절차</t>
  </si>
  <si>
    <t>LL10302</t>
  </si>
  <si>
    <t>LL10303</t>
  </si>
  <si>
    <t>LL10400</t>
  </si>
  <si>
    <t>LL10402</t>
  </si>
  <si>
    <t>LL10403</t>
  </si>
  <si>
    <t>LL10500</t>
  </si>
  <si>
    <t>Tie-out</t>
  </si>
  <si>
    <t>LL10502</t>
  </si>
  <si>
    <t>LL10503</t>
  </si>
  <si>
    <t>LL10600</t>
  </si>
  <si>
    <t>GA/CA 종결절차</t>
  </si>
  <si>
    <t>LL10605</t>
  </si>
  <si>
    <t>LL10610</t>
  </si>
  <si>
    <t>LL10700</t>
  </si>
  <si>
    <t>LL10701</t>
  </si>
  <si>
    <t>LL10800</t>
  </si>
  <si>
    <t>LL10801</t>
  </si>
  <si>
    <t>LL14000</t>
  </si>
  <si>
    <t>LL14001</t>
  </si>
  <si>
    <t>LL19000</t>
  </si>
  <si>
    <t>LL19001</t>
  </si>
  <si>
    <t>참조</t>
    <phoneticPr fontId="5" type="noConversion"/>
  </si>
  <si>
    <t>Indirect1</t>
    <phoneticPr fontId="5" type="noConversion"/>
  </si>
  <si>
    <t>Indirect2</t>
    <phoneticPr fontId="5" type="noConversion"/>
  </si>
  <si>
    <t>상태</t>
    <phoneticPr fontId="5" type="noConversion"/>
  </si>
  <si>
    <t>비고1</t>
    <phoneticPr fontId="5" type="noConversion"/>
  </si>
  <si>
    <t>비고2</t>
    <phoneticPr fontId="5" type="noConversion"/>
  </si>
  <si>
    <t>Range_1_01</t>
  </si>
  <si>
    <t>='B_ET 기본정보'!$C$5</t>
  </si>
  <si>
    <t>1. 당기 감사 Client 기본 정보 &lt;&lt; 지원코드인경우는 미작성</t>
  </si>
  <si>
    <t>Range_1_02</t>
  </si>
  <si>
    <t>='B_ET 기본정보'!$C$6</t>
  </si>
  <si>
    <t>Range_1_03</t>
  </si>
  <si>
    <t>='B_ET 기본정보'!$C$7</t>
  </si>
  <si>
    <t>Range_1_04</t>
  </si>
  <si>
    <t>='B_ET 기본정보'!$C$8</t>
  </si>
  <si>
    <t>Range_1_05</t>
  </si>
  <si>
    <t>='B_ET 기본정보'!$C$9</t>
  </si>
  <si>
    <t>Range_1_06</t>
  </si>
  <si>
    <t>='B_ET 기본정보'!$C$10</t>
  </si>
  <si>
    <t>Range_1_07</t>
  </si>
  <si>
    <t>='B_ET 기본정보'!$C$11</t>
  </si>
  <si>
    <t>Range_1_08</t>
  </si>
  <si>
    <t>='B_ET 기본정보'!$C$12</t>
  </si>
  <si>
    <t>Range_1_09</t>
  </si>
  <si>
    <t>='B_ET 기본정보'!$C$13</t>
  </si>
  <si>
    <t>Range_1_10</t>
  </si>
  <si>
    <t>='B_ET 기본정보'!$C$14</t>
  </si>
  <si>
    <t>Range_1_11</t>
  </si>
  <si>
    <t>='B_ET 기본정보'!$C$15</t>
  </si>
  <si>
    <t>Range_2_01</t>
  </si>
  <si>
    <t>='B_ET 기본정보'!$C$20</t>
  </si>
  <si>
    <t>1) Project code</t>
  </si>
  <si>
    <t>Range_2_02</t>
  </si>
  <si>
    <t>='B_ET 기본정보'!$C$21</t>
  </si>
  <si>
    <t>2) Project 명</t>
  </si>
  <si>
    <t>Range_2_03</t>
  </si>
  <si>
    <t>='B_ET 기본정보'!$C$22</t>
  </si>
  <si>
    <t>3) 본부명</t>
  </si>
  <si>
    <t>Range_2_04</t>
  </si>
  <si>
    <t>='B_ET 기본정보'!$C$23</t>
  </si>
  <si>
    <t>4) EL</t>
  </si>
  <si>
    <t>Range_2_05</t>
  </si>
  <si>
    <t>='B_ET 기본정보'!$C$24</t>
  </si>
  <si>
    <t>5) PM</t>
  </si>
  <si>
    <t>Range_3_01</t>
  </si>
  <si>
    <t>='B_ET 기본정보'!$C$29</t>
  </si>
  <si>
    <t>1) QRP</t>
  </si>
  <si>
    <t>Range_3_02</t>
  </si>
  <si>
    <t>='B_ET 기본정보'!$C$30</t>
  </si>
  <si>
    <t xml:space="preserve">2) RM-Partner </t>
  </si>
  <si>
    <t>Range_3_03</t>
  </si>
  <si>
    <t>='B_ET 기본정보'!$C$31</t>
  </si>
  <si>
    <t xml:space="preserve">3) RM-Partner 외 </t>
  </si>
  <si>
    <t>Range_3_04</t>
  </si>
  <si>
    <t>='B_ET 기본정보'!$C$32</t>
  </si>
  <si>
    <t>Range_3_05</t>
  </si>
  <si>
    <t>='B_ET 기본정보'!$C$33</t>
  </si>
  <si>
    <t>Range_5_01</t>
  </si>
  <si>
    <t>='D_2606 budget template'!$C$3</t>
  </si>
  <si>
    <t>budget template</t>
    <phoneticPr fontId="5" type="noConversion"/>
  </si>
  <si>
    <t>1) 계약시간</t>
  </si>
  <si>
    <t>Range_5_02</t>
  </si>
  <si>
    <t>='D_2606 budget template'!$C$4</t>
  </si>
  <si>
    <t>Range_5_03</t>
  </si>
  <si>
    <t>='D_2606 budget template'!$C$5</t>
  </si>
  <si>
    <t>3) QRP, RM 등 시간</t>
  </si>
  <si>
    <t>Range_5_04</t>
  </si>
  <si>
    <t>='D_2606 budget template'!$C$6</t>
  </si>
  <si>
    <t>4) FLDT-EL 시간</t>
  </si>
  <si>
    <t>Range_5_05</t>
  </si>
  <si>
    <t>='D_2606 budget template'!$C$7</t>
  </si>
  <si>
    <t>5) FLDT-PM 시간</t>
  </si>
  <si>
    <t>Range_5_06</t>
  </si>
  <si>
    <t>='D_2606 budget template'!$C$8</t>
  </si>
  <si>
    <t>6) RA-EL/PM 시간</t>
  </si>
  <si>
    <t>Range_5_07</t>
  </si>
  <si>
    <t>='D_2606 budget template'!$C$9</t>
  </si>
  <si>
    <t>7) ET controllable budget</t>
  </si>
  <si>
    <t>Range_5_08</t>
  </si>
  <si>
    <t>='D_2606 budget template'!$C$10</t>
  </si>
  <si>
    <t>8-1) Fulcrum 활용 시간</t>
  </si>
  <si>
    <t>Range_5_09</t>
  </si>
  <si>
    <t>='D_2606 budget template'!$C$11</t>
  </si>
  <si>
    <t>8-2) RA-Staff 활용 시간</t>
  </si>
  <si>
    <t>Range_5_10</t>
  </si>
  <si>
    <t>='D_2606 budget template'!$C$12</t>
  </si>
  <si>
    <t>8-3) Specialist 활용 시간</t>
  </si>
  <si>
    <t>Range_5_11</t>
  </si>
  <si>
    <t>='D_2606 budget template'!$C$13</t>
  </si>
  <si>
    <t>8-4) FLDT budget</t>
  </si>
  <si>
    <t>Range_5_12</t>
  </si>
  <si>
    <t>='D_2606 budget template'!$C$14</t>
  </si>
  <si>
    <t>8-5) 지방/해외 출장 시간</t>
  </si>
  <si>
    <t>Range_5_13</t>
  </si>
  <si>
    <t>='D_2606 budget template'!$C$15</t>
  </si>
  <si>
    <t>① 배부 검증 - 전체 시간</t>
  </si>
  <si>
    <t>Range_5_14</t>
  </si>
  <si>
    <t>='D_2606 budget template'!$C$16</t>
  </si>
  <si>
    <t>② 배부 검증 - FLDT 시간</t>
  </si>
  <si>
    <t>Range_5_15</t>
  </si>
  <si>
    <t>='D_2606 budget template'!$C$17</t>
  </si>
  <si>
    <t>③ 배부 검증 - 월별합계검증</t>
  </si>
  <si>
    <t>Range_5_16</t>
  </si>
  <si>
    <t>='D_2606 budget template'!$C$18</t>
  </si>
  <si>
    <t>9) Budget 작성 주기</t>
  </si>
  <si>
    <t>Range_5_17</t>
  </si>
  <si>
    <t>='D_2606 budget template'!$C$19</t>
  </si>
  <si>
    <t>10) Template 작성 완료여부</t>
  </si>
  <si>
    <t>Range_Header_01</t>
  </si>
  <si>
    <t>='D_2606 budget template'!$K$21</t>
  </si>
  <si>
    <t>Header</t>
    <phoneticPr fontId="5" type="noConversion"/>
  </si>
  <si>
    <t>HeaderDatevalue1</t>
    <phoneticPr fontId="5" type="noConversion"/>
  </si>
  <si>
    <t>Range_Header_02</t>
  </si>
  <si>
    <t>='D_2606 budget template'!$L$21</t>
  </si>
  <si>
    <t>HeaderDatevalue2</t>
    <phoneticPr fontId="5" type="noConversion"/>
  </si>
  <si>
    <t>Range_Header_03</t>
  </si>
  <si>
    <t>='D_2606 budget template'!$M$21</t>
  </si>
  <si>
    <t>HeaderDatevalue3</t>
  </si>
  <si>
    <t>Range_Header_04</t>
  </si>
  <si>
    <t>='D_2606 budget template'!$N$21</t>
  </si>
  <si>
    <t>HeaderDatevalue4</t>
  </si>
  <si>
    <t>Range_Header_05</t>
  </si>
  <si>
    <t>='D_2606 budget template'!$O$21</t>
  </si>
  <si>
    <t>HeaderDatevalue5</t>
  </si>
  <si>
    <t>Range_Header_06</t>
  </si>
  <si>
    <t>='D_2606 budget template'!$P$21</t>
  </si>
  <si>
    <t>HeaderDatevalue6</t>
  </si>
  <si>
    <t>Range_Header_07</t>
  </si>
  <si>
    <t>='D_2606 budget template'!$Q$21</t>
  </si>
  <si>
    <t>HeaderDatevalue7</t>
  </si>
  <si>
    <t>Range_Header_08</t>
  </si>
  <si>
    <t>='D_2606 budget template'!$R$21</t>
  </si>
  <si>
    <t>HeaderDatevalue8</t>
  </si>
  <si>
    <t>Range_Header_09</t>
  </si>
  <si>
    <t>='D_2606 budget template'!$S$21</t>
  </si>
  <si>
    <t>HeaderDatevalue9</t>
  </si>
  <si>
    <t>Range_Header_10</t>
  </si>
  <si>
    <t>='D_2606 budget template'!$T$21</t>
  </si>
  <si>
    <t>HeaderDatevalue10</t>
  </si>
  <si>
    <t>Range_Header_11</t>
  </si>
  <si>
    <t>='D_2606 budget template'!$U$21</t>
  </si>
  <si>
    <t>HeaderDatevalue11</t>
  </si>
  <si>
    <t>Range_Header_12</t>
  </si>
  <si>
    <t>='D_2606 budget template'!$V$21</t>
  </si>
  <si>
    <t>HeaderDatevalue12</t>
  </si>
  <si>
    <t>비금융</t>
    <phoneticPr fontId="5" type="noConversion"/>
  </si>
  <si>
    <t>금융</t>
    <phoneticPr fontId="5" type="noConversion"/>
  </si>
  <si>
    <t>업무개시연월</t>
    <phoneticPr fontId="5" type="noConversion"/>
  </si>
  <si>
    <t>기타(특수관계자/법률 및 규정)</t>
    <phoneticPr fontId="5" type="noConversion"/>
  </si>
  <si>
    <t>KICS</t>
  </si>
  <si>
    <t>대출채권-일반</t>
    <phoneticPr fontId="5" type="noConversion"/>
  </si>
  <si>
    <t>대출채권-조회 및 약정서 확인</t>
    <phoneticPr fontId="5" type="noConversion"/>
  </si>
  <si>
    <t>대출채권 대손충당금 - 일반</t>
    <phoneticPr fontId="5" type="noConversion"/>
  </si>
  <si>
    <t>대출채권 대손충당금 - Risk Component 검증</t>
    <phoneticPr fontId="5" type="noConversion"/>
  </si>
  <si>
    <t>대출채권 대손충당금 - Forward Looking 검증</t>
    <phoneticPr fontId="5" type="noConversion"/>
  </si>
  <si>
    <t>재보험계약자산-일반</t>
  </si>
  <si>
    <t>재보험계약자산-결산</t>
  </si>
  <si>
    <t>차입금/복합금융상품-일반</t>
    <phoneticPr fontId="5" type="noConversion"/>
  </si>
  <si>
    <t>차입금/복합금융상품-공정가치평가</t>
    <phoneticPr fontId="5" type="noConversion"/>
  </si>
  <si>
    <t>차입금/복합금융상품-약정사항 검토</t>
    <phoneticPr fontId="5" type="noConversion"/>
  </si>
  <si>
    <t>예수부채</t>
    <phoneticPr fontId="5" type="noConversion"/>
  </si>
  <si>
    <t>보험계약부채-일반</t>
  </si>
  <si>
    <t>보험계약부채-결산</t>
  </si>
  <si>
    <t>영업비용</t>
    <phoneticPr fontId="5" type="noConversion"/>
  </si>
  <si>
    <t>인건비</t>
    <phoneticPr fontId="5" type="noConversion"/>
  </si>
  <si>
    <t>주석검토-별도</t>
    <phoneticPr fontId="5" type="noConversion"/>
  </si>
  <si>
    <t>주석검토-연결</t>
    <phoneticPr fontId="5" type="noConversion"/>
  </si>
  <si>
    <t>(금융)수수료 수익/비용</t>
    <phoneticPr fontId="5" type="noConversion"/>
  </si>
  <si>
    <t>외국어 보고서</t>
    <phoneticPr fontId="5" type="noConversion"/>
  </si>
  <si>
    <t>기말감사 - 연결일반</t>
    <phoneticPr fontId="5" type="noConversion"/>
  </si>
  <si>
    <t>내부회계검토</t>
    <phoneticPr fontId="5" type="noConversion"/>
  </si>
  <si>
    <t>최소영업자본액 검토</t>
  </si>
  <si>
    <t>순영업자본비율(NCR) 검토</t>
  </si>
  <si>
    <t>(금융)설계평가-내부통제-예수부채</t>
  </si>
  <si>
    <t>(금융)설계평가-내부통제-보험계약부채(IFRS17)</t>
  </si>
  <si>
    <t>(금융)설계평가-내부통제-재보험계약자산(IFRS17)</t>
  </si>
  <si>
    <t>(금융)설계평가-내부통제-보험료/보험금/사업비 등</t>
  </si>
  <si>
    <t>(금융)운영평가-내부통제-유가증권</t>
  </si>
  <si>
    <t>(금융)운영평가-내부통제-파생상품</t>
  </si>
  <si>
    <t>(금융)운영평가-내부통제-대출채권</t>
  </si>
  <si>
    <t>(금융)운영평가-내부통제-대출채권 대손충당금</t>
  </si>
  <si>
    <t>(금융)운영평가-내부통제-예수부채</t>
  </si>
  <si>
    <t>(금융)운영평가-내부통제-보험계약부채(IFRS17)</t>
  </si>
  <si>
    <t>(금융)운영평가-내부통제-재보험계약자산(IFRS17)</t>
  </si>
  <si>
    <t>(금융)운영평가-내부통제-보험료/보험금/사업비 등</t>
  </si>
  <si>
    <t>KICS - 일반</t>
  </si>
  <si>
    <t>KICS - 지급여력기준금액</t>
  </si>
  <si>
    <t>No</t>
  </si>
  <si>
    <t>분류1</t>
    <phoneticPr fontId="21" type="noConversion"/>
  </si>
  <si>
    <t>분류2</t>
    <phoneticPr fontId="21" type="noConversion"/>
  </si>
  <si>
    <t>분류3</t>
    <phoneticPr fontId="21" type="noConversion"/>
  </si>
  <si>
    <t>분류4</t>
    <phoneticPr fontId="21" type="noConversion"/>
  </si>
  <si>
    <t>초도감사</t>
    <phoneticPr fontId="5" type="noConversion"/>
  </si>
  <si>
    <t>대출채권-일반</t>
  </si>
  <si>
    <t>대출채권-조회 및 약정서 확인</t>
  </si>
  <si>
    <t>대출채권 대손충당금 - 일반</t>
  </si>
  <si>
    <t>대출채권 대손충당금 - Risk Component 검증</t>
  </si>
  <si>
    <t>대출채권 대손충당금 - Forward Looking 검증</t>
  </si>
  <si>
    <t>예수부채</t>
  </si>
  <si>
    <t>(금융)수수료 수익/비용</t>
  </si>
  <si>
    <t>검증</t>
    <phoneticPr fontId="5" type="noConversion"/>
  </si>
  <si>
    <t>A1</t>
  </si>
  <si>
    <t>① 제조업</t>
  </si>
  <si>
    <t>5천억 미만.상장</t>
  </si>
  <si>
    <t>① 작성</t>
  </si>
  <si>
    <t>A2</t>
  </si>
  <si>
    <t>5천억 미만.비상장</t>
  </si>
  <si>
    <t>④ 의무없음</t>
  </si>
  <si>
    <t>A3</t>
  </si>
  <si>
    <t>5천억 이상.상장</t>
  </si>
  <si>
    <t>① 내부회계감사(연결)</t>
  </si>
  <si>
    <t>A4</t>
  </si>
  <si>
    <t>5천억 이상.비상장</t>
  </si>
  <si>
    <t>③ 내부회계검토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</si>
  <si>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</si>
  <si>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</si>
  <si>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</si>
  <si>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</si>
  <si>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</si>
  <si>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</si>
  <si>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</si>
  <si>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</si>
  <si>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</si>
  <si>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</si>
  <si>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</si>
  <si>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</si>
  <si>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</si>
  <si>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② 서비스업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</si>
  <si>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</si>
  <si>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</si>
  <si>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</si>
  <si>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</si>
  <si>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</si>
  <si>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</si>
  <si>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</si>
  <si>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</si>
  <si>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</si>
  <si>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</si>
  <si>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</si>
  <si>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</si>
  <si>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</si>
  <si>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③ 건설업</t>
  </si>
  <si>
    <t>A31</t>
  </si>
  <si>
    <t>A32</t>
  </si>
  <si>
    <t>A33</t>
  </si>
  <si>
    <t>A34</t>
  </si>
  <si>
    <t>A35</t>
  </si>
  <si>
    <t>④ 금융업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</si>
  <si>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</si>
  <si>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</si>
  <si>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</si>
  <si>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</si>
  <si>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</si>
  <si>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</si>
  <si>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</si>
  <si>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</si>
  <si>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</si>
  <si>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</si>
  <si>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</si>
  <si>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</si>
  <si>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</si>
  <si>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</si>
  <si>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</si>
  <si>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</si>
  <si>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</si>
  <si>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</si>
  <si>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</si>
  <si>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</si>
  <si>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</si>
  <si>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</si>
  <si>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</si>
  <si>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⑥ 기타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</si>
  <si>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</si>
  <si>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</si>
  <si>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</si>
  <si>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</si>
  <si>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</si>
  <si>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</si>
  <si>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</si>
  <si>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</si>
  <si>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</si>
  <si>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</si>
  <si>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</si>
  <si>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</si>
  <si>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</si>
  <si>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</si>
  <si>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⑦ 금융업-보험</t>
  </si>
  <si>
    <t>A73</t>
  </si>
  <si>
    <t>A74</t>
  </si>
  <si>
    <t>A75</t>
  </si>
  <si>
    <t>A76</t>
  </si>
  <si>
    <t>A77</t>
  </si>
  <si>
    <t>A78</t>
  </si>
  <si>
    <t>B1</t>
  </si>
  <si>
    <t>금융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</si>
  <si>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</si>
  <si>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</si>
  <si>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</si>
  <si>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</si>
  <si>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</si>
  <si>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</si>
  <si>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</si>
  <si>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</si>
  <si>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</si>
  <si>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</si>
  <si>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</si>
  <si>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비금융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</si>
  <si>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</si>
  <si>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</si>
  <si>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</si>
  <si>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</si>
  <si>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</si>
  <si>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</si>
  <si>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</si>
  <si>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</si>
  <si>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</si>
  <si>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</si>
  <si>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</si>
  <si>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</si>
  <si>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</si>
  <si>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</si>
  <si>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</si>
  <si>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</si>
  <si>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</si>
  <si>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</si>
  <si>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C1</t>
    <phoneticPr fontId="21" type="noConversion"/>
  </si>
  <si>
    <t>C2</t>
    <phoneticPr fontId="21" type="noConversion"/>
  </si>
  <si>
    <t>index</t>
    <phoneticPr fontId="21" type="noConversion"/>
  </si>
  <si>
    <t>표준산업분류</t>
  </si>
  <si>
    <t>자산규모</t>
    <phoneticPr fontId="21" type="noConversion"/>
  </si>
  <si>
    <t>상장</t>
  </si>
  <si>
    <t>연결재무제표작성</t>
  </si>
  <si>
    <t>내부회계관리제도</t>
  </si>
  <si>
    <t>map</t>
    <phoneticPr fontId="5" type="noConversion"/>
  </si>
  <si>
    <t>① 별도 2조&amp;연결 5조(자산매출평균) 이상</t>
  </si>
  <si>
    <t>① 유가증권상장</t>
  </si>
  <si>
    <t>C2</t>
  </si>
  <si>
    <t>② 코스닥상장</t>
  </si>
  <si>
    <t>③ 코넥스상장</t>
  </si>
  <si>
    <t>④ 채권상장</t>
  </si>
  <si>
    <t>⑤ 상장예정</t>
  </si>
  <si>
    <t>② 별도 2조이상</t>
  </si>
  <si>
    <t>③ 별도 2조미만 ~ 5천억이상</t>
  </si>
  <si>
    <t>④ 별도 5천억미만 ~ 1천억이상</t>
  </si>
  <si>
    <t>⑥ 별도 500억미만 ~ 200억이상</t>
  </si>
  <si>
    <t>⑦ 별도 200억 미만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</si>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</sst>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_(* #,##0_);_(* \(#,##0\);_(* &quot;-&quot;_);_(@_)"/>
    <numFmt numFmtId="177" formatCode="yyyy&quot;년&quot;\ m&quot;월&quot;;@"/>
    <numFmt numFmtId="178" formatCode="_-* #,##0.0_-;\-* #,##0.0_-;_-* &quot;-&quot;_-;_-@_-"/>
    <numFmt numFmtId="179" formatCode="#,##0.0_);[Red]\(#,##0.0\)"/>
    <numFmt numFmtId="180" formatCode="0.0%"/>
    <numFmt numFmtId="181" formatCode="_-* #,##0.0_-;\-* #,##0.0_-;_-* &quot;-&quot;?_-;_-@_-"/>
    <numFmt numFmtId="182" formatCode="0.00_ "/>
    <numFmt numFmtId="183" formatCode="#,##0.000"/>
    <numFmt numFmtId="184" formatCode="0.0"/>
    <numFmt numFmtId="185" formatCode="0_);[Red]\(0\)"/>
    <numFmt numFmtId="186" formatCode="_(* #,##0.0_);_(* \(#,##0.0\);_(* &quot;-&quot;?_);_(@_)"/>
  </numFmts>
  <fonts count="4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u/>
      <sz val="48"/>
      <color theme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4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theme="0" tint="-0.499984740745262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sz val="8"/>
      <color theme="0" tint="-0.249977111117893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9"/>
      <color theme="0" tint="-0.499984740745262"/>
      <name val="맑은 고딕"/>
      <family val="3"/>
      <charset val="129"/>
    </font>
    <font>
      <i/>
      <sz val="8"/>
      <color indexed="23"/>
      <name val="Arial"/>
      <family val="2"/>
    </font>
    <font>
      <b/>
      <sz val="9"/>
      <color indexed="0"/>
      <name val="Arial"/>
      <family val="2"/>
    </font>
    <font>
      <b/>
      <sz val="9"/>
      <color indexed="63"/>
      <name val="맑은 고딕"/>
      <family val="3"/>
      <charset val="129"/>
    </font>
    <font>
      <b/>
      <i/>
      <sz val="8"/>
      <color indexed="23"/>
      <name val="맑은 고딕"/>
      <family val="3"/>
      <charset val="129"/>
    </font>
    <font>
      <b/>
      <i/>
      <sz val="8"/>
      <color indexed="10"/>
      <name val="맑은 고딕"/>
      <family val="3"/>
      <charset val="129"/>
    </font>
    <font>
      <sz val="10"/>
      <name val="Arial"/>
      <family val="2"/>
    </font>
    <font>
      <i/>
      <sz val="8"/>
      <color indexed="23"/>
      <name val="맑은 고딕"/>
      <family val="3"/>
      <charset val="129"/>
    </font>
    <font>
      <i/>
      <sz val="10"/>
      <color rgb="FFFF0000"/>
      <name val="맑은 고딕"/>
      <family val="3"/>
      <charset val="129"/>
    </font>
    <font>
      <i/>
      <sz val="10"/>
      <color theme="1" tint="0.14999847407452621"/>
      <name val="맑은 고딕"/>
      <family val="3"/>
      <charset val="129"/>
    </font>
    <font>
      <sz val="10"/>
      <color indexed="63"/>
      <name val="맑은 고딕"/>
      <family val="3"/>
      <charset val="129"/>
    </font>
    <font>
      <i/>
      <sz val="10"/>
      <color indexed="63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darkGray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1E5FE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9D9D9"/>
        <bgColor rgb="FF000000"/>
      </patternFill>
    </fill>
  </fills>
  <borders count="7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n">
        <color rgb="FFA4BED4"/>
      </left>
      <right style="thin">
        <color rgb="FFA4BED4"/>
      </right>
      <top style="thin">
        <color rgb="FFA4BED4"/>
      </top>
      <bottom style="thin">
        <color rgb="FFA4BED4"/>
      </bottom>
      <diagonal/>
    </border>
    <border>
      <left style="thin">
        <color rgb="FFA4BED4"/>
      </left>
      <right style="thin">
        <color rgb="FFA4BED4"/>
      </right>
      <top/>
      <bottom style="thin">
        <color rgb="FFA4BED4"/>
      </bottom>
      <diagonal/>
    </border>
    <border>
      <left style="hair">
        <color indexed="22"/>
      </left>
      <right style="medium">
        <color theme="1"/>
      </right>
      <top style="medium">
        <color theme="1"/>
      </top>
      <bottom style="hair">
        <color indexed="22"/>
      </bottom>
      <diagonal/>
    </border>
    <border>
      <left style="hair">
        <color indexed="22"/>
      </left>
      <right style="medium">
        <color theme="1"/>
      </right>
      <top style="hair">
        <color indexed="22"/>
      </top>
      <bottom/>
      <diagonal/>
    </border>
    <border>
      <left style="medium">
        <color theme="1"/>
      </left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hair">
        <color indexed="55"/>
      </left>
      <right style="medium">
        <color theme="1"/>
      </right>
      <top style="thin">
        <color indexed="55"/>
      </top>
      <bottom style="thin">
        <color indexed="55"/>
      </bottom>
      <diagonal/>
    </border>
    <border>
      <left style="medium">
        <color theme="1"/>
      </left>
      <right/>
      <top style="thin">
        <color indexed="55"/>
      </top>
      <bottom style="hair">
        <color indexed="55"/>
      </bottom>
      <diagonal/>
    </border>
    <border>
      <left style="hair">
        <color indexed="55"/>
      </left>
      <right/>
      <top style="thin">
        <color indexed="55"/>
      </top>
      <bottom style="hair">
        <color indexed="55"/>
      </bottom>
      <diagonal/>
    </border>
    <border>
      <left style="thin">
        <color indexed="55"/>
      </left>
      <right/>
      <top style="thin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thin">
        <color indexed="55"/>
      </top>
      <bottom style="hair">
        <color indexed="55"/>
      </bottom>
      <diagonal/>
    </border>
    <border>
      <left/>
      <right/>
      <top style="thin">
        <color indexed="55"/>
      </top>
      <bottom style="hair">
        <color indexed="55"/>
      </bottom>
      <diagonal/>
    </border>
    <border>
      <left style="hair">
        <color indexed="55"/>
      </left>
      <right style="medium">
        <color theme="1"/>
      </right>
      <top style="thin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thin">
        <color indexed="55"/>
      </top>
      <bottom style="thin">
        <color indexed="55"/>
      </bottom>
      <diagonal/>
    </border>
    <border>
      <left style="medium">
        <color theme="1"/>
      </left>
      <right/>
      <top style="thin">
        <color indexed="55"/>
      </top>
      <bottom style="medium">
        <color theme="1"/>
      </bottom>
      <diagonal/>
    </border>
    <border>
      <left style="hair">
        <color indexed="55"/>
      </left>
      <right/>
      <top style="thin">
        <color indexed="55"/>
      </top>
      <bottom style="medium">
        <color theme="1"/>
      </bottom>
      <diagonal/>
    </border>
    <border>
      <left style="thin">
        <color indexed="55"/>
      </left>
      <right/>
      <top style="thin">
        <color indexed="55"/>
      </top>
      <bottom style="medium">
        <color theme="1"/>
      </bottom>
      <diagonal/>
    </border>
    <border>
      <left style="hair">
        <color indexed="55"/>
      </left>
      <right style="hair">
        <color indexed="55"/>
      </right>
      <top style="thin">
        <color indexed="55"/>
      </top>
      <bottom style="medium">
        <color theme="1"/>
      </bottom>
      <diagonal/>
    </border>
    <border>
      <left style="hair">
        <color indexed="55"/>
      </left>
      <right style="medium">
        <color theme="1"/>
      </right>
      <top style="thin">
        <color indexed="55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6" fillId="0" borderId="0"/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48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6" fillId="0" borderId="0" xfId="2"/>
    <xf numFmtId="176" fontId="8" fillId="0" borderId="0" xfId="3" applyFont="1" applyAlignment="1"/>
    <xf numFmtId="0" fontId="9" fillId="0" borderId="0" xfId="2" applyFont="1"/>
    <xf numFmtId="176" fontId="9" fillId="0" borderId="0" xfId="3" applyFont="1" applyAlignment="1"/>
    <xf numFmtId="176" fontId="8" fillId="2" borderId="1" xfId="3" applyFont="1" applyFill="1" applyBorder="1" applyAlignment="1">
      <alignment horizontal="center" vertical="center"/>
    </xf>
    <xf numFmtId="176" fontId="9" fillId="0" borderId="1" xfId="3" applyFont="1" applyBorder="1" applyAlignment="1"/>
    <xf numFmtId="0" fontId="9" fillId="3" borderId="2" xfId="2" applyFont="1" applyFill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177" fontId="9" fillId="3" borderId="3" xfId="2" applyNumberFormat="1" applyFont="1" applyFill="1" applyBorder="1" applyAlignment="1">
      <alignment horizontal="left" vertical="center"/>
    </xf>
    <xf numFmtId="176" fontId="9" fillId="3" borderId="4" xfId="3" applyFont="1" applyFill="1" applyBorder="1" applyAlignment="1">
      <alignment horizontal="left" vertical="center"/>
    </xf>
    <xf numFmtId="176" fontId="9" fillId="0" borderId="0" xfId="3" applyFont="1" applyBorder="1" applyAlignment="1"/>
    <xf numFmtId="0" fontId="9" fillId="0" borderId="0" xfId="2" applyFont="1" applyAlignment="1">
      <alignment horizontal="left"/>
    </xf>
    <xf numFmtId="176" fontId="8" fillId="2" borderId="5" xfId="3" applyFont="1" applyFill="1" applyBorder="1" applyAlignment="1">
      <alignment horizontal="center" vertical="center"/>
    </xf>
    <xf numFmtId="176" fontId="9" fillId="0" borderId="1" xfId="3" applyFont="1" applyBorder="1" applyAlignment="1">
      <alignment vertical="center"/>
    </xf>
    <xf numFmtId="0" fontId="9" fillId="0" borderId="5" xfId="2" applyFont="1" applyBorder="1" applyAlignment="1">
      <alignment vertical="center"/>
    </xf>
    <xf numFmtId="0" fontId="9" fillId="4" borderId="0" xfId="2" applyFont="1" applyFill="1" applyAlignment="1">
      <alignment vertical="center"/>
    </xf>
    <xf numFmtId="0" fontId="9" fillId="4" borderId="6" xfId="2" applyFont="1" applyFill="1" applyBorder="1" applyAlignment="1">
      <alignment vertical="center"/>
    </xf>
    <xf numFmtId="0" fontId="9" fillId="3" borderId="2" xfId="3" applyNumberFormat="1" applyFont="1" applyFill="1" applyBorder="1" applyAlignment="1">
      <alignment vertical="center"/>
    </xf>
    <xf numFmtId="0" fontId="9" fillId="3" borderId="4" xfId="3" applyNumberFormat="1" applyFont="1" applyFill="1" applyBorder="1" applyAlignment="1">
      <alignment vertical="center"/>
    </xf>
    <xf numFmtId="176" fontId="8" fillId="2" borderId="7" xfId="3" applyFont="1" applyFill="1" applyBorder="1" applyAlignment="1">
      <alignment horizontal="center" vertical="center"/>
    </xf>
    <xf numFmtId="176" fontId="9" fillId="3" borderId="2" xfId="3" applyFont="1" applyFill="1" applyBorder="1" applyAlignment="1">
      <alignment vertical="center"/>
    </xf>
    <xf numFmtId="176" fontId="9" fillId="3" borderId="3" xfId="3" applyFont="1" applyFill="1" applyBorder="1" applyAlignment="1">
      <alignment vertical="center"/>
    </xf>
    <xf numFmtId="176" fontId="11" fillId="0" borderId="0" xfId="3" applyFont="1" applyAlignment="1"/>
    <xf numFmtId="176" fontId="0" fillId="0" borderId="0" xfId="3" applyFont="1" applyAlignment="1"/>
    <xf numFmtId="0" fontId="12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0" fontId="14" fillId="0" borderId="0" xfId="2" applyFont="1" applyAlignment="1">
      <alignment horizontal="center"/>
    </xf>
    <xf numFmtId="178" fontId="8" fillId="5" borderId="8" xfId="3" applyNumberFormat="1" applyFont="1" applyFill="1" applyBorder="1" applyAlignment="1">
      <alignment vertical="center"/>
    </xf>
    <xf numFmtId="176" fontId="8" fillId="2" borderId="9" xfId="3" applyFont="1" applyFill="1" applyBorder="1" applyAlignment="1">
      <alignment horizontal="center" vertical="center"/>
    </xf>
    <xf numFmtId="176" fontId="8" fillId="2" borderId="10" xfId="3" applyFont="1" applyFill="1" applyBorder="1" applyAlignment="1">
      <alignment horizontal="center" vertical="center"/>
    </xf>
    <xf numFmtId="176" fontId="8" fillId="2" borderId="11" xfId="3" applyFont="1" applyFill="1" applyBorder="1" applyAlignment="1">
      <alignment horizontal="center" vertical="center"/>
    </xf>
    <xf numFmtId="176" fontId="8" fillId="2" borderId="12" xfId="3" applyFont="1" applyFill="1" applyBorder="1" applyAlignment="1">
      <alignment horizontal="center" vertical="center"/>
    </xf>
    <xf numFmtId="176" fontId="8" fillId="2" borderId="13" xfId="3" applyFont="1" applyFill="1" applyBorder="1" applyAlignment="1">
      <alignment horizontal="center" vertical="center"/>
    </xf>
    <xf numFmtId="176" fontId="8" fillId="2" borderId="14" xfId="3" applyFont="1" applyFill="1" applyBorder="1" applyAlignment="1">
      <alignment horizontal="center" vertical="center"/>
    </xf>
    <xf numFmtId="176" fontId="9" fillId="3" borderId="15" xfId="3" applyFont="1" applyFill="1" applyBorder="1" applyAlignment="1">
      <alignment horizontal="center" vertical="center"/>
    </xf>
    <xf numFmtId="176" fontId="9" fillId="3" borderId="16" xfId="3" applyFont="1" applyFill="1" applyBorder="1" applyAlignment="1">
      <alignment horizontal="center" vertical="center"/>
    </xf>
    <xf numFmtId="0" fontId="9" fillId="3" borderId="16" xfId="3" applyNumberFormat="1" applyFont="1" applyFill="1" applyBorder="1" applyAlignment="1">
      <alignment horizontal="center" vertical="center"/>
    </xf>
    <xf numFmtId="0" fontId="9" fillId="3" borderId="17" xfId="3" applyNumberFormat="1" applyFont="1" applyFill="1" applyBorder="1" applyAlignment="1">
      <alignment horizontal="center" vertical="center"/>
    </xf>
    <xf numFmtId="0" fontId="15" fillId="0" borderId="18" xfId="2" applyFont="1" applyBorder="1"/>
    <xf numFmtId="176" fontId="9" fillId="6" borderId="19" xfId="2" applyNumberFormat="1" applyFont="1" applyFill="1" applyBorder="1" applyAlignment="1" applyProtection="1">
      <alignment vertical="center"/>
      <protection locked="0"/>
    </xf>
    <xf numFmtId="176" fontId="9" fillId="3" borderId="20" xfId="3" applyFont="1" applyFill="1" applyBorder="1" applyAlignment="1">
      <alignment horizontal="center" vertical="center"/>
    </xf>
    <xf numFmtId="176" fontId="9" fillId="3" borderId="1" xfId="3" applyFont="1" applyFill="1" applyBorder="1" applyAlignment="1">
      <alignment horizontal="center" vertical="center"/>
    </xf>
    <xf numFmtId="0" fontId="9" fillId="3" borderId="1" xfId="3" applyNumberFormat="1" applyFont="1" applyFill="1" applyBorder="1" applyAlignment="1">
      <alignment horizontal="center" vertical="center"/>
    </xf>
    <xf numFmtId="0" fontId="9" fillId="3" borderId="21" xfId="3" applyNumberFormat="1" applyFont="1" applyFill="1" applyBorder="1" applyAlignment="1">
      <alignment horizontal="center" vertical="center"/>
    </xf>
    <xf numFmtId="0" fontId="9" fillId="3" borderId="5" xfId="3" applyNumberFormat="1" applyFont="1" applyFill="1" applyBorder="1" applyAlignment="1">
      <alignment horizontal="center" vertical="center"/>
    </xf>
    <xf numFmtId="0" fontId="16" fillId="0" borderId="18" xfId="2" applyFont="1" applyBorder="1"/>
    <xf numFmtId="176" fontId="9" fillId="3" borderId="22" xfId="3" applyFont="1" applyFill="1" applyBorder="1" applyAlignment="1">
      <alignment horizontal="center" vertical="center"/>
    </xf>
    <xf numFmtId="176" fontId="9" fillId="3" borderId="23" xfId="3" applyFont="1" applyFill="1" applyBorder="1" applyAlignment="1">
      <alignment horizontal="center" vertical="center"/>
    </xf>
    <xf numFmtId="0" fontId="9" fillId="3" borderId="24" xfId="3" applyNumberFormat="1" applyFont="1" applyFill="1" applyBorder="1" applyAlignment="1">
      <alignment horizontal="center" vertical="center"/>
    </xf>
    <xf numFmtId="0" fontId="9" fillId="3" borderId="25" xfId="3" applyNumberFormat="1" applyFont="1" applyFill="1" applyBorder="1" applyAlignment="1">
      <alignment horizontal="center" vertical="center"/>
    </xf>
    <xf numFmtId="176" fontId="9" fillId="6" borderId="7" xfId="3" applyFont="1" applyFill="1" applyBorder="1" applyAlignment="1">
      <alignment horizontal="center" vertical="center"/>
    </xf>
    <xf numFmtId="176" fontId="9" fillId="6" borderId="1" xfId="3" applyFont="1" applyFill="1" applyBorder="1" applyAlignment="1">
      <alignment horizontal="center" vertical="center"/>
    </xf>
    <xf numFmtId="0" fontId="9" fillId="6" borderId="5" xfId="3" applyNumberFormat="1" applyFont="1" applyFill="1" applyBorder="1" applyAlignment="1">
      <alignment horizontal="center" vertical="center"/>
    </xf>
    <xf numFmtId="0" fontId="16" fillId="0" borderId="5" xfId="2" applyFont="1" applyBorder="1"/>
    <xf numFmtId="0" fontId="17" fillId="0" borderId="0" xfId="2" applyFont="1" applyAlignment="1">
      <alignment horizontal="left"/>
    </xf>
    <xf numFmtId="176" fontId="9" fillId="0" borderId="1" xfId="3" applyFont="1" applyBorder="1" applyAlignment="1">
      <alignment horizontal="center" vertical="center"/>
    </xf>
    <xf numFmtId="0" fontId="9" fillId="0" borderId="5" xfId="3" applyNumberFormat="1" applyFont="1" applyBorder="1" applyAlignment="1">
      <alignment horizontal="center" vertical="center"/>
    </xf>
    <xf numFmtId="0" fontId="16" fillId="0" borderId="1" xfId="2" applyFont="1" applyBorder="1"/>
    <xf numFmtId="176" fontId="8" fillId="0" borderId="0" xfId="3" applyFont="1" applyAlignment="1">
      <alignment vertical="center"/>
    </xf>
    <xf numFmtId="0" fontId="9" fillId="0" borderId="0" xfId="2" applyFont="1" applyProtection="1">
      <protection locked="0"/>
    </xf>
    <xf numFmtId="176" fontId="9" fillId="0" borderId="0" xfId="3" applyFont="1" applyFill="1" applyAlignment="1" applyProtection="1">
      <protection locked="0"/>
    </xf>
    <xf numFmtId="0" fontId="9" fillId="0" borderId="0" xfId="2" applyFont="1" applyAlignment="1" applyProtection="1">
      <alignment vertical="center"/>
      <protection locked="0"/>
    </xf>
    <xf numFmtId="176" fontId="9" fillId="0" borderId="0" xfId="3" applyFont="1" applyAlignment="1">
      <alignment vertical="center"/>
    </xf>
    <xf numFmtId="179" fontId="8" fillId="6" borderId="26" xfId="3" applyNumberFormat="1" applyFont="1" applyFill="1" applyBorder="1" applyAlignment="1">
      <alignment vertical="center"/>
    </xf>
    <xf numFmtId="176" fontId="9" fillId="0" borderId="0" xfId="3" applyFont="1" applyAlignment="1" applyProtection="1">
      <alignment vertical="center"/>
      <protection locked="0"/>
    </xf>
    <xf numFmtId="180" fontId="9" fillId="0" borderId="0" xfId="4" applyNumberFormat="1" applyFont="1" applyAlignment="1" applyProtection="1">
      <alignment vertical="center"/>
      <protection locked="0"/>
    </xf>
    <xf numFmtId="178" fontId="8" fillId="3" borderId="27" xfId="3" applyNumberFormat="1" applyFont="1" applyFill="1" applyBorder="1" applyAlignment="1">
      <alignment horizontal="right" vertical="center"/>
    </xf>
    <xf numFmtId="179" fontId="8" fillId="6" borderId="28" xfId="3" applyNumberFormat="1" applyFont="1" applyFill="1" applyBorder="1" applyAlignment="1">
      <alignment vertical="center"/>
    </xf>
    <xf numFmtId="179" fontId="8" fillId="6" borderId="8" xfId="3" applyNumberFormat="1" applyFont="1" applyFill="1" applyBorder="1" applyAlignment="1">
      <alignment vertical="center"/>
    </xf>
    <xf numFmtId="179" fontId="8" fillId="6" borderId="29" xfId="3" applyNumberFormat="1" applyFont="1" applyFill="1" applyBorder="1" applyAlignment="1">
      <alignment vertical="center"/>
    </xf>
    <xf numFmtId="181" fontId="9" fillId="0" borderId="0" xfId="2" applyNumberFormat="1" applyFont="1" applyAlignment="1" applyProtection="1">
      <alignment vertical="center"/>
      <protection locked="0"/>
    </xf>
    <xf numFmtId="176" fontId="9" fillId="0" borderId="0" xfId="3" applyFont="1" applyAlignment="1" applyProtection="1">
      <protection locked="0"/>
    </xf>
    <xf numFmtId="176" fontId="18" fillId="0" borderId="0" xfId="3" applyFont="1" applyAlignment="1" applyProtection="1">
      <alignment vertical="center"/>
      <protection locked="0"/>
    </xf>
    <xf numFmtId="14" fontId="9" fillId="0" borderId="0" xfId="2" applyNumberFormat="1" applyFont="1" applyProtection="1">
      <protection locked="0"/>
    </xf>
    <xf numFmtId="0" fontId="19" fillId="0" borderId="0" xfId="2" applyFont="1" applyProtection="1">
      <protection locked="0"/>
    </xf>
    <xf numFmtId="0" fontId="9" fillId="6" borderId="8" xfId="2" applyFont="1" applyFill="1" applyBorder="1" applyAlignment="1" applyProtection="1">
      <alignment horizontal="center" vertical="center"/>
      <protection locked="0"/>
    </xf>
    <xf numFmtId="0" fontId="9" fillId="0" borderId="0" xfId="2" quotePrefix="1" applyFont="1" applyAlignment="1" applyProtection="1">
      <alignment vertical="center"/>
      <protection locked="0"/>
    </xf>
    <xf numFmtId="176" fontId="8" fillId="5" borderId="8" xfId="3" applyFont="1" applyFill="1" applyBorder="1" applyAlignment="1">
      <alignment vertical="center"/>
    </xf>
    <xf numFmtId="180" fontId="8" fillId="5" borderId="8" xfId="4" applyNumberFormat="1" applyFont="1" applyFill="1" applyBorder="1" applyAlignment="1"/>
    <xf numFmtId="0" fontId="14" fillId="0" borderId="0" xfId="2" applyFont="1" applyAlignment="1" applyProtection="1">
      <alignment horizontal="center" wrapText="1"/>
      <protection locked="0"/>
    </xf>
    <xf numFmtId="176" fontId="0" fillId="5" borderId="8" xfId="3" applyFont="1" applyFill="1" applyBorder="1" applyAlignment="1"/>
    <xf numFmtId="0" fontId="20" fillId="0" borderId="0" xfId="2" applyFont="1" applyAlignment="1">
      <alignment horizontal="left"/>
    </xf>
    <xf numFmtId="0" fontId="9" fillId="0" borderId="0" xfId="2" applyFont="1" applyAlignment="1" applyProtection="1">
      <alignment horizontal="center" vertical="center"/>
      <protection locked="0"/>
    </xf>
    <xf numFmtId="176" fontId="8" fillId="5" borderId="8" xfId="3" applyFont="1" applyFill="1" applyBorder="1" applyAlignment="1"/>
    <xf numFmtId="176" fontId="8" fillId="2" borderId="1" xfId="3" applyFont="1" applyFill="1" applyBorder="1" applyAlignment="1" applyProtection="1">
      <alignment horizontal="center" vertical="center"/>
      <protection locked="0"/>
    </xf>
    <xf numFmtId="0" fontId="8" fillId="2" borderId="1" xfId="3" applyNumberFormat="1" applyFont="1" applyFill="1" applyBorder="1" applyAlignment="1" applyProtection="1">
      <alignment horizontal="center" vertical="center"/>
      <protection locked="0"/>
    </xf>
    <xf numFmtId="176" fontId="8" fillId="2" borderId="30" xfId="3" applyFont="1" applyFill="1" applyBorder="1" applyAlignment="1" applyProtection="1">
      <alignment horizontal="center" vertical="center" wrapText="1"/>
      <protection locked="0"/>
    </xf>
    <xf numFmtId="176" fontId="8" fillId="2" borderId="1" xfId="3" applyFont="1" applyFill="1" applyBorder="1" applyAlignment="1" applyProtection="1">
      <alignment horizontal="center" vertical="center" wrapText="1"/>
      <protection locked="0"/>
    </xf>
    <xf numFmtId="177" fontId="8" fillId="2" borderId="7" xfId="2" applyNumberFormat="1" applyFont="1" applyFill="1" applyBorder="1" applyAlignment="1" applyProtection="1">
      <alignment horizontal="centerContinuous"/>
      <protection locked="0"/>
    </xf>
    <xf numFmtId="177" fontId="8" fillId="2" borderId="1" xfId="2" applyNumberFormat="1" applyFont="1" applyFill="1" applyBorder="1" applyAlignment="1" applyProtection="1">
      <alignment horizontal="centerContinuous"/>
      <protection locked="0"/>
    </xf>
    <xf numFmtId="176" fontId="8" fillId="2" borderId="9" xfId="3" applyFont="1" applyFill="1" applyBorder="1" applyAlignment="1" applyProtection="1">
      <alignment horizontal="center" vertical="center"/>
      <protection locked="0"/>
    </xf>
    <xf numFmtId="0" fontId="8" fillId="2" borderId="10" xfId="3" applyNumberFormat="1" applyFont="1" applyFill="1" applyBorder="1" applyAlignment="1" applyProtection="1">
      <alignment horizontal="center" vertical="center"/>
      <protection locked="0"/>
    </xf>
    <xf numFmtId="176" fontId="8" fillId="2" borderId="30" xfId="3" applyFont="1" applyFill="1" applyBorder="1" applyAlignment="1" applyProtection="1">
      <alignment horizontal="center" vertical="center"/>
      <protection locked="0"/>
    </xf>
    <xf numFmtId="176" fontId="8" fillId="2" borderId="10" xfId="3" applyFont="1" applyFill="1" applyBorder="1" applyAlignment="1" applyProtection="1">
      <alignment horizontal="center" vertical="center"/>
      <protection locked="0"/>
    </xf>
    <xf numFmtId="176" fontId="8" fillId="2" borderId="31" xfId="3" applyFont="1" applyFill="1" applyBorder="1" applyAlignment="1" applyProtection="1">
      <alignment horizontal="center" vertical="center"/>
      <protection locked="0"/>
    </xf>
    <xf numFmtId="176" fontId="8" fillId="2" borderId="31" xfId="3" quotePrefix="1" applyFont="1" applyFill="1" applyBorder="1" applyAlignment="1" applyProtection="1">
      <alignment horizontal="center" vertical="center"/>
      <protection locked="0"/>
    </xf>
    <xf numFmtId="176" fontId="8" fillId="2" borderId="32" xfId="3" quotePrefix="1" applyFont="1" applyFill="1" applyBorder="1" applyAlignment="1" applyProtection="1">
      <alignment horizontal="center" vertical="center"/>
      <protection locked="0"/>
    </xf>
    <xf numFmtId="176" fontId="9" fillId="6" borderId="1" xfId="3" applyFont="1" applyFill="1" applyBorder="1" applyAlignment="1" applyProtection="1">
      <alignment horizontal="center" vertical="center"/>
      <protection locked="0"/>
    </xf>
    <xf numFmtId="180" fontId="9" fillId="6" borderId="1" xfId="4" applyNumberFormat="1" applyFont="1" applyFill="1" applyBorder="1" applyAlignment="1" applyProtection="1">
      <alignment horizontal="right" vertical="center"/>
      <protection locked="0"/>
    </xf>
    <xf numFmtId="176" fontId="9" fillId="6" borderId="5" xfId="3" applyFont="1" applyFill="1" applyBorder="1" applyAlignment="1" applyProtection="1">
      <alignment horizontal="center" vertical="center"/>
      <protection locked="0"/>
    </xf>
    <xf numFmtId="176" fontId="9" fillId="3" borderId="2" xfId="3" applyFont="1" applyFill="1" applyBorder="1" applyAlignment="1" applyProtection="1">
      <alignment horizontal="center" vertical="center"/>
      <protection locked="0"/>
    </xf>
    <xf numFmtId="0" fontId="9" fillId="6" borderId="18" xfId="3" applyNumberFormat="1" applyFont="1" applyFill="1" applyBorder="1" applyAlignment="1" applyProtection="1">
      <alignment horizontal="center" vertical="center"/>
      <protection locked="0"/>
    </xf>
    <xf numFmtId="176" fontId="9" fillId="3" borderId="15" xfId="3" applyFont="1" applyFill="1" applyBorder="1" applyAlignment="1" applyProtection="1">
      <alignment horizontal="center" vertical="center"/>
      <protection locked="0"/>
    </xf>
    <xf numFmtId="176" fontId="9" fillId="3" borderId="16" xfId="3" applyFont="1" applyFill="1" applyBorder="1" applyAlignment="1" applyProtection="1">
      <alignment horizontal="center" vertical="center"/>
      <protection locked="0"/>
    </xf>
    <xf numFmtId="176" fontId="9" fillId="3" borderId="17" xfId="3" applyFont="1" applyFill="1" applyBorder="1" applyAlignment="1" applyProtection="1">
      <alignment horizontal="center" vertical="center"/>
      <protection locked="0"/>
    </xf>
    <xf numFmtId="176" fontId="9" fillId="6" borderId="33" xfId="3" applyFont="1" applyFill="1" applyBorder="1" applyAlignment="1" applyProtection="1">
      <alignment horizontal="center" vertical="center"/>
      <protection locked="0"/>
    </xf>
    <xf numFmtId="180" fontId="9" fillId="6" borderId="30" xfId="4" applyNumberFormat="1" applyFont="1" applyFill="1" applyBorder="1" applyAlignment="1" applyProtection="1">
      <alignment horizontal="right" vertical="center"/>
      <protection locked="0"/>
    </xf>
    <xf numFmtId="176" fontId="9" fillId="3" borderId="3" xfId="3" applyFont="1" applyFill="1" applyBorder="1" applyAlignment="1" applyProtection="1">
      <alignment horizontal="center" vertical="center"/>
      <protection locked="0"/>
    </xf>
    <xf numFmtId="176" fontId="9" fillId="3" borderId="20" xfId="3" applyFont="1" applyFill="1" applyBorder="1" applyAlignment="1" applyProtection="1">
      <alignment horizontal="center" vertical="center"/>
      <protection locked="0"/>
    </xf>
    <xf numFmtId="176" fontId="9" fillId="3" borderId="1" xfId="3" applyFont="1" applyFill="1" applyBorder="1" applyAlignment="1" applyProtection="1">
      <alignment horizontal="center" vertical="center"/>
      <protection locked="0"/>
    </xf>
    <xf numFmtId="176" fontId="9" fillId="3" borderId="21" xfId="3" applyFont="1" applyFill="1" applyBorder="1" applyAlignment="1" applyProtection="1">
      <alignment horizontal="center" vertical="center"/>
      <protection locked="0"/>
    </xf>
    <xf numFmtId="176" fontId="9" fillId="6" borderId="7" xfId="3" applyFont="1" applyFill="1" applyBorder="1" applyAlignment="1" applyProtection="1">
      <alignment horizontal="center" vertical="center"/>
      <protection locked="0"/>
    </xf>
    <xf numFmtId="176" fontId="9" fillId="6" borderId="10" xfId="3" applyFont="1" applyFill="1" applyBorder="1" applyAlignment="1" applyProtection="1">
      <alignment horizontal="center" vertical="center"/>
      <protection locked="0"/>
    </xf>
    <xf numFmtId="176" fontId="9" fillId="6" borderId="11" xfId="3" applyFont="1" applyFill="1" applyBorder="1" applyAlignment="1" applyProtection="1">
      <alignment horizontal="center" vertical="center"/>
      <protection locked="0"/>
    </xf>
    <xf numFmtId="176" fontId="9" fillId="3" borderId="36" xfId="3" applyFont="1" applyFill="1" applyBorder="1" applyAlignment="1" applyProtection="1">
      <alignment horizontal="center" vertical="center"/>
      <protection locked="0"/>
    </xf>
    <xf numFmtId="176" fontId="9" fillId="3" borderId="34" xfId="3" applyFont="1" applyFill="1" applyBorder="1" applyAlignment="1" applyProtection="1">
      <alignment horizontal="center" vertical="center"/>
      <protection locked="0"/>
    </xf>
    <xf numFmtId="176" fontId="9" fillId="3" borderId="10" xfId="3" applyFont="1" applyFill="1" applyBorder="1" applyAlignment="1" applyProtection="1">
      <alignment horizontal="center" vertical="center"/>
      <protection locked="0"/>
    </xf>
    <xf numFmtId="176" fontId="9" fillId="3" borderId="35" xfId="3" applyFont="1" applyFill="1" applyBorder="1" applyAlignment="1" applyProtection="1">
      <alignment horizontal="center" vertical="center"/>
      <protection locked="0"/>
    </xf>
    <xf numFmtId="176" fontId="9" fillId="7" borderId="4" xfId="3" applyFont="1" applyFill="1" applyBorder="1" applyAlignment="1" applyProtection="1">
      <alignment horizontal="center" vertical="center"/>
      <protection locked="0"/>
    </xf>
    <xf numFmtId="176" fontId="9" fillId="7" borderId="22" xfId="3" applyFont="1" applyFill="1" applyBorder="1" applyAlignment="1" applyProtection="1">
      <alignment horizontal="center" vertical="center"/>
      <protection locked="0"/>
    </xf>
    <xf numFmtId="176" fontId="9" fillId="7" borderId="23" xfId="3" applyFont="1" applyFill="1" applyBorder="1" applyAlignment="1" applyProtection="1">
      <alignment horizontal="center" vertical="center"/>
      <protection locked="0"/>
    </xf>
    <xf numFmtId="176" fontId="9" fillId="7" borderId="25" xfId="3" applyFont="1" applyFill="1" applyBorder="1" applyAlignment="1" applyProtection="1">
      <alignment horizontal="center" vertical="center"/>
      <protection locked="0"/>
    </xf>
    <xf numFmtId="0" fontId="6" fillId="0" borderId="0" xfId="2" applyAlignment="1">
      <alignment vertical="center"/>
    </xf>
    <xf numFmtId="180" fontId="19" fillId="0" borderId="0" xfId="4" applyNumberFormat="1" applyFont="1" applyAlignment="1">
      <alignment vertical="center"/>
    </xf>
    <xf numFmtId="0" fontId="22" fillId="0" borderId="0" xfId="5" applyFont="1" applyAlignment="1">
      <alignment horizontal="right" vertical="center" wrapText="1"/>
    </xf>
    <xf numFmtId="182" fontId="22" fillId="8" borderId="1" xfId="5" applyNumberFormat="1" applyFont="1" applyFill="1" applyBorder="1">
      <alignment vertical="center"/>
    </xf>
    <xf numFmtId="2" fontId="22" fillId="0" borderId="0" xfId="5" applyNumberFormat="1" applyFont="1">
      <alignment vertical="center"/>
    </xf>
    <xf numFmtId="0" fontId="23" fillId="9" borderId="0" xfId="2" applyFont="1" applyFill="1"/>
    <xf numFmtId="0" fontId="24" fillId="10" borderId="37" xfId="2" applyFont="1" applyFill="1" applyBorder="1" applyAlignment="1">
      <alignment horizontal="center" vertical="center"/>
    </xf>
    <xf numFmtId="0" fontId="25" fillId="11" borderId="39" xfId="2" applyFont="1" applyFill="1" applyBorder="1" applyAlignment="1">
      <alignment horizontal="center" vertical="center"/>
    </xf>
    <xf numFmtId="0" fontId="25" fillId="11" borderId="40" xfId="2" applyFont="1" applyFill="1" applyBorder="1" applyAlignment="1">
      <alignment horizontal="center" vertical="center"/>
    </xf>
    <xf numFmtId="0" fontId="26" fillId="12" borderId="41" xfId="2" applyFont="1" applyFill="1" applyBorder="1" applyAlignment="1">
      <alignment horizontal="center" vertical="center"/>
    </xf>
    <xf numFmtId="0" fontId="29" fillId="13" borderId="42" xfId="2" applyFont="1" applyFill="1" applyBorder="1" applyAlignment="1">
      <alignment horizontal="center" vertical="center"/>
    </xf>
    <xf numFmtId="0" fontId="26" fillId="12" borderId="43" xfId="2" applyFont="1" applyFill="1" applyBorder="1" applyAlignment="1">
      <alignment horizontal="center" vertical="center"/>
    </xf>
    <xf numFmtId="0" fontId="26" fillId="12" borderId="44" xfId="2" applyFont="1" applyFill="1" applyBorder="1" applyAlignment="1">
      <alignment horizontal="center" vertical="center"/>
    </xf>
    <xf numFmtId="183" fontId="30" fillId="13" borderId="42" xfId="2" applyNumberFormat="1" applyFont="1" applyFill="1" applyBorder="1" applyAlignment="1">
      <alignment horizontal="right" vertical="center"/>
    </xf>
    <xf numFmtId="4" fontId="30" fillId="13" borderId="42" xfId="2" applyNumberFormat="1" applyFont="1" applyFill="1" applyBorder="1" applyAlignment="1">
      <alignment horizontal="right" vertical="center"/>
    </xf>
    <xf numFmtId="2" fontId="30" fillId="13" borderId="42" xfId="2" applyNumberFormat="1" applyFont="1" applyFill="1" applyBorder="1" applyAlignment="1">
      <alignment horizontal="right" vertical="center"/>
    </xf>
    <xf numFmtId="4" fontId="31" fillId="13" borderId="42" xfId="2" applyNumberFormat="1" applyFont="1" applyFill="1" applyBorder="1" applyAlignment="1">
      <alignment horizontal="right" vertical="center"/>
    </xf>
    <xf numFmtId="4" fontId="31" fillId="13" borderId="45" xfId="2" applyNumberFormat="1" applyFont="1" applyFill="1" applyBorder="1" applyAlignment="1">
      <alignment horizontal="right" vertical="center"/>
    </xf>
    <xf numFmtId="0" fontId="32" fillId="9" borderId="46" xfId="2" applyFont="1" applyFill="1" applyBorder="1"/>
    <xf numFmtId="0" fontId="32" fillId="9" borderId="47" xfId="2" applyFont="1" applyFill="1" applyBorder="1"/>
    <xf numFmtId="0" fontId="32" fillId="9" borderId="48" xfId="2" applyFont="1" applyFill="1" applyBorder="1"/>
    <xf numFmtId="0" fontId="32" fillId="9" borderId="49" xfId="2" applyFont="1" applyFill="1" applyBorder="1"/>
    <xf numFmtId="0" fontId="32" fillId="9" borderId="50" xfId="2" applyFont="1" applyFill="1" applyBorder="1"/>
    <xf numFmtId="184" fontId="32" fillId="9" borderId="47" xfId="2" applyNumberFormat="1" applyFont="1" applyFill="1" applyBorder="1"/>
    <xf numFmtId="4" fontId="33" fillId="9" borderId="47" xfId="2" applyNumberFormat="1" applyFont="1" applyFill="1" applyBorder="1"/>
    <xf numFmtId="2" fontId="33" fillId="9" borderId="47" xfId="2" applyNumberFormat="1" applyFont="1" applyFill="1" applyBorder="1"/>
    <xf numFmtId="4" fontId="32" fillId="9" borderId="47" xfId="2" applyNumberFormat="1" applyFont="1" applyFill="1" applyBorder="1"/>
    <xf numFmtId="4" fontId="32" fillId="9" borderId="51" xfId="2" applyNumberFormat="1" applyFont="1" applyFill="1" applyBorder="1"/>
    <xf numFmtId="0" fontId="32" fillId="9" borderId="44" xfId="2" applyFont="1" applyFill="1" applyBorder="1"/>
    <xf numFmtId="0" fontId="32" fillId="9" borderId="52" xfId="2" applyFont="1" applyFill="1" applyBorder="1"/>
    <xf numFmtId="0" fontId="32" fillId="9" borderId="53" xfId="2" applyFont="1" applyFill="1" applyBorder="1"/>
    <xf numFmtId="0" fontId="32" fillId="9" borderId="54" xfId="2" applyFont="1" applyFill="1" applyBorder="1"/>
    <xf numFmtId="0" fontId="32" fillId="9" borderId="55" xfId="2" applyFont="1" applyFill="1" applyBorder="1"/>
    <xf numFmtId="0" fontId="32" fillId="9" borderId="56" xfId="2" applyFont="1" applyFill="1" applyBorder="1"/>
    <xf numFmtId="184" fontId="32" fillId="9" borderId="54" xfId="2" applyNumberFormat="1" applyFont="1" applyFill="1" applyBorder="1"/>
    <xf numFmtId="4" fontId="33" fillId="9" borderId="54" xfId="2" applyNumberFormat="1" applyFont="1" applyFill="1" applyBorder="1"/>
    <xf numFmtId="2" fontId="33" fillId="9" borderId="54" xfId="2" applyNumberFormat="1" applyFont="1" applyFill="1" applyBorder="1"/>
    <xf numFmtId="4" fontId="32" fillId="9" borderId="54" xfId="2" applyNumberFormat="1" applyFont="1" applyFill="1" applyBorder="1"/>
    <xf numFmtId="4" fontId="32" fillId="9" borderId="57" xfId="2" applyNumberFormat="1" applyFont="1" applyFill="1" applyBorder="1"/>
    <xf numFmtId="0" fontId="36" fillId="0" borderId="0" xfId="2" applyFont="1"/>
    <xf numFmtId="0" fontId="37" fillId="14" borderId="5" xfId="2" applyFont="1" applyFill="1" applyBorder="1" applyAlignment="1">
      <alignment vertical="center"/>
    </xf>
    <xf numFmtId="0" fontId="37" fillId="14" borderId="18" xfId="2" applyFont="1" applyFill="1" applyBorder="1" applyAlignment="1">
      <alignment vertical="center"/>
    </xf>
    <xf numFmtId="0" fontId="38" fillId="15" borderId="30" xfId="2" applyFont="1" applyFill="1" applyBorder="1" applyAlignment="1">
      <alignment horizontal="center" vertical="center"/>
    </xf>
    <xf numFmtId="0" fontId="39" fillId="16" borderId="1" xfId="2" applyFont="1" applyFill="1" applyBorder="1" applyAlignment="1">
      <alignment horizontal="center" vertical="center"/>
    </xf>
    <xf numFmtId="0" fontId="36" fillId="0" borderId="1" xfId="2" applyFont="1" applyBorder="1" applyAlignment="1">
      <alignment horizontal="center" vertical="center"/>
    </xf>
    <xf numFmtId="0" fontId="36" fillId="0" borderId="5" xfId="2" applyFont="1" applyBorder="1" applyAlignment="1">
      <alignment horizontal="center" vertical="center"/>
    </xf>
    <xf numFmtId="0" fontId="6" fillId="0" borderId="1" xfId="2" applyBorder="1"/>
    <xf numFmtId="0" fontId="6" fillId="0" borderId="1" xfId="2" applyBorder="1" applyAlignment="1">
      <alignment horizontal="center" vertical="center"/>
    </xf>
    <xf numFmtId="185" fontId="6" fillId="0" borderId="0" xfId="2" applyNumberFormat="1" applyAlignment="1">
      <alignment vertical="center"/>
    </xf>
    <xf numFmtId="0" fontId="36" fillId="0" borderId="58" xfId="2" applyFont="1" applyBorder="1" applyAlignment="1">
      <alignment horizontal="center"/>
    </xf>
    <xf numFmtId="0" fontId="36" fillId="0" borderId="59" xfId="2" applyFont="1" applyBorder="1" applyAlignment="1">
      <alignment horizontal="center"/>
    </xf>
    <xf numFmtId="0" fontId="36" fillId="0" borderId="60" xfId="2" applyFont="1" applyBorder="1" applyAlignment="1">
      <alignment horizontal="center"/>
    </xf>
    <xf numFmtId="0" fontId="36" fillId="0" borderId="61" xfId="2" applyFont="1" applyBorder="1" applyAlignment="1">
      <alignment horizontal="center"/>
    </xf>
    <xf numFmtId="0" fontId="36" fillId="0" borderId="60" xfId="2" applyFont="1" applyBorder="1" applyAlignment="1">
      <alignment horizontal="center" vertical="center"/>
    </xf>
    <xf numFmtId="0" fontId="36" fillId="0" borderId="62" xfId="2" applyFont="1" applyBorder="1" applyAlignment="1">
      <alignment horizontal="center"/>
    </xf>
    <xf numFmtId="0" fontId="6" fillId="0" borderId="0" xfId="2" quotePrefix="1"/>
    <xf numFmtId="14" fontId="6" fillId="0" borderId="0" xfId="2" quotePrefix="1" applyNumberFormat="1"/>
    <xf numFmtId="0" fontId="6" fillId="0" borderId="0" xfId="2" applyAlignment="1">
      <alignment wrapText="1"/>
    </xf>
    <xf numFmtId="0" fontId="8" fillId="2" borderId="0" xfId="2" applyFont="1" applyFill="1"/>
    <xf numFmtId="0" fontId="8" fillId="2" borderId="0" xfId="2" applyFont="1" applyFill="1" applyAlignment="1">
      <alignment horizontal="left"/>
    </xf>
    <xf numFmtId="0" fontId="9" fillId="0" borderId="26" xfId="2" applyFont="1" applyBorder="1"/>
    <xf numFmtId="176" fontId="9" fillId="0" borderId="63" xfId="3" applyFont="1" applyBorder="1" applyAlignment="1"/>
    <xf numFmtId="0" fontId="9" fillId="0" borderId="64" xfId="2" applyFont="1" applyBorder="1"/>
    <xf numFmtId="0" fontId="9" fillId="0" borderId="63" xfId="3" applyNumberFormat="1" applyFont="1" applyBorder="1" applyAlignment="1">
      <alignment horizontal="left"/>
    </xf>
    <xf numFmtId="177" fontId="9" fillId="0" borderId="26" xfId="2" applyNumberFormat="1" applyFont="1" applyBorder="1"/>
    <xf numFmtId="0" fontId="9" fillId="0" borderId="65" xfId="2" applyFont="1" applyBorder="1"/>
    <xf numFmtId="176" fontId="9" fillId="0" borderId="66" xfId="3" applyFont="1" applyBorder="1" applyAlignment="1"/>
    <xf numFmtId="0" fontId="9" fillId="0" borderId="67" xfId="2" applyFont="1" applyBorder="1"/>
    <xf numFmtId="0" fontId="9" fillId="0" borderId="12" xfId="3" applyNumberFormat="1" applyFont="1" applyBorder="1" applyAlignment="1">
      <alignment horizontal="left"/>
    </xf>
    <xf numFmtId="0" fontId="9" fillId="0" borderId="68" xfId="2" applyFont="1" applyBorder="1"/>
    <xf numFmtId="177" fontId="9" fillId="0" borderId="65" xfId="2" applyNumberFormat="1" applyFont="1" applyBorder="1"/>
    <xf numFmtId="176" fontId="9" fillId="0" borderId="69" xfId="3" applyFont="1" applyBorder="1" applyAlignment="1"/>
    <xf numFmtId="0" fontId="9" fillId="0" borderId="70" xfId="2" applyFont="1" applyBorder="1"/>
    <xf numFmtId="0" fontId="9" fillId="0" borderId="71" xfId="3" applyNumberFormat="1" applyFont="1" applyBorder="1" applyAlignment="1">
      <alignment horizontal="left"/>
    </xf>
    <xf numFmtId="0" fontId="9" fillId="0" borderId="72" xfId="2" applyFont="1" applyBorder="1"/>
    <xf numFmtId="176" fontId="9" fillId="0" borderId="73" xfId="3" applyFont="1" applyBorder="1" applyAlignment="1"/>
    <xf numFmtId="0" fontId="9" fillId="0" borderId="74" xfId="2" applyFont="1" applyBorder="1"/>
    <xf numFmtId="0" fontId="9" fillId="0" borderId="75" xfId="3" applyNumberFormat="1" applyFont="1" applyBorder="1" applyAlignment="1">
      <alignment horizontal="left"/>
    </xf>
    <xf numFmtId="0" fontId="9" fillId="0" borderId="76" xfId="2" applyFont="1" applyBorder="1"/>
    <xf numFmtId="176" fontId="9" fillId="0" borderId="73" xfId="3" applyFont="1" applyFill="1" applyBorder="1" applyAlignment="1"/>
    <xf numFmtId="0" fontId="9" fillId="0" borderId="75" xfId="3" applyNumberFormat="1" applyFont="1" applyFill="1" applyBorder="1" applyAlignment="1">
      <alignment horizontal="left"/>
    </xf>
    <xf numFmtId="0" fontId="9" fillId="0" borderId="28" xfId="2" applyFont="1" applyBorder="1"/>
    <xf numFmtId="177" fontId="9" fillId="0" borderId="28" xfId="2" applyNumberFormat="1" applyFont="1" applyBorder="1"/>
    <xf numFmtId="176" fontId="9" fillId="0" borderId="69" xfId="3" applyFont="1" applyFill="1" applyBorder="1" applyAlignment="1"/>
    <xf numFmtId="176" fontId="9" fillId="0" borderId="66" xfId="3" applyFont="1" applyFill="1" applyBorder="1" applyAlignment="1"/>
    <xf numFmtId="0" fontId="40" fillId="0" borderId="76" xfId="2" applyFont="1" applyBorder="1"/>
    <xf numFmtId="0" fontId="9" fillId="0" borderId="71" xfId="3" applyNumberFormat="1" applyFont="1" applyFill="1" applyBorder="1" applyAlignment="1">
      <alignment horizontal="left"/>
    </xf>
    <xf numFmtId="0" fontId="9" fillId="0" borderId="12" xfId="3" applyNumberFormat="1" applyFont="1" applyFill="1" applyBorder="1" applyAlignment="1">
      <alignment horizontal="left"/>
    </xf>
    <xf numFmtId="0" fontId="9" fillId="0" borderId="77" xfId="2" applyFont="1" applyBorder="1"/>
    <xf numFmtId="0" fontId="9" fillId="0" borderId="78" xfId="2" applyFont="1" applyBorder="1"/>
    <xf numFmtId="0" fontId="40" fillId="0" borderId="75" xfId="2" applyFont="1" applyBorder="1" applyAlignment="1">
      <alignment horizontal="left"/>
    </xf>
    <xf numFmtId="0" fontId="40" fillId="0" borderId="71" xfId="2" applyFont="1" applyBorder="1" applyAlignment="1">
      <alignment horizontal="left"/>
    </xf>
    <xf numFmtId="0" fontId="40" fillId="0" borderId="72" xfId="2" applyFont="1" applyBorder="1"/>
    <xf numFmtId="0" fontId="40" fillId="0" borderId="66" xfId="2" applyFont="1" applyBorder="1" applyAlignment="1">
      <alignment horizontal="left"/>
    </xf>
    <xf numFmtId="0" fontId="40" fillId="0" borderId="67" xfId="2" applyFont="1" applyBorder="1"/>
    <xf numFmtId="0" fontId="40" fillId="0" borderId="69" xfId="2" applyFont="1" applyBorder="1" applyAlignment="1">
      <alignment horizontal="left"/>
    </xf>
    <xf numFmtId="0" fontId="40" fillId="0" borderId="70" xfId="2" applyFont="1" applyBorder="1"/>
    <xf numFmtId="0" fontId="9" fillId="0" borderId="77" xfId="2" applyFont="1" applyBorder="1" applyAlignment="1">
      <alignment horizontal="left"/>
    </xf>
    <xf numFmtId="0" fontId="41" fillId="0" borderId="0" xfId="6">
      <alignment vertical="center"/>
    </xf>
    <xf numFmtId="180" fontId="41" fillId="0" borderId="0" xfId="4" applyNumberFormat="1" applyFont="1">
      <alignment vertical="center"/>
    </xf>
    <xf numFmtId="0" fontId="9" fillId="3" borderId="15" xfId="3" applyNumberFormat="1" applyFont="1" applyFill="1" applyBorder="1" applyAlignment="1" applyProtection="1">
      <alignment vertical="center"/>
      <protection locked="0"/>
    </xf>
    <xf numFmtId="0" fontId="9" fillId="3" borderId="17" xfId="2" applyFont="1" applyFill="1" applyBorder="1" applyAlignment="1" applyProtection="1">
      <alignment vertical="center"/>
      <protection locked="0"/>
    </xf>
    <xf numFmtId="0" fontId="9" fillId="0" borderId="7" xfId="2" applyFont="1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20" xfId="3" applyNumberFormat="1" applyFont="1" applyFill="1" applyBorder="1" applyAlignment="1" applyProtection="1">
      <alignment vertical="center"/>
      <protection locked="0"/>
    </xf>
    <xf numFmtId="0" fontId="9" fillId="3" borderId="21" xfId="2" applyFont="1" applyFill="1" applyBorder="1" applyAlignment="1" applyProtection="1">
      <alignment vertical="center"/>
      <protection locked="0"/>
    </xf>
    <xf numFmtId="0" fontId="9" fillId="6" borderId="7" xfId="2" applyFont="1" applyFill="1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34" xfId="3" applyNumberFormat="1" applyFont="1" applyFill="1" applyBorder="1" applyAlignment="1" applyProtection="1">
      <alignment vertical="center"/>
      <protection locked="0"/>
    </xf>
    <xf numFmtId="0" fontId="9" fillId="3" borderId="35" xfId="2" applyFont="1" applyFill="1" applyBorder="1" applyAlignment="1" applyProtection="1">
      <alignment vertical="center"/>
      <protection locked="0"/>
    </xf>
    <xf numFmtId="0" fontId="9" fillId="7" borderId="22" xfId="3" applyNumberFormat="1" applyFont="1" applyFill="1" applyBorder="1" applyAlignment="1" applyProtection="1">
      <alignment vertical="center"/>
      <protection locked="0"/>
    </xf>
    <xf numFmtId="0" fontId="9" fillId="7" borderId="25" xfId="2" applyFont="1" applyFill="1" applyBorder="1" applyAlignment="1" applyProtection="1">
      <alignment vertical="center"/>
      <protection locked="0"/>
    </xf>
    <xf numFmtId="0" fontId="9" fillId="7" borderId="9" xfId="2" applyFont="1" applyFill="1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76" fontId="19" fillId="0" borderId="0" xfId="5" applyNumberFormat="1" applyFont="1">
      <alignment vertical="center"/>
    </xf>
    <xf numFmtId="41" fontId="9" fillId="3" borderId="2" xfId="7" applyFont="1" applyFill="1" applyBorder="1" applyAlignment="1"/>
    <xf numFmtId="41" fontId="9" fillId="6" borderId="7" xfId="7" applyFont="1" applyFill="1" applyBorder="1" applyAlignment="1" applyProtection="1">
      <alignment vertical="center"/>
      <protection locked="0"/>
    </xf>
    <xf numFmtId="41" fontId="13" fillId="3" borderId="3" xfId="7" applyFont="1" applyFill="1" applyBorder="1" applyAlignment="1"/>
    <xf numFmtId="180" fontId="9" fillId="0" borderId="0" xfId="8" applyNumberFormat="1" applyFont="1" applyAlignment="1" applyProtection="1">
      <alignment vertical="center"/>
      <protection locked="0"/>
    </xf>
    <xf numFmtId="176" fontId="6" fillId="0" borderId="0" xfId="2" applyNumberFormat="1"/>
    <xf numFmtId="186" fontId="6" fillId="0" borderId="0" xfId="2" applyNumberFormat="1"/>
    <xf numFmtId="176" fontId="9" fillId="0" borderId="1" xfId="3" applyFont="1" applyBorder="1" applyAlignment="1">
      <alignment horizontal="left" vertical="center"/>
    </xf>
    <xf numFmtId="176" fontId="8" fillId="2" borderId="1" xfId="3" applyFont="1" applyFill="1" applyBorder="1" applyAlignment="1">
      <alignment horizontal="center" vertical="center"/>
    </xf>
    <xf numFmtId="0" fontId="24" fillId="10" borderId="37" xfId="2" applyFont="1" applyFill="1" applyBorder="1" applyAlignment="1">
      <alignment horizontal="center" vertical="center"/>
    </xf>
    <xf numFmtId="0" fontId="24" fillId="10" borderId="38" xfId="2" applyFont="1" applyFill="1" applyBorder="1" applyAlignment="1">
      <alignment horizontal="center" vertical="center"/>
    </xf>
    <xf numFmtId="0" fontId="24" fillId="10" borderId="37" xfId="2" applyFont="1" applyFill="1" applyBorder="1" applyAlignment="1">
      <alignment horizontal="center" vertical="center" wrapText="1"/>
    </xf>
  </cellXfs>
  <cellStyles count="9">
    <cellStyle name="백분율" xfId="8" builtinId="5"/>
    <cellStyle name="백분율 2" xfId="4" xr:uid="{57FDA3FF-C22C-4B4F-AD06-C13286A405AA}"/>
    <cellStyle name="쉼표 [0]" xfId="7" builtinId="6"/>
    <cellStyle name="쉼표 [0] 2" xfId="3" xr:uid="{FDAC853D-7822-4091-8760-5019764CDE55}"/>
    <cellStyle name="표준" xfId="0" builtinId="0"/>
    <cellStyle name="표준 2" xfId="2" xr:uid="{3F974DC9-7F40-4811-A0F0-ADBEAAE58D51}"/>
    <cellStyle name="표준 2 2" xfId="5" xr:uid="{C8AAA549-658E-4EAD-A6D7-A282F4A671BA}"/>
    <cellStyle name="표준 3" xfId="6" xr:uid="{119DB6CC-E0E8-4E0B-9409-AA8D84342EA7}"/>
    <cellStyle name="하이퍼링크 2" xfId="1" xr:uid="{8E763A38-0D17-48A5-A4A9-0D93B2630914}"/>
  </cellStyles>
  <dxfs count="50"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0" formatCode="0.0%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ck">
          <color rgb="FFFF0000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  <border diagonalUp="0" diagonalDown="0">
        <left style="thick">
          <color rgb="FFFF0000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rgb="FFFF0000"/>
        </left>
        <right style="thick">
          <color rgb="FFFF0000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0" formatCode="0.0%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ck">
          <color rgb="FFFF0000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ck">
          <color rgb="FFFF0000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맑은 고딕"/>
        <scheme val="minor"/>
      </font>
      <numFmt numFmtId="176" formatCode="_(* #,##0_);_(* \(#,##0\);_(* &quot;-&quot;_);_(@_)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ck">
          <color rgb="FFFF0000"/>
        </left>
        <right style="thick">
          <color rgb="FFFF0000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맑은 고딕"/>
        <family val="3"/>
        <charset val="129"/>
        <scheme val="minor"/>
      </font>
      <border diagonalUp="0" diagonalDown="0" outline="0">
        <left style="thin">
          <color auto="1"/>
        </left>
        <right style="medium">
          <color indexed="64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맑은 고딕"/>
        <family val="3"/>
        <charset val="129"/>
        <scheme val="minor"/>
      </font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medium">
          <color indexed="64"/>
        </right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784860</xdr:colOff>
      <xdr:row>27</xdr:row>
      <xdr:rowOff>45720</xdr:rowOff>
    </xdr:from>
    <xdr:to>
      <xdr:col>9</xdr:col>
      <xdr:colOff>813435</xdr:colOff>
      <xdr:row>38</xdr:row>
      <xdr:rowOff>188595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BF8556F-2160-486C-8B68-34B8BD777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6540" y="6423660"/>
          <a:ext cx="6878955" cy="27412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23193</xdr:colOff>
      <xdr:row>4</xdr:row>
      <xdr:rowOff>28574</xdr:rowOff>
    </xdr:from>
    <xdr:to>
      <xdr:col>6</xdr:col>
      <xdr:colOff>0</xdr:colOff>
      <xdr:row>5</xdr:row>
      <xdr:rowOff>209549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669070F-B1AA-4ECE-B2EF-51D7EB7F70AA}"/>
            </a:ext>
          </a:extLst>
        </xdr:cNvPr>
        <xdr:cNvSpPr/>
      </xdr:nvSpPr>
      <xdr:spPr>
        <a:xfrm>
          <a:off x="6050613" y="1095374"/>
          <a:ext cx="647367" cy="401955"/>
        </a:xfrm>
        <a:prstGeom prst="rect">
          <a:avLst/>
        </a:prstGeom>
        <a:solidFill>
          <a:srgbClr val="929292">
            <a:alpha val="1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00" b="1">
              <a:solidFill>
                <a:sysClr val="windowText" lastClr="000000"/>
              </a:solidFill>
            </a:rPr>
            <a:t>EL,</a:t>
          </a:r>
          <a:r>
            <a:rPr lang="en-US" altLang="ko-KR" sz="1000" b="1" baseline="0">
              <a:solidFill>
                <a:sysClr val="windowText" lastClr="000000"/>
              </a:solidFill>
            </a:rPr>
            <a:t> PM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23193</xdr:colOff>
      <xdr:row>6</xdr:row>
      <xdr:rowOff>38099</xdr:rowOff>
    </xdr:from>
    <xdr:to>
      <xdr:col>6</xdr:col>
      <xdr:colOff>0</xdr:colOff>
      <xdr:row>10</xdr:row>
      <xdr:rowOff>171451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C6BE0FD-8349-430B-9BAB-DE28853B329C}"/>
            </a:ext>
          </a:extLst>
        </xdr:cNvPr>
        <xdr:cNvSpPr/>
      </xdr:nvSpPr>
      <xdr:spPr>
        <a:xfrm>
          <a:off x="6050613" y="1546859"/>
          <a:ext cx="647367" cy="1017272"/>
        </a:xfrm>
        <a:prstGeom prst="rect">
          <a:avLst/>
        </a:prstGeom>
        <a:solidFill>
          <a:srgbClr val="929292">
            <a:alpha val="1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00" b="1">
              <a:solidFill>
                <a:sysClr val="windowText" lastClr="000000"/>
              </a:solidFill>
            </a:rPr>
            <a:t>Support</a:t>
          </a:r>
          <a:r>
            <a:rPr lang="en-US" altLang="ko-KR" sz="1000" b="1" baseline="0">
              <a:solidFill>
                <a:sysClr val="windowText" lastClr="000000"/>
              </a:solidFill>
            </a:rPr>
            <a:t> Team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23193</xdr:colOff>
      <xdr:row>11</xdr:row>
      <xdr:rowOff>28575</xdr:rowOff>
    </xdr:from>
    <xdr:to>
      <xdr:col>6</xdr:col>
      <xdr:colOff>0</xdr:colOff>
      <xdr:row>28</xdr:row>
      <xdr:rowOff>180975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1821186-CBF1-4A1A-B833-C93571CBE643}"/>
            </a:ext>
          </a:extLst>
        </xdr:cNvPr>
        <xdr:cNvSpPr/>
      </xdr:nvSpPr>
      <xdr:spPr>
        <a:xfrm>
          <a:off x="6050613" y="2642235"/>
          <a:ext cx="647367" cy="3909060"/>
        </a:xfrm>
        <a:prstGeom prst="rect">
          <a:avLst/>
        </a:prstGeom>
        <a:solidFill>
          <a:srgbClr val="929292">
            <a:alpha val="1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00" b="1">
              <a:solidFill>
                <a:sysClr val="windowText" lastClr="000000"/>
              </a:solidFill>
            </a:rPr>
            <a:t>Core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476970</xdr:colOff>
      <xdr:row>30</xdr:row>
      <xdr:rowOff>13814</xdr:rowOff>
    </xdr:from>
    <xdr:to>
      <xdr:col>21</xdr:col>
      <xdr:colOff>403919</xdr:colOff>
      <xdr:row>52</xdr:row>
      <xdr:rowOff>78006</xdr:rowOff>
    </xdr:to>
    <xdr:sp macro="" textlink="">
      <xdr:nvSpPr>
        <xdr:cNvPr id="6" name="직사각형 4">
          <a:extLst>
            <a:ext uri="{FF2B5EF4-FFF2-40B4-BE49-F238E27FC236}">
              <a16:creationId xmlns:a16="http://schemas.microsoft.com/office/drawing/2014/main" id="{1C5B28DD-F450-46FC-93AB-3F7A36852584}"/>
            </a:ext>
          </a:extLst>
        </xdr:cNvPr>
        <xdr:cNvSpPr/>
      </xdr:nvSpPr>
      <xdr:spPr>
        <a:xfrm>
          <a:off x="7828029" y="6916638"/>
          <a:ext cx="9662619" cy="499478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ysClr val="windowText" lastClr="000000"/>
              </a:solidFill>
            </a:rPr>
            <a:t>본 시트는 표준감사시간 등록의 편의를 위해</a:t>
          </a:r>
          <a:r>
            <a:rPr lang="ko-KR" altLang="en-US" sz="1100" b="1" baseline="0">
              <a:solidFill>
                <a:sysClr val="windowText" lastClr="000000"/>
              </a:solidFill>
            </a:rPr>
            <a:t> </a:t>
          </a:r>
          <a:r>
            <a:rPr lang="en-US" altLang="ko-KR" sz="1100" b="1" baseline="0">
              <a:solidFill>
                <a:sysClr val="windowText" lastClr="000000"/>
              </a:solidFill>
            </a:rPr>
            <a:t>B/C/D </a:t>
          </a:r>
          <a:r>
            <a:rPr lang="ko-KR" altLang="en-US" sz="1100" b="1" baseline="0">
              <a:solidFill>
                <a:sysClr val="windowText" lastClr="000000"/>
              </a:solidFill>
            </a:rPr>
            <a:t>시트에 입력된 값이 수식에 의해 자동 반영되는 시트입니다</a:t>
          </a:r>
          <a:r>
            <a:rPr lang="en-US" altLang="ko-KR" sz="1100" b="1" baseline="0">
              <a:solidFill>
                <a:sysClr val="windowText" lastClr="000000"/>
              </a:solidFill>
            </a:rPr>
            <a:t>(Optional)</a:t>
          </a:r>
        </a:p>
        <a:p>
          <a:pPr algn="l"/>
          <a:endParaRPr lang="en-US" altLang="ko-KR" sz="1100" b="1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="1" baseline="0">
              <a:solidFill>
                <a:sysClr val="windowText" lastClr="000000"/>
              </a:solidFill>
            </a:rPr>
            <a:t>&lt;</a:t>
          </a:r>
          <a:r>
            <a:rPr lang="ko-KR" altLang="en-US" sz="1100" b="1" baseline="0">
              <a:solidFill>
                <a:sysClr val="windowText" lastClr="000000"/>
              </a:solidFill>
            </a:rPr>
            <a:t>표감 사이트에 </a:t>
          </a:r>
          <a:r>
            <a:rPr lang="en-US" altLang="ko-KR" sz="1100" b="1" baseline="0">
              <a:solidFill>
                <a:sysClr val="windowText" lastClr="000000"/>
              </a:solidFill>
            </a:rPr>
            <a:t>Excel Import </a:t>
          </a:r>
          <a:r>
            <a:rPr lang="ko-KR" altLang="en-US" sz="1100" b="1" baseline="0">
              <a:solidFill>
                <a:sysClr val="windowText" lastClr="000000"/>
              </a:solidFill>
            </a:rPr>
            <a:t>시 절차</a:t>
          </a:r>
          <a:r>
            <a:rPr lang="en-US" altLang="ko-KR" sz="1100" b="1" baseline="0">
              <a:solidFill>
                <a:sysClr val="windowText" lastClr="000000"/>
              </a:solidFill>
            </a:rPr>
            <a:t>&gt;</a:t>
          </a:r>
        </a:p>
        <a:p>
          <a:pPr algn="l"/>
          <a:r>
            <a:rPr lang="en-US" altLang="ko-KR" sz="1100" b="1" baseline="0">
              <a:solidFill>
                <a:sysClr val="windowText" lastClr="000000"/>
              </a:solidFill>
            </a:rPr>
            <a:t>1) </a:t>
          </a:r>
          <a:r>
            <a:rPr lang="ko-KR" altLang="en-US" sz="1100" b="1" baseline="0">
              <a:solidFill>
                <a:sysClr val="windowText" lastClr="000000"/>
              </a:solidFill>
            </a:rPr>
            <a:t>현재 시트만 새 통합문서로 분리</a:t>
          </a:r>
          <a:r>
            <a:rPr lang="en-US" altLang="ko-KR" sz="1100" b="1" baseline="0">
              <a:solidFill>
                <a:sysClr val="windowText" lastClr="000000"/>
              </a:solidFill>
            </a:rPr>
            <a:t>(</a:t>
          </a:r>
          <a:r>
            <a:rPr lang="ko-KR" altLang="en-US" sz="1100" b="1" baseline="0">
              <a:solidFill>
                <a:sysClr val="windowText" lastClr="000000"/>
              </a:solidFill>
            </a:rPr>
            <a:t>시트복사</a:t>
          </a:r>
          <a:r>
            <a:rPr lang="en-US" altLang="ko-KR" sz="1100" b="1" baseline="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1100" b="1" baseline="0">
              <a:solidFill>
                <a:sysClr val="windowText" lastClr="000000"/>
              </a:solidFill>
            </a:rPr>
            <a:t>2) 5</a:t>
          </a:r>
          <a:r>
            <a:rPr lang="ko-KR" altLang="en-US" sz="1100" b="1" baseline="0">
              <a:solidFill>
                <a:sysClr val="windowText" lastClr="000000"/>
              </a:solidFill>
            </a:rPr>
            <a:t>행부터 아래 전체 데이터 </a:t>
          </a:r>
          <a:r>
            <a:rPr lang="ko-KR" altLang="en-US" sz="1100" b="1" baseline="0">
              <a:solidFill>
                <a:srgbClr val="FF0000"/>
              </a:solidFill>
            </a:rPr>
            <a:t>수식 → 값으로 변환 </a:t>
          </a:r>
          <a:r>
            <a:rPr lang="en-US" altLang="ko-KR" sz="1100" b="1" baseline="0">
              <a:solidFill>
                <a:sysClr val="windowText" lastClr="000000"/>
              </a:solidFill>
            </a:rPr>
            <a:t>(</a:t>
          </a:r>
          <a:r>
            <a:rPr lang="ko-KR" altLang="en-US" sz="1100" b="1" baseline="0">
              <a:solidFill>
                <a:sysClr val="windowText" lastClr="000000"/>
              </a:solidFill>
            </a:rPr>
            <a:t>수식상태에서 </a:t>
          </a:r>
          <a:r>
            <a:rPr lang="en-US" altLang="ko-KR" sz="1100" b="1" baseline="0">
              <a:solidFill>
                <a:sysClr val="windowText" lastClr="000000"/>
              </a:solidFill>
            </a:rPr>
            <a:t>import </a:t>
          </a:r>
          <a:r>
            <a:rPr lang="ko-KR" altLang="en-US" sz="1100" b="1" baseline="0">
              <a:solidFill>
                <a:sysClr val="windowText" lastClr="000000"/>
              </a:solidFill>
            </a:rPr>
            <a:t>불가</a:t>
          </a:r>
          <a:r>
            <a:rPr lang="en-US" altLang="ko-KR" sz="1100" b="1" baseline="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1100" b="1" baseline="0">
              <a:solidFill>
                <a:sysClr val="windowText" lastClr="000000"/>
              </a:solidFill>
            </a:rPr>
            <a:t>3) 5</a:t>
          </a:r>
          <a:r>
            <a:rPr lang="ko-KR" altLang="en-US" sz="1100" b="1" baseline="0">
              <a:solidFill>
                <a:sysClr val="windowText" lastClr="000000"/>
              </a:solidFill>
            </a:rPr>
            <a:t>행부터 아래 전체 데이터 중 사용하지 않는 </a:t>
          </a:r>
          <a:r>
            <a:rPr lang="ko-KR" altLang="en-US" sz="1100" b="1" baseline="0">
              <a:solidFill>
                <a:srgbClr val="FF0000"/>
              </a:solidFill>
            </a:rPr>
            <a:t>행 삭제 </a:t>
          </a:r>
          <a:r>
            <a:rPr lang="en-US" altLang="ko-KR" sz="1100" b="1" baseline="0">
              <a:solidFill>
                <a:sysClr val="windowText" lastClr="000000"/>
              </a:solidFill>
            </a:rPr>
            <a:t>(0</a:t>
          </a:r>
          <a:r>
            <a:rPr lang="ko-KR" altLang="en-US" sz="1100" b="1" baseline="0">
              <a:solidFill>
                <a:sysClr val="windowText" lastClr="000000"/>
              </a:solidFill>
            </a:rPr>
            <a:t>시간도 </a:t>
          </a:r>
          <a:r>
            <a:rPr lang="en-US" altLang="ko-KR" sz="1100" b="1" baseline="0">
              <a:solidFill>
                <a:sysClr val="windowText" lastClr="000000"/>
              </a:solidFill>
            </a:rPr>
            <a:t>import</a:t>
          </a:r>
          <a:r>
            <a:rPr lang="ko-KR" altLang="en-US" sz="1100" b="1" baseline="0">
              <a:solidFill>
                <a:sysClr val="windowText" lastClr="000000"/>
              </a:solidFill>
            </a:rPr>
            <a:t>됨</a:t>
          </a:r>
          <a:r>
            <a:rPr lang="en-US" altLang="ko-KR" sz="1100" b="1" baseline="0">
              <a:solidFill>
                <a:sysClr val="windowText" lastClr="000000"/>
              </a:solidFill>
            </a:rPr>
            <a:t>) (1~4</a:t>
          </a:r>
          <a:r>
            <a:rPr lang="ko-KR" altLang="en-US" sz="1100" b="1" baseline="0">
              <a:solidFill>
                <a:sysClr val="windowText" lastClr="000000"/>
              </a:solidFill>
            </a:rPr>
            <a:t>행 삭제</a:t>
          </a:r>
          <a:r>
            <a:rPr lang="en-US" altLang="ko-KR" sz="1100" b="1" baseline="0">
              <a:solidFill>
                <a:sysClr val="windowText" lastClr="000000"/>
              </a:solidFill>
            </a:rPr>
            <a:t>X)</a:t>
          </a:r>
        </a:p>
        <a:p>
          <a:pPr algn="l"/>
          <a:r>
            <a:rPr lang="en-US" altLang="ko-KR" sz="1100" b="1" baseline="0">
              <a:solidFill>
                <a:sysClr val="windowText" lastClr="000000"/>
              </a:solidFill>
            </a:rPr>
            <a:t>4) </a:t>
          </a:r>
          <a:r>
            <a:rPr lang="ko-KR" altLang="en-US" sz="1100" b="1" baseline="0">
              <a:solidFill>
                <a:sysClr val="windowText" lastClr="000000"/>
              </a:solidFill>
            </a:rPr>
            <a:t>저장한 엑셀파일을 표준감사시간 사이트 </a:t>
          </a:r>
          <a:r>
            <a:rPr lang="en-US" altLang="ko-KR" sz="1100" b="1" baseline="0">
              <a:solidFill>
                <a:sysClr val="windowText" lastClr="000000"/>
              </a:solidFill>
            </a:rPr>
            <a:t>Budgeting V4 </a:t>
          </a:r>
          <a:r>
            <a:rPr lang="ko-KR" altLang="en-US" sz="1100" b="1" baseline="0">
              <a:solidFill>
                <a:sysClr val="windowText" lastClr="000000"/>
              </a:solidFill>
            </a:rPr>
            <a:t>탭 하단</a:t>
          </a:r>
          <a:r>
            <a:rPr lang="en-US" altLang="ko-KR" sz="1100" b="1" baseline="0">
              <a:solidFill>
                <a:sysClr val="windowText" lastClr="000000"/>
              </a:solidFill>
            </a:rPr>
            <a:t> Budget Hour </a:t>
          </a:r>
          <a:r>
            <a:rPr lang="ko-KR" altLang="en-US" sz="1100" b="1" baseline="0">
              <a:solidFill>
                <a:sysClr val="windowText" lastClr="000000"/>
              </a:solidFill>
            </a:rPr>
            <a:t>에서 </a:t>
          </a:r>
          <a:r>
            <a:rPr lang="en-US" altLang="ko-KR" sz="1100" b="1" baseline="0">
              <a:solidFill>
                <a:sysClr val="windowText" lastClr="000000"/>
              </a:solidFill>
            </a:rPr>
            <a:t>"Excel Import" </a:t>
          </a:r>
          <a:r>
            <a:rPr lang="ko-KR" altLang="en-US" sz="1100" b="1" baseline="0">
              <a:solidFill>
                <a:sysClr val="windowText" lastClr="000000"/>
              </a:solidFill>
            </a:rPr>
            <a:t>버튼 눌러 임포트</a:t>
          </a:r>
          <a:endParaRPr lang="en-US" altLang="ko-KR" sz="1100" b="1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="1" baseline="0">
              <a:solidFill>
                <a:sysClr val="windowText" lastClr="000000"/>
              </a:solidFill>
            </a:rPr>
            <a:t>     (edit </a:t>
          </a:r>
          <a:r>
            <a:rPr lang="ko-KR" altLang="en-US" sz="1100" b="1" baseline="0">
              <a:solidFill>
                <a:sysClr val="windowText" lastClr="000000"/>
              </a:solidFill>
            </a:rPr>
            <a:t>버튼 누른 상태에서는 </a:t>
          </a:r>
          <a:r>
            <a:rPr lang="en-US" altLang="ko-KR" sz="1100" b="1" baseline="0">
              <a:solidFill>
                <a:sysClr val="windowText" lastClr="000000"/>
              </a:solidFill>
            </a:rPr>
            <a:t>import </a:t>
          </a:r>
          <a:r>
            <a:rPr lang="ko-KR" altLang="en-US" sz="1100" b="1" baseline="0">
              <a:solidFill>
                <a:sysClr val="windowText" lastClr="000000"/>
              </a:solidFill>
            </a:rPr>
            <a:t>버튼 보이지 않음</a:t>
          </a:r>
          <a:r>
            <a:rPr lang="en-US" altLang="ko-KR" sz="1100" b="1" baseline="0">
              <a:solidFill>
                <a:sysClr val="windowText" lastClr="000000"/>
              </a:solidFill>
            </a:rPr>
            <a:t>)</a:t>
          </a:r>
        </a:p>
        <a:p>
          <a:pPr algn="l"/>
          <a:endParaRPr lang="en-US" altLang="ko-KR" sz="1100" b="1" baseline="0">
            <a:solidFill>
              <a:sysClr val="windowText" lastClr="000000"/>
            </a:solidFill>
          </a:endParaRPr>
        </a:p>
        <a:p>
          <a:pPr algn="l"/>
          <a:r>
            <a:rPr lang="ko-KR" altLang="en-US" sz="1100" b="1" baseline="0">
              <a:solidFill>
                <a:sysClr val="windowText" lastClr="000000"/>
              </a:solidFill>
            </a:rPr>
            <a:t>본 템플릿은 </a:t>
          </a:r>
          <a:r>
            <a:rPr lang="en-US" altLang="ko-KR" sz="1100" b="1" baseline="0">
              <a:solidFill>
                <a:sysClr val="windowText" lastClr="000000"/>
              </a:solidFill>
            </a:rPr>
            <a:t>12</a:t>
          </a:r>
          <a:r>
            <a:rPr lang="ko-KR" altLang="en-US" sz="1100" b="1" baseline="0">
              <a:solidFill>
                <a:sysClr val="windowText" lastClr="000000"/>
              </a:solidFill>
            </a:rPr>
            <a:t>개월 업무기간</a:t>
          </a:r>
          <a:r>
            <a:rPr lang="en-US" altLang="ko-KR" sz="1100" b="1" baseline="0">
              <a:solidFill>
                <a:sysClr val="windowText" lastClr="000000"/>
              </a:solidFill>
            </a:rPr>
            <a:t>&amp;</a:t>
          </a:r>
          <a:r>
            <a:rPr lang="ko-KR" altLang="en-US" sz="1100" b="1" baseline="0">
              <a:solidFill>
                <a:sysClr val="windowText" lastClr="000000"/>
              </a:solidFill>
            </a:rPr>
            <a:t>월별 양식이므로</a:t>
          </a:r>
          <a:r>
            <a:rPr lang="en-US" altLang="ko-KR" sz="1100" b="1" baseline="0">
              <a:solidFill>
                <a:sysClr val="windowText" lastClr="000000"/>
              </a:solidFill>
            </a:rPr>
            <a:t>, </a:t>
          </a:r>
          <a:r>
            <a:rPr lang="ko-KR" altLang="en-US" sz="1100" b="1" baseline="0">
              <a:solidFill>
                <a:sysClr val="windowText" lastClr="000000"/>
              </a:solidFill>
            </a:rPr>
            <a:t>다른 템플릿으로 필요한 경우 </a:t>
          </a:r>
          <a:r>
            <a:rPr lang="en-US" altLang="ko-KR" sz="1100" b="1" baseline="0">
              <a:solidFill>
                <a:sysClr val="windowText" lastClr="000000"/>
              </a:solidFill>
            </a:rPr>
            <a:t>(</a:t>
          </a:r>
          <a:r>
            <a:rPr lang="ko-KR" altLang="en-US" sz="1100" b="1" baseline="0">
              <a:solidFill>
                <a:sysClr val="windowText" lastClr="000000"/>
              </a:solidFill>
            </a:rPr>
            <a:t>업무기간이 </a:t>
          </a:r>
          <a:r>
            <a:rPr lang="en-US" altLang="ko-KR" sz="1100" b="1" baseline="0">
              <a:solidFill>
                <a:sysClr val="windowText" lastClr="000000"/>
              </a:solidFill>
            </a:rPr>
            <a:t>12</a:t>
          </a:r>
          <a:r>
            <a:rPr lang="ko-KR" altLang="en-US" sz="1100" b="1" baseline="0">
              <a:solidFill>
                <a:sysClr val="windowText" lastClr="000000"/>
              </a:solidFill>
            </a:rPr>
            <a:t>개월보다 짧거나 분반기 양식 등</a:t>
          </a:r>
          <a:r>
            <a:rPr lang="en-US" altLang="ko-KR" sz="1100" b="1" baseline="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1100" b="1" baseline="0">
              <a:solidFill>
                <a:sysClr val="windowText" lastClr="000000"/>
              </a:solidFill>
            </a:rPr>
            <a:t>Budgeting V4 </a:t>
          </a:r>
          <a:r>
            <a:rPr lang="ko-KR" altLang="en-US" sz="1100" b="1" baseline="0">
              <a:solidFill>
                <a:sysClr val="windowText" lastClr="000000"/>
              </a:solidFill>
            </a:rPr>
            <a:t>탭 하단</a:t>
          </a:r>
          <a:r>
            <a:rPr lang="en-US" altLang="ko-KR" sz="1100" b="1" baseline="0">
              <a:solidFill>
                <a:sysClr val="windowText" lastClr="000000"/>
              </a:solidFill>
            </a:rPr>
            <a:t> Budget Hour </a:t>
          </a:r>
          <a:r>
            <a:rPr lang="ko-KR" altLang="en-US" sz="1100" b="1" baseline="0">
              <a:solidFill>
                <a:sysClr val="windowText" lastClr="000000"/>
              </a:solidFill>
            </a:rPr>
            <a:t>에서 </a:t>
          </a:r>
          <a:r>
            <a:rPr lang="en-US" altLang="ko-KR" sz="1100" b="1" baseline="0">
              <a:solidFill>
                <a:sysClr val="windowText" lastClr="000000"/>
              </a:solidFill>
            </a:rPr>
            <a:t>"Excel Export"</a:t>
          </a:r>
          <a:r>
            <a:rPr lang="ko-KR" altLang="en-US" sz="1100" b="1" baseline="0">
              <a:solidFill>
                <a:sysClr val="windowText" lastClr="000000"/>
              </a:solidFill>
            </a:rPr>
            <a:t>눌러 산출된 양식에 본 시트 데이터를 활용하여 입력하시면 됩니다</a:t>
          </a:r>
          <a:r>
            <a:rPr lang="en-US" altLang="ko-KR" sz="1100" b="1" baseline="0">
              <a:solidFill>
                <a:sysClr val="windowText" lastClr="000000"/>
              </a:solidFill>
            </a:rPr>
            <a:t>.</a:t>
          </a:r>
        </a:p>
        <a:p>
          <a:pPr algn="l"/>
          <a:endParaRPr lang="en-US" altLang="ko-KR" sz="1100" b="1" baseline="0">
            <a:solidFill>
              <a:sysClr val="windowText" lastClr="000000"/>
            </a:solidFill>
          </a:endParaRPr>
        </a:p>
        <a:p>
          <a:pPr algn="l"/>
          <a:endParaRPr lang="en-US" altLang="ko-KR" sz="1100" b="1" baseline="0">
            <a:solidFill>
              <a:sysClr val="windowText" lastClr="000000"/>
            </a:solidFill>
          </a:endParaRPr>
        </a:p>
        <a:p>
          <a:pPr algn="l"/>
          <a:r>
            <a:rPr lang="en-US" altLang="ko-KR" sz="1100" b="1" baseline="0">
              <a:solidFill>
                <a:sysClr val="windowText" lastClr="000000"/>
              </a:solidFill>
            </a:rPr>
            <a:t>&lt;Support Team</a:t>
          </a:r>
          <a:r>
            <a:rPr lang="ko-KR" altLang="en-US" sz="1100" b="1" baseline="0">
              <a:solidFill>
                <a:sysClr val="windowText" lastClr="000000"/>
              </a:solidFill>
            </a:rPr>
            <a:t> 부연설명</a:t>
          </a:r>
          <a:r>
            <a:rPr lang="en-US" altLang="ko-KR" sz="1100" b="1" baseline="0">
              <a:solidFill>
                <a:sysClr val="windowText" lastClr="000000"/>
              </a:solidFill>
            </a:rPr>
            <a:t>&gt;</a:t>
          </a:r>
        </a:p>
        <a:p>
          <a:pPr algn="l"/>
          <a:r>
            <a:rPr lang="en-US" altLang="ko-KR" sz="1100" b="1" baseline="0">
              <a:solidFill>
                <a:srgbClr val="FF0000"/>
              </a:solidFill>
            </a:rPr>
            <a:t>Specialist </a:t>
          </a:r>
          <a:r>
            <a:rPr lang="ko-KR" altLang="en-US" sz="1100" b="1" baseline="0">
              <a:solidFill>
                <a:sysClr val="windowText" lastClr="000000"/>
              </a:solidFill>
            </a:rPr>
            <a:t>는 </a:t>
          </a:r>
          <a:r>
            <a:rPr lang="en-US" altLang="ko-KR" sz="1100" b="1" baseline="0">
              <a:solidFill>
                <a:sysClr val="windowText" lastClr="000000"/>
              </a:solidFill>
            </a:rPr>
            <a:t>"</a:t>
          </a:r>
          <a:r>
            <a:rPr lang="ko-KR" altLang="en-US" sz="1100" b="1" baseline="0">
              <a:solidFill>
                <a:sysClr val="windowText" lastClr="000000"/>
              </a:solidFill>
            </a:rPr>
            <a:t>기타</a:t>
          </a:r>
          <a:r>
            <a:rPr lang="en-US" altLang="ko-KR" sz="1100" b="1" baseline="0">
              <a:solidFill>
                <a:sysClr val="windowText" lastClr="000000"/>
              </a:solidFill>
            </a:rPr>
            <a:t>"</a:t>
          </a:r>
          <a:r>
            <a:rPr lang="ko-KR" altLang="en-US" sz="1100" b="1" baseline="0">
              <a:solidFill>
                <a:sysClr val="windowText" lastClr="000000"/>
              </a:solidFill>
            </a:rPr>
            <a:t>로 반영되며</a:t>
          </a:r>
          <a:r>
            <a:rPr lang="en-US" altLang="ko-KR" sz="1100" b="1" baseline="0">
              <a:solidFill>
                <a:sysClr val="windowText" lastClr="000000"/>
              </a:solidFill>
            </a:rPr>
            <a:t>,</a:t>
          </a:r>
          <a:r>
            <a:rPr lang="ko-KR" altLang="en-US" sz="1100" b="1" baseline="0">
              <a:solidFill>
                <a:sysClr val="windowText" lastClr="000000"/>
              </a:solidFill>
            </a:rPr>
            <a:t> </a:t>
          </a:r>
          <a:r>
            <a:rPr lang="ko-KR" altLang="en-US" sz="1100" b="1" baseline="0">
              <a:solidFill>
                <a:srgbClr val="FF0000"/>
              </a:solidFill>
            </a:rPr>
            <a:t>입력한 </a:t>
          </a:r>
          <a:r>
            <a:rPr lang="en-US" altLang="ko-KR" sz="1100" b="1" baseline="0">
              <a:solidFill>
                <a:srgbClr val="FF0000"/>
              </a:solidFill>
            </a:rPr>
            <a:t>Grade</a:t>
          </a:r>
          <a:r>
            <a:rPr lang="ko-KR" altLang="en-US" sz="1100" b="1" baseline="0">
              <a:solidFill>
                <a:srgbClr val="FF0000"/>
              </a:solidFill>
            </a:rPr>
            <a:t>로 반영</a:t>
          </a:r>
          <a:r>
            <a:rPr lang="ko-KR" altLang="en-US" sz="1100" b="1" baseline="0">
              <a:solidFill>
                <a:sysClr val="windowText" lastClr="000000"/>
              </a:solidFill>
            </a:rPr>
            <a:t>됩니다</a:t>
          </a:r>
          <a:r>
            <a:rPr lang="en-US" altLang="ko-KR" sz="1100" b="1" baseline="0">
              <a:solidFill>
                <a:sysClr val="windowText" lastClr="000000"/>
              </a:solidFill>
            </a:rPr>
            <a:t>. Grade</a:t>
          </a:r>
          <a:r>
            <a:rPr lang="ko-KR" altLang="en-US" sz="1100" b="1" baseline="0">
              <a:solidFill>
                <a:sysClr val="windowText" lastClr="000000"/>
              </a:solidFill>
            </a:rPr>
            <a:t>를 확인해주세요</a:t>
          </a:r>
          <a:r>
            <a:rPr lang="en-US" altLang="ko-KR" sz="1100" b="1" baseline="0">
              <a:solidFill>
                <a:sysClr val="windowText" lastClr="000000"/>
              </a:solidFill>
            </a:rPr>
            <a:t>! </a:t>
          </a:r>
          <a:r>
            <a:rPr lang="ko-KR" altLang="en-US" sz="1100" b="1" baseline="0">
              <a:solidFill>
                <a:sysClr val="windowText" lastClr="000000"/>
              </a:solidFill>
            </a:rPr>
            <a:t>인원확정된 경우 </a:t>
          </a:r>
          <a:r>
            <a:rPr lang="en-US" altLang="ko-KR" sz="1100" b="1" baseline="0">
              <a:solidFill>
                <a:sysClr val="windowText" lastClr="000000"/>
              </a:solidFill>
            </a:rPr>
            <a:t>TBD "N" </a:t>
          </a:r>
          <a:r>
            <a:rPr lang="ko-KR" altLang="en-US" sz="1100" b="1" baseline="0">
              <a:solidFill>
                <a:sysClr val="windowText" lastClr="000000"/>
              </a:solidFill>
            </a:rPr>
            <a:t>변경하고</a:t>
          </a:r>
          <a:r>
            <a:rPr lang="en-US" altLang="ko-KR" sz="1100" b="1" baseline="0">
              <a:solidFill>
                <a:sysClr val="windowText" lastClr="000000"/>
              </a:solidFill>
            </a:rPr>
            <a:t> </a:t>
          </a:r>
          <a:r>
            <a:rPr lang="ko-KR" altLang="en-US" sz="1100" b="1" baseline="0">
              <a:solidFill>
                <a:sysClr val="windowText" lastClr="000000"/>
              </a:solidFill>
            </a:rPr>
            <a:t>사번 입력</a:t>
          </a:r>
          <a:r>
            <a:rPr lang="en-US" altLang="ko-KR" sz="1100" b="1" baseline="0">
              <a:solidFill>
                <a:sysClr val="windowText" lastClr="000000"/>
              </a:solidFill>
            </a:rPr>
            <a:t>(Grade</a:t>
          </a:r>
          <a:r>
            <a:rPr lang="ko-KR" altLang="en-US" sz="1100" b="1" baseline="0">
              <a:solidFill>
                <a:sysClr val="windowText" lastClr="000000"/>
              </a:solidFill>
            </a:rPr>
            <a:t>는 삭제</a:t>
          </a:r>
          <a:r>
            <a:rPr lang="en-US" altLang="ko-KR" sz="1100" b="1" baseline="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1100" b="1" baseline="0">
              <a:solidFill>
                <a:srgbClr val="FF0000"/>
              </a:solidFill>
            </a:rPr>
            <a:t>QRP, QC, SPA, Fulcrum</a:t>
          </a:r>
          <a:r>
            <a:rPr lang="ko-KR" altLang="en-US" sz="1100" b="1" baseline="0">
              <a:solidFill>
                <a:sysClr val="windowText" lastClr="000000"/>
              </a:solidFill>
            </a:rPr>
            <a:t>은 </a:t>
          </a:r>
          <a:r>
            <a:rPr lang="en-US" altLang="ko-KR" sz="1100" b="1" baseline="0">
              <a:solidFill>
                <a:sysClr val="windowText" lastClr="000000"/>
              </a:solidFill>
            </a:rPr>
            <a:t>TBD "Y"</a:t>
          </a:r>
          <a:r>
            <a:rPr lang="ko-KR" altLang="en-US" sz="1100" b="1" baseline="0">
              <a:solidFill>
                <a:sysClr val="windowText" lastClr="000000"/>
              </a:solidFill>
            </a:rPr>
            <a:t>인 경우 템플릿상 기재된 </a:t>
          </a:r>
          <a:r>
            <a:rPr lang="en-US" altLang="ko-KR" sz="1100" b="1" baseline="0">
              <a:solidFill>
                <a:sysClr val="windowText" lastClr="000000"/>
              </a:solidFill>
            </a:rPr>
            <a:t>Grade</a:t>
          </a:r>
          <a:r>
            <a:rPr lang="ko-KR" altLang="en-US" sz="1100" b="1" baseline="0">
              <a:solidFill>
                <a:sysClr val="windowText" lastClr="000000"/>
              </a:solidFill>
            </a:rPr>
            <a:t>와 무관하게 시스템상 정해진 숙련도로 반영됩니다</a:t>
          </a:r>
          <a:r>
            <a:rPr lang="en-US" altLang="ko-KR" sz="1100" b="1" baseline="0">
              <a:solidFill>
                <a:sysClr val="windowText" lastClr="000000"/>
              </a:solidFill>
            </a:rPr>
            <a:t>. (</a:t>
          </a:r>
          <a:r>
            <a:rPr lang="ko-KR" altLang="en-US" sz="1100" b="1" baseline="0">
              <a:solidFill>
                <a:sysClr val="windowText" lastClr="000000"/>
              </a:solidFill>
            </a:rPr>
            <a:t>단</a:t>
          </a:r>
          <a:r>
            <a:rPr lang="en-US" altLang="ko-KR" sz="1100" b="1" baseline="0">
              <a:solidFill>
                <a:sysClr val="windowText" lastClr="000000"/>
              </a:solidFill>
            </a:rPr>
            <a:t>, </a:t>
          </a:r>
          <a:r>
            <a:rPr lang="ko-KR" altLang="en-US" sz="1100" b="1" baseline="0">
              <a:solidFill>
                <a:sysClr val="windowText" lastClr="000000"/>
              </a:solidFill>
            </a:rPr>
            <a:t>템플릿상 </a:t>
          </a:r>
          <a:r>
            <a:rPr lang="en-US" altLang="ko-KR" sz="1100" b="1" baseline="0">
              <a:solidFill>
                <a:sysClr val="windowText" lastClr="000000"/>
              </a:solidFill>
            </a:rPr>
            <a:t>Grade </a:t>
          </a:r>
          <a:r>
            <a:rPr lang="ko-KR" altLang="en-US" sz="1100" b="1" baseline="0">
              <a:solidFill>
                <a:sysClr val="windowText" lastClr="000000"/>
              </a:solidFill>
            </a:rPr>
            <a:t>삭제는 </a:t>
          </a:r>
          <a:r>
            <a:rPr lang="en-US" altLang="ko-KR" sz="1100" b="1" baseline="0">
              <a:solidFill>
                <a:sysClr val="windowText" lastClr="000000"/>
              </a:solidFill>
            </a:rPr>
            <a:t>X)</a:t>
          </a:r>
        </a:p>
        <a:p>
          <a:pPr algn="l"/>
          <a:r>
            <a:rPr lang="en-US" altLang="ko-KR" sz="900" b="0" baseline="0">
              <a:solidFill>
                <a:sysClr val="windowText" lastClr="000000"/>
              </a:solidFill>
            </a:rPr>
            <a:t>QRP, QC, SPA, Fulcrum</a:t>
          </a:r>
          <a:r>
            <a:rPr lang="ko-KR" altLang="en-US" sz="900" b="0" baseline="0">
              <a:solidFill>
                <a:sysClr val="windowText" lastClr="000000"/>
              </a:solidFill>
            </a:rPr>
            <a:t>에서 인원특정하고자 하는 경우</a:t>
          </a:r>
          <a:r>
            <a:rPr lang="en-US" altLang="ko-KR" sz="900" b="0" baseline="0">
              <a:solidFill>
                <a:sysClr val="windowText" lastClr="000000"/>
              </a:solidFill>
            </a:rPr>
            <a:t>,</a:t>
          </a:r>
          <a:r>
            <a:rPr lang="ko-KR" altLang="en-US" sz="900" b="0" baseline="0">
              <a:solidFill>
                <a:sysClr val="windowText" lastClr="000000"/>
              </a:solidFill>
            </a:rPr>
            <a:t> </a:t>
          </a:r>
          <a:r>
            <a:rPr lang="en-US" altLang="ko-KR" sz="900" b="0" baseline="0">
              <a:solidFill>
                <a:sysClr val="windowText" lastClr="000000"/>
              </a:solidFill>
            </a:rPr>
            <a:t>TBD "N" </a:t>
          </a:r>
          <a:r>
            <a:rPr lang="ko-KR" altLang="en-US" sz="900" b="0" baseline="0">
              <a:solidFill>
                <a:sysClr val="windowText" lastClr="000000"/>
              </a:solidFill>
            </a:rPr>
            <a:t>변경하고 사번 입력</a:t>
          </a:r>
          <a:r>
            <a:rPr lang="en-US" altLang="ko-KR" sz="900" b="0" baseline="0">
              <a:solidFill>
                <a:sysClr val="windowText" lastClr="000000"/>
              </a:solidFill>
            </a:rPr>
            <a:t>(Grade</a:t>
          </a:r>
          <a:r>
            <a:rPr lang="ko-KR" altLang="en-US" sz="900" b="0" baseline="0">
              <a:solidFill>
                <a:sysClr val="windowText" lastClr="000000"/>
              </a:solidFill>
            </a:rPr>
            <a:t>는 빈칸</a:t>
          </a:r>
          <a:r>
            <a:rPr lang="en-US" altLang="ko-KR" sz="900" b="0" baseline="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900" b="0" baseline="0">
              <a:solidFill>
                <a:sysClr val="windowText" lastClr="000000"/>
              </a:solidFill>
            </a:rPr>
            <a:t>QRP, QC, SPA, Fulcrum</a:t>
          </a:r>
          <a:r>
            <a:rPr lang="ko-KR" altLang="en-US" sz="900" b="0" baseline="0">
              <a:solidFill>
                <a:sysClr val="windowText" lastClr="000000"/>
              </a:solidFill>
            </a:rPr>
            <a:t>에서 </a:t>
          </a:r>
          <a:r>
            <a:rPr lang="en-US" altLang="ko-KR" sz="900" b="0" baseline="0">
              <a:solidFill>
                <a:sysClr val="windowText" lastClr="000000"/>
              </a:solidFill>
            </a:rPr>
            <a:t>Grade</a:t>
          </a:r>
          <a:r>
            <a:rPr lang="ko-KR" altLang="en-US" sz="900" b="0" baseline="0">
              <a:solidFill>
                <a:sysClr val="windowText" lastClr="000000"/>
              </a:solidFill>
            </a:rPr>
            <a:t>만 특정하고자 하는 경우 </a:t>
          </a:r>
          <a:r>
            <a:rPr lang="en-US" altLang="ko-KR" sz="900" b="0" baseline="0">
              <a:solidFill>
                <a:sysClr val="windowText" lastClr="000000"/>
              </a:solidFill>
            </a:rPr>
            <a:t>TBD "N" </a:t>
          </a:r>
          <a:r>
            <a:rPr lang="ko-KR" altLang="en-US" sz="900" b="0" baseline="0">
              <a:solidFill>
                <a:sysClr val="windowText" lastClr="000000"/>
              </a:solidFill>
            </a:rPr>
            <a:t>변경하고 </a:t>
          </a:r>
          <a:r>
            <a:rPr lang="en-US" altLang="ko-KR" sz="900" b="0" baseline="0">
              <a:solidFill>
                <a:sysClr val="windowText" lastClr="000000"/>
              </a:solidFill>
            </a:rPr>
            <a:t>Grade </a:t>
          </a:r>
          <a:r>
            <a:rPr lang="ko-KR" altLang="en-US" sz="900" b="0" baseline="0">
              <a:solidFill>
                <a:sysClr val="windowText" lastClr="000000"/>
              </a:solidFill>
            </a:rPr>
            <a:t>입력</a:t>
          </a:r>
          <a:r>
            <a:rPr lang="en-US" altLang="ko-KR" sz="900" b="0" baseline="0">
              <a:solidFill>
                <a:sysClr val="windowText" lastClr="000000"/>
              </a:solidFill>
            </a:rPr>
            <a:t>(</a:t>
          </a:r>
          <a:r>
            <a:rPr lang="ko-KR" altLang="en-US" sz="900" b="0" baseline="0">
              <a:solidFill>
                <a:sysClr val="windowText" lastClr="000000"/>
              </a:solidFill>
            </a:rPr>
            <a:t>사번은 빈칸</a:t>
          </a:r>
          <a:r>
            <a:rPr lang="en-US" altLang="ko-KR" sz="900" b="0" baseline="0">
              <a:solidFill>
                <a:sysClr val="windowText" lastClr="000000"/>
              </a:solidFill>
            </a:rPr>
            <a:t>)</a:t>
          </a:r>
          <a:endParaRPr lang="en-US" altLang="ko-KR" sz="1000" b="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4584A-DE3D-452A-B55F-EE24853DBDDF}" name="Tbl_Members" displayName="Tbl_Members" ref="B7:I30" totalsRowShown="0" headerRowDxfId="49" headerRowBorderDxfId="48" tableBorderDxfId="47" totalsRowBorderDxfId="46">
  <autoFilter ref="B7:I30" xr:uid="{D1D9412B-94A8-44E3-8E50-75650F41C1D8}"/>
  <tableColumns count="8">
    <tableColumn id="1" xr3:uid="{595CE466-43C8-4D0E-8EA7-C3A1034FCACB}" name="구분" dataDxfId="45" totalsRowDxfId="44"/>
    <tableColumn id="2" xr3:uid="{9B32077D-AD6D-4F02-9CD1-FA94F7FF1084}" name="이름" dataDxfId="43" totalsRowDxfId="42"/>
    <tableColumn id="3" xr3:uid="{187E256F-9FE2-4972-A943-C2660B8ED3C1}" name="사번" dataDxfId="41" totalsRowDxfId="40"/>
    <tableColumn id="4" xr3:uid="{89E0FDBF-5128-4634-A713-4B1C31ED73B6}" name="표감 activity mapping" dataDxfId="39" totalsRowDxfId="38"/>
    <tableColumn id="5" xr3:uid="{2531E091-97F8-4DCD-BD28-E98BC0B3E1DA}" name="비고" dataDxfId="37" totalsRowDxfId="36"/>
    <tableColumn id="6" xr3:uid="{90E00912-EB45-4652-820C-1B08D80B3B30}" name="사전 배부" dataDxfId="35" dataCellStyle="쉼표 [0]"/>
    <tableColumn id="7" xr3:uid="{4132FC23-E77B-4577-B663-E64904C1E609}" name="Template 반영현황" dataDxfId="34" dataCellStyle="쉼표 [0]">
      <calculatedColumnFormula>SUMIF(Tbl_Budget[사번],D8,Tbl_Budget[Budget 합계])</calculatedColumnFormula>
    </tableColumn>
    <tableColumn id="8" xr3:uid="{696E2C8B-8C32-4A7B-AADA-428F7ECB0C8A}" name="예산대비 반영차이" dataDxfId="33">
      <calculatedColumnFormula>G8-H8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83DC66-44A0-44C9-8882-FDF7E693CA7A}" name="Tbl_Budget" displayName="Tbl_Budget" ref="B22:X114" totalsRowShown="0" headerRowDxfId="32" dataDxfId="30" headerRowBorderDxfId="31" tableBorderDxfId="29" totalsRowBorderDxfId="28">
  <autoFilter ref="B22:X114" xr:uid="{91C050BE-E20E-483B-A7B4-54391D452A99}"/>
  <tableColumns count="23">
    <tableColumn id="1" xr3:uid="{F6F65BBF-34B0-4CD2-9C08-D6116200D717}" name="대분류 명" dataDxfId="27"/>
    <tableColumn id="2" xr3:uid="{4EA30E31-87D7-449F-A94D-598C4B239D4A}" name="Budget 관리단위" dataDxfId="26"/>
    <tableColumn id="22" xr3:uid="{40F140B3-5CA0-45B0-97B5-5A8490BBFD8A}" name="해당" dataDxfId="25"/>
    <tableColumn id="3" xr3:uid="{41E06D9A-74BC-4DBD-AFC1-1BF0C7E422C6}" name="25/06 Debriefing실적" dataDxfId="24"/>
    <tableColumn id="4" xr3:uid="{9207DBEB-2E7B-4182-9C06-6137F585A8F6}" name="유사회사 평균 비율" dataDxfId="23">
      <calculatedColumnFormula array="1">IFERROR(INDEX(DB_tStat!$A$2:$DQ$111, _xlfn.XMATCH($F$20, DB_tStat!$A$2:$A$111, 0), _xlfn.XMATCH(Tbl_Budget[[#This Row],[Budget 관리단위]], DB_tStat!$A$1:$DQ$1, 0)),0)</calculatedColumnFormula>
    </tableColumn>
    <tableColumn id="5" xr3:uid="{81B62221-FCB5-4791-BE67-7C2EAFE3C55B}" name="유사회사평균비율 적용 시 산출 시간" dataDxfId="22">
      <calculatedColumnFormula>Tbl_Budget[[#This Row],[유사회사 평균 비율]]*$C$9</calculatedColumnFormula>
    </tableColumn>
    <tableColumn id="6" xr3:uid="{2A185282-F982-4B5D-9D80-DF1FFC6B2F13}" name="Assignment" dataDxfId="21"/>
    <tableColumn id="7" xr3:uid="{5214D5A9-360E-4946-A21D-FC0184C9E23F}" name="사번" dataDxfId="20">
      <calculatedColumnFormula>_xlfn.XLOOKUP(Tbl_Budget[[#This Row],[Assignment]],Tbl_Members[이름],Tbl_Members[사번],0)</calculatedColumnFormula>
    </tableColumn>
    <tableColumn id="8" xr3:uid="{383B507F-16D0-4244-8EF5-C545CE98BF97}" name="Budget 합계" dataDxfId="19"/>
    <tableColumn id="9" xr3:uid="{00112058-9CDC-4AB6-9F11-81631BD61070}" name="1" dataDxfId="18"/>
    <tableColumn id="10" xr3:uid="{87568942-B450-4BB7-A8B3-B4D5003E9B58}" name="2" dataDxfId="17"/>
    <tableColumn id="11" xr3:uid="{3FF4133B-09A4-4F1D-B793-A7500BB3E592}" name="3" dataDxfId="16"/>
    <tableColumn id="12" xr3:uid="{68D7666E-DB74-47DA-AC2A-0AF706C812C7}" name="4" dataDxfId="15"/>
    <tableColumn id="13" xr3:uid="{28E92A50-2E4B-452E-A631-76A6270E29AE}" name="5" dataDxfId="14"/>
    <tableColumn id="14" xr3:uid="{21283C16-6A6F-494C-95F5-794B075A73C5}" name="6" dataDxfId="13"/>
    <tableColumn id="15" xr3:uid="{8772B447-0865-4109-AB46-EE0E75F1E4E8}" name="7" dataDxfId="12"/>
    <tableColumn id="16" xr3:uid="{25F19A9C-0FA5-4191-9AF1-903C497554B8}" name="8" dataDxfId="11"/>
    <tableColumn id="17" xr3:uid="{B6CB453F-5D6E-40DE-8117-9460B8837896}" name="9" dataDxfId="10"/>
    <tableColumn id="18" xr3:uid="{E632D42C-A4ED-4486-8E5B-DFEFC2A4648F}" name="10" dataDxfId="9"/>
    <tableColumn id="19" xr3:uid="{ED8E5856-7F0F-4378-BBD5-0393245F8F09}" name="11" dataDxfId="8"/>
    <tableColumn id="20" xr3:uid="{333EB09D-C7E5-4286-860C-6C12F52E71C7}" name="12" dataDxfId="7"/>
    <tableColumn id="21" xr3:uid="{5459F07E-CEC7-401C-9DD8-B23E54C05696}" name="합계검증" dataDxfId="6">
      <calculatedColumnFormula>IF(Tbl_Budget[[#This Row],[해당]]=TRUE,Tbl_Budget[[#This Row],[Budget 합계]]-SUM(Tbl_Budget[[#This Row],[1]:[12]]),0)</calculatedColumnFormula>
    </tableColumn>
    <tableColumn id="23" xr3:uid="{61A88C2F-8167-4228-A516-85FF936E20A9}" name="기말비율" dataDxfId="5">
      <calculatedColumnFormula>SUM(Tbl_Budget[[#This Row],[10]:[12]])/$C$13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:x:/t/KR-INT-ASR-ASR-Time-TF/EQODQbPVnRRAsAWKILe2lBwBlk-WlSlXwL3dduTltVKUm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C8DF-AF21-4B0A-BADA-3FF733A0BE2B}">
  <sheetPr codeName="Sheet2"/>
  <dimension ref="A1:T1"/>
  <sheetViews>
    <sheetView showGridLines="0" workbookViewId="0"/>
  </sheetViews>
  <sheetFormatPr defaultColWidth="0" defaultRowHeight="16.5" customHeight="1" zeroHeight="1" x14ac:dyDescent="0.3"/>
  <cols>
    <col min="1" max="1" width="80.625" style="3" customWidth="1"/>
    <col min="2" max="8" width="8.625" style="3" hidden="1" customWidth="1"/>
    <col min="9" max="20" width="0" style="3" hidden="1" customWidth="1"/>
    <col min="21" max="16384" width="8.625" style="3" hidden="1"/>
  </cols>
  <sheetData>
    <row r="1" spans="1:1" s="2" customFormat="1" ht="100.35" customHeight="1" x14ac:dyDescent="0.3">
      <c r="A1" s="1" t="s">
        <v>0</v>
      </c>
    </row>
  </sheetData>
  <phoneticPr fontId="4" type="noConversion"/>
  <hyperlinks>
    <hyperlink ref="A1" r:id="rId1" xr:uid="{55AE2654-D98E-478B-8855-7698C7DA10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7C89-F148-49E9-B101-904D19501BF8}">
  <sheetPr codeName="Sheet3">
    <tabColor rgb="FFFFC000"/>
  </sheetPr>
  <dimension ref="B2:W34"/>
  <sheetViews>
    <sheetView showGridLines="0" zoomScaleNormal="100" workbookViewId="0"/>
  </sheetViews>
  <sheetFormatPr defaultColWidth="8.625" defaultRowHeight="18.600000000000001" customHeight="1" x14ac:dyDescent="0.25"/>
  <cols>
    <col min="1" max="1" width="4.625" style="5" customWidth="1"/>
    <col min="2" max="2" width="18.875" style="6" customWidth="1"/>
    <col min="3" max="3" width="33.375" style="5" customWidth="1"/>
    <col min="4" max="4" width="19.5" style="6" customWidth="1"/>
    <col min="5" max="5" width="19.5" style="5" customWidth="1"/>
    <col min="6" max="23" width="17.625" style="5" customWidth="1"/>
    <col min="24" max="16384" width="8.625" style="5"/>
  </cols>
  <sheetData>
    <row r="2" spans="2:12" ht="18.600000000000001" customHeight="1" x14ac:dyDescent="0.25">
      <c r="B2" s="4" t="s">
        <v>1</v>
      </c>
    </row>
    <row r="3" spans="2:12" ht="18.600000000000001" customHeight="1" x14ac:dyDescent="0.25">
      <c r="B3" s="4"/>
    </row>
    <row r="4" spans="2:12" ht="18.600000000000001" customHeight="1" thickBot="1" x14ac:dyDescent="0.3">
      <c r="B4" s="7" t="s">
        <v>2</v>
      </c>
      <c r="C4" s="7" t="s">
        <v>3</v>
      </c>
      <c r="D4" s="244" t="s">
        <v>4</v>
      </c>
      <c r="E4" s="244"/>
      <c r="F4" s="244"/>
      <c r="G4" s="244"/>
      <c r="H4" s="244"/>
      <c r="I4" s="244"/>
      <c r="J4" s="244"/>
      <c r="K4" s="244"/>
      <c r="L4" s="244"/>
    </row>
    <row r="5" spans="2:12" ht="18.600000000000001" customHeight="1" thickTop="1" x14ac:dyDescent="0.25">
      <c r="B5" s="8" t="s">
        <v>5</v>
      </c>
      <c r="C5" s="9" t="s">
        <v>6</v>
      </c>
      <c r="D5" s="243" t="s">
        <v>7</v>
      </c>
      <c r="E5" s="243"/>
      <c r="F5" s="243"/>
      <c r="G5" s="243"/>
      <c r="H5" s="243"/>
      <c r="I5" s="243"/>
      <c r="J5" s="243"/>
      <c r="K5" s="243"/>
      <c r="L5" s="243"/>
    </row>
    <row r="6" spans="2:12" ht="18.600000000000001" customHeight="1" x14ac:dyDescent="0.25">
      <c r="B6" s="8" t="s">
        <v>8</v>
      </c>
      <c r="C6" s="10" t="s">
        <v>9</v>
      </c>
      <c r="D6" s="243" t="s">
        <v>10</v>
      </c>
      <c r="E6" s="243"/>
      <c r="F6" s="243"/>
      <c r="G6" s="243"/>
      <c r="H6" s="243"/>
      <c r="I6" s="243"/>
      <c r="J6" s="243"/>
      <c r="K6" s="243"/>
      <c r="L6" s="243"/>
    </row>
    <row r="7" spans="2:12" ht="18.600000000000001" customHeight="1" x14ac:dyDescent="0.25">
      <c r="B7" s="8" t="s">
        <v>11</v>
      </c>
      <c r="C7" s="10" t="s">
        <v>12</v>
      </c>
      <c r="D7" s="243" t="s">
        <v>13</v>
      </c>
      <c r="E7" s="243"/>
      <c r="F7" s="243"/>
      <c r="G7" s="243"/>
      <c r="H7" s="243"/>
      <c r="I7" s="243"/>
      <c r="J7" s="243"/>
      <c r="K7" s="243"/>
      <c r="L7" s="243"/>
    </row>
    <row r="8" spans="2:12" ht="18.600000000000001" customHeight="1" x14ac:dyDescent="0.25">
      <c r="B8" s="8" t="s">
        <v>14</v>
      </c>
      <c r="C8" s="10" t="s">
        <v>15</v>
      </c>
      <c r="D8" s="243" t="s">
        <v>16</v>
      </c>
      <c r="E8" s="243"/>
      <c r="F8" s="243"/>
      <c r="G8" s="243"/>
      <c r="H8" s="243"/>
      <c r="I8" s="243"/>
      <c r="J8" s="243"/>
      <c r="K8" s="243"/>
      <c r="L8" s="243"/>
    </row>
    <row r="9" spans="2:12" ht="18.600000000000001" customHeight="1" x14ac:dyDescent="0.25">
      <c r="B9" s="8" t="s">
        <v>17</v>
      </c>
      <c r="C9" s="10" t="s">
        <v>18</v>
      </c>
      <c r="D9" s="243" t="s">
        <v>19</v>
      </c>
      <c r="E9" s="243"/>
      <c r="F9" s="243"/>
      <c r="G9" s="243"/>
      <c r="H9" s="243"/>
      <c r="I9" s="243"/>
      <c r="J9" s="243"/>
      <c r="K9" s="243"/>
      <c r="L9" s="243"/>
    </row>
    <row r="10" spans="2:12" ht="18.600000000000001" customHeight="1" x14ac:dyDescent="0.25">
      <c r="B10" s="8" t="s">
        <v>20</v>
      </c>
      <c r="C10" s="10" t="s">
        <v>21</v>
      </c>
      <c r="D10" s="243" t="s">
        <v>22</v>
      </c>
      <c r="E10" s="243"/>
      <c r="F10" s="243"/>
      <c r="G10" s="243"/>
      <c r="H10" s="243"/>
      <c r="I10" s="243"/>
      <c r="J10" s="243"/>
      <c r="K10" s="243"/>
      <c r="L10" s="243"/>
    </row>
    <row r="11" spans="2:12" ht="18.600000000000001" customHeight="1" x14ac:dyDescent="0.25">
      <c r="B11" s="8" t="s">
        <v>23</v>
      </c>
      <c r="C11" s="10" t="s">
        <v>24</v>
      </c>
      <c r="D11" s="243" t="s">
        <v>25</v>
      </c>
      <c r="E11" s="243"/>
      <c r="F11" s="243"/>
      <c r="G11" s="243"/>
      <c r="H11" s="243"/>
      <c r="I11" s="243"/>
      <c r="J11" s="243"/>
      <c r="K11" s="243"/>
      <c r="L11" s="243"/>
    </row>
    <row r="12" spans="2:12" ht="18.600000000000001" customHeight="1" x14ac:dyDescent="0.25">
      <c r="B12" s="8" t="s">
        <v>26</v>
      </c>
      <c r="C12" s="10" t="s">
        <v>27</v>
      </c>
      <c r="D12" s="243" t="s">
        <v>28</v>
      </c>
      <c r="E12" s="243"/>
      <c r="F12" s="243"/>
      <c r="G12" s="243"/>
      <c r="H12" s="243"/>
      <c r="I12" s="243"/>
      <c r="J12" s="243"/>
      <c r="K12" s="243"/>
      <c r="L12" s="243"/>
    </row>
    <row r="13" spans="2:12" ht="18.600000000000001" customHeight="1" x14ac:dyDescent="0.25">
      <c r="B13" s="8" t="s">
        <v>29</v>
      </c>
      <c r="C13" s="10" t="s">
        <v>30</v>
      </c>
      <c r="D13" s="243" t="s">
        <v>31</v>
      </c>
      <c r="E13" s="243"/>
      <c r="F13" s="243"/>
      <c r="G13" s="243"/>
      <c r="H13" s="243"/>
      <c r="I13" s="243"/>
      <c r="J13" s="243"/>
      <c r="K13" s="243"/>
      <c r="L13" s="243"/>
    </row>
    <row r="14" spans="2:12" ht="18.600000000000001" customHeight="1" x14ac:dyDescent="0.25">
      <c r="B14" s="8" t="s">
        <v>32</v>
      </c>
      <c r="C14" s="11">
        <v>45748</v>
      </c>
      <c r="D14" s="243" t="s">
        <v>33</v>
      </c>
      <c r="E14" s="243"/>
      <c r="F14" s="243"/>
      <c r="G14" s="243"/>
      <c r="H14" s="243"/>
      <c r="I14" s="243"/>
      <c r="J14" s="243"/>
      <c r="K14" s="243"/>
      <c r="L14" s="243"/>
    </row>
    <row r="15" spans="2:12" ht="18.600000000000001" customHeight="1" thickBot="1" x14ac:dyDescent="0.3">
      <c r="B15" s="8" t="s">
        <v>34</v>
      </c>
      <c r="C15" s="12">
        <v>500</v>
      </c>
      <c r="D15" s="243"/>
      <c r="E15" s="243"/>
      <c r="F15" s="243"/>
      <c r="G15" s="243"/>
      <c r="H15" s="243"/>
      <c r="I15" s="243"/>
      <c r="J15" s="243"/>
      <c r="K15" s="243"/>
      <c r="L15" s="243"/>
    </row>
    <row r="16" spans="2:12" ht="18.600000000000001" customHeight="1" thickTop="1" x14ac:dyDescent="0.25">
      <c r="B16" s="13"/>
      <c r="C16" s="14"/>
      <c r="D16" s="13"/>
    </row>
    <row r="17" spans="2:23" ht="18.600000000000001" customHeight="1" x14ac:dyDescent="0.25">
      <c r="B17" s="4" t="s">
        <v>35</v>
      </c>
    </row>
    <row r="19" spans="2:23" ht="18.600000000000001" customHeight="1" x14ac:dyDescent="0.25">
      <c r="B19" s="7" t="s">
        <v>2</v>
      </c>
      <c r="C19" s="15" t="s">
        <v>36</v>
      </c>
      <c r="D19" s="15" t="s">
        <v>37</v>
      </c>
      <c r="E19" s="7" t="s">
        <v>38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3" ht="18.600000000000001" customHeight="1" x14ac:dyDescent="0.25">
      <c r="B20" s="16" t="s">
        <v>39</v>
      </c>
      <c r="C20" s="17" t="s">
        <v>40</v>
      </c>
      <c r="D20" s="18"/>
      <c r="E20" s="19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2:23" ht="18.600000000000001" customHeight="1" x14ac:dyDescent="0.25">
      <c r="B21" s="16" t="s">
        <v>41</v>
      </c>
      <c r="C21" s="17" t="s">
        <v>42</v>
      </c>
      <c r="D21" s="18"/>
      <c r="E21" s="19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2:23" ht="18.600000000000001" customHeight="1" thickBot="1" x14ac:dyDescent="0.3">
      <c r="B22" s="16" t="s">
        <v>43</v>
      </c>
      <c r="C22" s="17" t="s">
        <v>44</v>
      </c>
      <c r="D22" s="18"/>
      <c r="E22" s="19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2:23" ht="18.600000000000001" customHeight="1" thickTop="1" x14ac:dyDescent="0.25">
      <c r="B23" s="16" t="s">
        <v>45</v>
      </c>
      <c r="C23" s="17" t="s">
        <v>46</v>
      </c>
      <c r="D23" s="20">
        <v>170661</v>
      </c>
      <c r="E23" s="16" t="s">
        <v>47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2:23" ht="18.600000000000001" customHeight="1" thickBot="1" x14ac:dyDescent="0.3">
      <c r="B24" s="16" t="s">
        <v>48</v>
      </c>
      <c r="C24" s="17" t="s">
        <v>49</v>
      </c>
      <c r="D24" s="21">
        <v>280570</v>
      </c>
      <c r="E24" s="16" t="s">
        <v>47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2:23" ht="18.600000000000001" customHeight="1" thickTop="1" x14ac:dyDescent="0.25"/>
    <row r="26" spans="2:23" ht="18.600000000000001" customHeight="1" x14ac:dyDescent="0.25">
      <c r="B26" s="4" t="s">
        <v>50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2:23" ht="18.600000000000001" customHeight="1" x14ac:dyDescent="0.25">
      <c r="B27" s="4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2:23" ht="18.600000000000001" customHeight="1" thickBot="1" x14ac:dyDescent="0.3">
      <c r="B28" s="7" t="s">
        <v>2</v>
      </c>
      <c r="C28" s="22" t="s">
        <v>51</v>
      </c>
      <c r="D28" s="7" t="s">
        <v>38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2:23" ht="18.600000000000001" customHeight="1" thickTop="1" x14ac:dyDescent="0.25">
      <c r="B29" s="16" t="s">
        <v>52</v>
      </c>
      <c r="C29" s="23">
        <v>0</v>
      </c>
      <c r="D29" s="16" t="s">
        <v>53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2:23" ht="18.600000000000001" customHeight="1" x14ac:dyDescent="0.25">
      <c r="B30" s="16" t="s">
        <v>54</v>
      </c>
      <c r="C30" s="24">
        <v>0</v>
      </c>
      <c r="D30" s="16" t="s">
        <v>55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2:23" ht="18.600000000000001" customHeight="1" x14ac:dyDescent="0.25">
      <c r="B31" s="16" t="s">
        <v>56</v>
      </c>
      <c r="C31" s="24">
        <v>20</v>
      </c>
      <c r="D31" s="16" t="s">
        <v>57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2:23" ht="18.600000000000001" customHeight="1" x14ac:dyDescent="0.25">
      <c r="B32" s="16" t="s">
        <v>58</v>
      </c>
      <c r="C32" s="24">
        <v>55</v>
      </c>
      <c r="D32" s="16" t="s">
        <v>57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2:23" ht="18.600000000000001" customHeight="1" thickBot="1" x14ac:dyDescent="0.3">
      <c r="B33" s="16" t="s">
        <v>59</v>
      </c>
      <c r="C33" s="12">
        <v>0</v>
      </c>
      <c r="D33" s="16" t="s">
        <v>60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2:23" ht="18.600000000000001" customHeight="1" thickTop="1" x14ac:dyDescent="0.25"/>
  </sheetData>
  <mergeCells count="12">
    <mergeCell ref="D15:L15"/>
    <mergeCell ref="D4:L4"/>
    <mergeCell ref="D5:L5"/>
    <mergeCell ref="D6:L6"/>
    <mergeCell ref="D7:L7"/>
    <mergeCell ref="D8:L8"/>
    <mergeCell ref="D9:L9"/>
    <mergeCell ref="D10:L10"/>
    <mergeCell ref="D11:L11"/>
    <mergeCell ref="D12:L12"/>
    <mergeCell ref="D13:L13"/>
    <mergeCell ref="D14:L14"/>
  </mergeCells>
  <phoneticPr fontId="4" type="noConversion"/>
  <dataValidations count="10">
    <dataValidation type="list" allowBlank="1" showInputMessage="1" showErrorMessage="1" sqref="C14" xr:uid="{9698823F-9B9C-447F-9423-EB4FBB09EB6F}">
      <formula1>List_업무개시연월</formula1>
    </dataValidation>
    <dataValidation type="list" allowBlank="1" showInputMessage="1" showErrorMessage="1" sqref="C9" xr:uid="{68DAC38F-D95B-4A8B-AC92-1CE7CB2D854B}">
      <formula1>"① IFRS,② 일반기준"</formula1>
    </dataValidation>
    <dataValidation type="list" allowBlank="1" showInputMessage="1" showErrorMessage="1" sqref="C5" xr:uid="{6ED731FE-6E1E-4669-B079-916E27E2FC2C}">
      <formula1>"① 제조업, ② 서비스업, ③ 건설업, ④ 금융업, ⑤ 도소매업, ⑥ 기타"</formula1>
    </dataValidation>
    <dataValidation type="list" allowBlank="1" showInputMessage="1" showErrorMessage="1" sqref="C12" xr:uid="{349C91F3-9340-4104-A3DB-584236521C59}">
      <formula1>"① 내부회계감사(연결),② 내부회계감사(별도),③ 내부회계검토,④ 의무없음"</formula1>
    </dataValidation>
    <dataValidation type="list" allowBlank="1" showInputMessage="1" showErrorMessage="1" sqref="C8" xr:uid="{A8431546-FC6F-4674-88D9-AC5FECB23946}">
      <formula1>"① 사업보고서 제출대상,② 사업보고서 제출미대상"</formula1>
    </dataValidation>
    <dataValidation type="list" allowBlank="1" showInputMessage="1" showErrorMessage="1" sqref="C13" xr:uid="{DAE738B5-A50D-48FD-86FA-E85F0F3A1DCA}">
      <formula1>"① 초도감사,② 계속감사"</formula1>
    </dataValidation>
    <dataValidation type="list" allowBlank="1" showInputMessage="1" showErrorMessage="1" sqref="C10" xr:uid="{F013EC54-E039-404C-B4E9-4E916D014550}">
      <formula1>"① 작성,② 미작성"</formula1>
    </dataValidation>
    <dataValidation type="list" allowBlank="1" showInputMessage="1" showErrorMessage="1" sqref="C11" xr:uid="{B80CEBED-6F68-46BA-8C61-4D03A775BD9F}">
      <formula1>"① 없음,② 10개 이하,③ 11개~50개,④ 51개~100개,⑤ 100개 초과"</formula1>
    </dataValidation>
    <dataValidation type="list" allowBlank="1" showInputMessage="1" showErrorMessage="1" sqref="C6" xr:uid="{CF22BB8A-7AED-4122-A749-7599AA905619}">
      <formula1>"① 별도 2조&amp;연결 5조(자산매출평균) 이상,② 별도 2조이상,③ 별도 2조미만 ~ 5천억이상,④ 별도 5천억미만 ~ 1천억이상,⑤ 별도 1천억미만 ~ 500억이상,⑥ 별도 500억미만 ~ 200억이상,⑦ 별도 200억 미만"</formula1>
    </dataValidation>
    <dataValidation type="list" allowBlank="1" showInputMessage="1" showErrorMessage="1" sqref="C7" xr:uid="{15137E07-072A-42A4-81FE-8FA5CA1B9102}">
      <formula1>"① 유가증권상장,② 코스닥상장,③ 코넥스상장,④ 채권상장,⑤ 상장예정,⑥ 비상장"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0DCD-06AF-4D49-8E8F-CF41AFACB18D}">
  <sheetPr codeName="Sheet4">
    <tabColor rgb="FFFFC000"/>
  </sheetPr>
  <dimension ref="B2:I38"/>
  <sheetViews>
    <sheetView showGridLines="0" zoomScaleNormal="100" workbookViewId="0">
      <pane ySplit="7" topLeftCell="A8" activePane="bottomLeft" state="frozen"/>
      <selection activeCell="C34" sqref="C34"/>
      <selection pane="bottomLeft"/>
    </sheetView>
  </sheetViews>
  <sheetFormatPr defaultColWidth="8.75" defaultRowHeight="16.5" x14ac:dyDescent="0.3"/>
  <cols>
    <col min="1" max="1" width="2.625" style="3" customWidth="1"/>
    <col min="2" max="2" width="16.25" style="26" customWidth="1"/>
    <col min="3" max="3" width="16.25" style="3" customWidth="1"/>
    <col min="4" max="5" width="24.5" style="3" customWidth="1"/>
    <col min="6" max="6" width="63.75" style="3" hidden="1" customWidth="1"/>
    <col min="7" max="7" width="16.75" style="3" customWidth="1"/>
    <col min="8" max="8" width="18.375" style="3" customWidth="1"/>
    <col min="9" max="9" width="17.75" style="3" customWidth="1"/>
    <col min="10" max="10" width="8.75" style="3" bestFit="1" customWidth="1"/>
    <col min="11" max="11" width="20.875" style="3" customWidth="1"/>
    <col min="12" max="12" width="10.25" style="3" customWidth="1"/>
    <col min="13" max="13" width="8.75" style="3" bestFit="1" customWidth="1"/>
    <col min="14" max="16384" width="8.75" style="3"/>
  </cols>
  <sheetData>
    <row r="2" spans="2:9" x14ac:dyDescent="0.3">
      <c r="B2" s="25" t="s">
        <v>61</v>
      </c>
    </row>
    <row r="3" spans="2:9" x14ac:dyDescent="0.3">
      <c r="B3" s="26" t="s">
        <v>62</v>
      </c>
    </row>
    <row r="4" spans="2:9" x14ac:dyDescent="0.3">
      <c r="B4" s="26" t="s">
        <v>63</v>
      </c>
    </row>
    <row r="5" spans="2:9" ht="17.25" thickBot="1" x14ac:dyDescent="0.35">
      <c r="B5" s="26" t="s">
        <v>64</v>
      </c>
      <c r="F5" s="27"/>
      <c r="G5" s="28" t="s">
        <v>65</v>
      </c>
      <c r="H5" s="29"/>
      <c r="I5" s="29"/>
    </row>
    <row r="6" spans="2:9" ht="17.25" thickBot="1" x14ac:dyDescent="0.35">
      <c r="G6" s="30">
        <f>SUM(Tbl_Members[사전 배부])</f>
        <v>335</v>
      </c>
      <c r="H6" s="30">
        <f>SUM(Tbl_Members[Template 반영현황])</f>
        <v>348</v>
      </c>
    </row>
    <row r="7" spans="2:9" ht="17.25" thickBot="1" x14ac:dyDescent="0.35">
      <c r="B7" s="31" t="s">
        <v>2</v>
      </c>
      <c r="C7" s="32" t="s">
        <v>66</v>
      </c>
      <c r="D7" s="32" t="s">
        <v>67</v>
      </c>
      <c r="E7" s="33" t="s">
        <v>38</v>
      </c>
      <c r="F7" s="15" t="s">
        <v>68</v>
      </c>
      <c r="G7" s="34" t="s">
        <v>69</v>
      </c>
      <c r="H7" s="35" t="s">
        <v>70</v>
      </c>
      <c r="I7" s="36" t="s">
        <v>71</v>
      </c>
    </row>
    <row r="8" spans="2:9" ht="17.25" thickTop="1" x14ac:dyDescent="0.3">
      <c r="B8" s="37" t="s">
        <v>72</v>
      </c>
      <c r="C8" s="38" t="s">
        <v>73</v>
      </c>
      <c r="D8" s="39">
        <v>260666</v>
      </c>
      <c r="E8" s="40" t="s">
        <v>47</v>
      </c>
      <c r="F8" s="41" t="s">
        <v>74</v>
      </c>
      <c r="G8" s="237">
        <v>1</v>
      </c>
      <c r="H8" s="238">
        <f>SUMIF(Tbl_Budget[사번],D8,Tbl_Budget[Budget 합계])</f>
        <v>1</v>
      </c>
      <c r="I8" s="42">
        <f t="shared" ref="I8:I30" si="0">G8-H8</f>
        <v>0</v>
      </c>
    </row>
    <row r="9" spans="2:9" x14ac:dyDescent="0.3">
      <c r="B9" s="43" t="s">
        <v>72</v>
      </c>
      <c r="C9" s="44" t="s">
        <v>75</v>
      </c>
      <c r="D9" s="45">
        <v>310625</v>
      </c>
      <c r="E9" s="46" t="s">
        <v>47</v>
      </c>
      <c r="F9" s="41" t="s">
        <v>74</v>
      </c>
      <c r="G9" s="239">
        <v>120</v>
      </c>
      <c r="H9" s="238">
        <f>SUMIF(Tbl_Budget[사번],D9,Tbl_Budget[Budget 합계])</f>
        <v>127</v>
      </c>
      <c r="I9" s="42">
        <f t="shared" si="0"/>
        <v>-7</v>
      </c>
    </row>
    <row r="10" spans="2:9" x14ac:dyDescent="0.3">
      <c r="B10" s="43" t="s">
        <v>72</v>
      </c>
      <c r="C10" s="44" t="s">
        <v>76</v>
      </c>
      <c r="D10" s="45">
        <v>330590</v>
      </c>
      <c r="E10" s="46" t="s">
        <v>47</v>
      </c>
      <c r="F10" s="41" t="s">
        <v>74</v>
      </c>
      <c r="G10" s="239">
        <v>105</v>
      </c>
      <c r="H10" s="238">
        <f>SUMIF(Tbl_Budget[사번],D10,Tbl_Budget[Budget 합계])</f>
        <v>108</v>
      </c>
      <c r="I10" s="42">
        <f t="shared" si="0"/>
        <v>-3</v>
      </c>
    </row>
    <row r="11" spans="2:9" x14ac:dyDescent="0.3">
      <c r="B11" s="43" t="s">
        <v>72</v>
      </c>
      <c r="C11" s="44" t="s">
        <v>77</v>
      </c>
      <c r="D11" s="47">
        <v>340644</v>
      </c>
      <c r="E11" s="46" t="s">
        <v>47</v>
      </c>
      <c r="F11" s="48" t="s">
        <v>74</v>
      </c>
      <c r="G11" s="239">
        <v>105</v>
      </c>
      <c r="H11" s="238">
        <f>SUMIF(Tbl_Budget[사번],D11,Tbl_Budget[Budget 합계])</f>
        <v>108</v>
      </c>
      <c r="I11" s="42">
        <f t="shared" si="0"/>
        <v>-3</v>
      </c>
    </row>
    <row r="12" spans="2:9" x14ac:dyDescent="0.3">
      <c r="B12" s="43" t="s">
        <v>72</v>
      </c>
      <c r="C12" s="44" t="s">
        <v>78</v>
      </c>
      <c r="D12" s="47" t="s">
        <v>78</v>
      </c>
      <c r="E12" s="46" t="s">
        <v>47</v>
      </c>
      <c r="F12" s="48" t="s">
        <v>74</v>
      </c>
      <c r="G12" s="239">
        <v>0</v>
      </c>
      <c r="H12" s="238">
        <f>SUMIF(Tbl_Budget[사번],D12,Tbl_Budget[Budget 합계])</f>
        <v>0</v>
      </c>
      <c r="I12" s="42">
        <f t="shared" si="0"/>
        <v>0</v>
      </c>
    </row>
    <row r="13" spans="2:9" hidden="1" x14ac:dyDescent="0.3">
      <c r="B13" s="43" t="s">
        <v>72</v>
      </c>
      <c r="C13" s="44"/>
      <c r="D13" s="47"/>
      <c r="E13" s="46"/>
      <c r="F13" s="48" t="s">
        <v>74</v>
      </c>
      <c r="G13" s="239"/>
      <c r="H13" s="238">
        <f>SUMIF(Tbl_Budget[사번],D13,Tbl_Budget[Budget 합계])</f>
        <v>0</v>
      </c>
      <c r="I13" s="42">
        <f t="shared" si="0"/>
        <v>0</v>
      </c>
    </row>
    <row r="14" spans="2:9" hidden="1" x14ac:dyDescent="0.3">
      <c r="B14" s="43" t="s">
        <v>72</v>
      </c>
      <c r="C14" s="44"/>
      <c r="D14" s="47"/>
      <c r="E14" s="46"/>
      <c r="F14" s="48" t="s">
        <v>74</v>
      </c>
      <c r="G14" s="239"/>
      <c r="H14" s="238">
        <f>SUMIF(Tbl_Budget[사번],D14,Tbl_Budget[Budget 합계])</f>
        <v>0</v>
      </c>
      <c r="I14" s="42">
        <f t="shared" si="0"/>
        <v>0</v>
      </c>
    </row>
    <row r="15" spans="2:9" hidden="1" x14ac:dyDescent="0.3">
      <c r="B15" s="43" t="s">
        <v>72</v>
      </c>
      <c r="C15" s="44"/>
      <c r="D15" s="47"/>
      <c r="E15" s="46"/>
      <c r="F15" s="48" t="s">
        <v>79</v>
      </c>
      <c r="G15" s="239"/>
      <c r="H15" s="238">
        <f>SUMIF(Tbl_Budget[사번],D15,Tbl_Budget[Budget 합계])</f>
        <v>0</v>
      </c>
      <c r="I15" s="42">
        <f t="shared" si="0"/>
        <v>0</v>
      </c>
    </row>
    <row r="16" spans="2:9" hidden="1" x14ac:dyDescent="0.3">
      <c r="B16" s="43" t="s">
        <v>72</v>
      </c>
      <c r="C16" s="44"/>
      <c r="D16" s="47"/>
      <c r="E16" s="46"/>
      <c r="F16" s="48" t="s">
        <v>79</v>
      </c>
      <c r="G16" s="239"/>
      <c r="H16" s="238">
        <f>SUMIF(Tbl_Budget[사번],D16,Tbl_Budget[Budget 합계])</f>
        <v>0</v>
      </c>
      <c r="I16" s="42">
        <f t="shared" si="0"/>
        <v>0</v>
      </c>
    </row>
    <row r="17" spans="2:9" hidden="1" x14ac:dyDescent="0.3">
      <c r="B17" s="43" t="s">
        <v>72</v>
      </c>
      <c r="C17" s="44"/>
      <c r="D17" s="47"/>
      <c r="E17" s="46"/>
      <c r="F17" s="48" t="s">
        <v>79</v>
      </c>
      <c r="G17" s="239"/>
      <c r="H17" s="238">
        <f>SUMIF(Tbl_Budget[사번],D17,Tbl_Budget[Budget 합계])</f>
        <v>0</v>
      </c>
      <c r="I17" s="42">
        <f t="shared" si="0"/>
        <v>0</v>
      </c>
    </row>
    <row r="18" spans="2:9" x14ac:dyDescent="0.3">
      <c r="B18" s="43" t="s">
        <v>72</v>
      </c>
      <c r="C18" s="44" t="s">
        <v>80</v>
      </c>
      <c r="D18" s="47" t="s">
        <v>80</v>
      </c>
      <c r="E18" s="46" t="s">
        <v>81</v>
      </c>
      <c r="F18" s="48" t="s">
        <v>82</v>
      </c>
      <c r="G18" s="239"/>
      <c r="H18" s="238">
        <f>SUMIF(Tbl_Budget[사번],D18,Tbl_Budget[Budget 합계])</f>
        <v>0</v>
      </c>
      <c r="I18" s="42">
        <f t="shared" si="0"/>
        <v>0</v>
      </c>
    </row>
    <row r="19" spans="2:9" hidden="1" x14ac:dyDescent="0.3">
      <c r="B19" s="43" t="s">
        <v>72</v>
      </c>
      <c r="C19" s="44"/>
      <c r="D19" s="47"/>
      <c r="E19" s="46"/>
      <c r="F19" s="48" t="s">
        <v>82</v>
      </c>
      <c r="G19" s="239"/>
      <c r="H19" s="238">
        <f>SUMIF(Tbl_Budget[사번],D19,Tbl_Budget[Budget 합계])</f>
        <v>0</v>
      </c>
      <c r="I19" s="42">
        <f t="shared" si="0"/>
        <v>0</v>
      </c>
    </row>
    <row r="20" spans="2:9" hidden="1" x14ac:dyDescent="0.3">
      <c r="B20" s="43" t="s">
        <v>72</v>
      </c>
      <c r="C20" s="44"/>
      <c r="D20" s="47"/>
      <c r="E20" s="46"/>
      <c r="F20" s="48" t="s">
        <v>82</v>
      </c>
      <c r="G20" s="239"/>
      <c r="H20" s="238">
        <f>SUMIF(Tbl_Budget[사번],D20,Tbl_Budget[Budget 합계])</f>
        <v>0</v>
      </c>
      <c r="I20" s="42">
        <f t="shared" si="0"/>
        <v>0</v>
      </c>
    </row>
    <row r="21" spans="2:9" hidden="1" x14ac:dyDescent="0.3">
      <c r="B21" s="43" t="s">
        <v>72</v>
      </c>
      <c r="C21" s="44"/>
      <c r="D21" s="47"/>
      <c r="E21" s="46"/>
      <c r="F21" s="48" t="s">
        <v>82</v>
      </c>
      <c r="G21" s="239"/>
      <c r="H21" s="238">
        <f>SUMIF(Tbl_Budget[사번],D21,Tbl_Budget[Budget 합계])</f>
        <v>0</v>
      </c>
      <c r="I21" s="42">
        <f t="shared" si="0"/>
        <v>0</v>
      </c>
    </row>
    <row r="22" spans="2:9" hidden="1" x14ac:dyDescent="0.3">
      <c r="B22" s="43" t="s">
        <v>72</v>
      </c>
      <c r="C22" s="44"/>
      <c r="D22" s="47"/>
      <c r="E22" s="46"/>
      <c r="F22" s="48" t="s">
        <v>82</v>
      </c>
      <c r="G22" s="239"/>
      <c r="H22" s="238">
        <f>SUMIF(Tbl_Budget[사번],D22,Tbl_Budget[Budget 합계])</f>
        <v>0</v>
      </c>
      <c r="I22" s="42">
        <f t="shared" si="0"/>
        <v>0</v>
      </c>
    </row>
    <row r="23" spans="2:9" hidden="1" x14ac:dyDescent="0.3">
      <c r="B23" s="43" t="s">
        <v>72</v>
      </c>
      <c r="C23" s="44"/>
      <c r="D23" s="47"/>
      <c r="E23" s="46"/>
      <c r="F23" s="48" t="s">
        <v>82</v>
      </c>
      <c r="G23" s="239"/>
      <c r="H23" s="238">
        <f>SUMIF(Tbl_Budget[사번],D23,Tbl_Budget[Budget 합계])</f>
        <v>0</v>
      </c>
      <c r="I23" s="42">
        <f t="shared" si="0"/>
        <v>0</v>
      </c>
    </row>
    <row r="24" spans="2:9" hidden="1" x14ac:dyDescent="0.3">
      <c r="B24" s="43" t="s">
        <v>72</v>
      </c>
      <c r="C24" s="44"/>
      <c r="D24" s="47"/>
      <c r="E24" s="46"/>
      <c r="F24" s="48" t="s">
        <v>82</v>
      </c>
      <c r="G24" s="239"/>
      <c r="H24" s="238">
        <f>SUMIF(Tbl_Budget[사번],D24,Tbl_Budget[Budget 합계])</f>
        <v>0</v>
      </c>
      <c r="I24" s="42">
        <f t="shared" si="0"/>
        <v>0</v>
      </c>
    </row>
    <row r="25" spans="2:9" hidden="1" x14ac:dyDescent="0.3">
      <c r="B25" s="43" t="s">
        <v>72</v>
      </c>
      <c r="C25" s="44"/>
      <c r="D25" s="47"/>
      <c r="E25" s="46"/>
      <c r="F25" s="48" t="s">
        <v>82</v>
      </c>
      <c r="G25" s="239"/>
      <c r="H25" s="238">
        <f>SUMIF(Tbl_Budget[사번],D25,Tbl_Budget[Budget 합계])</f>
        <v>0</v>
      </c>
      <c r="I25" s="42">
        <f t="shared" si="0"/>
        <v>0</v>
      </c>
    </row>
    <row r="26" spans="2:9" hidden="1" x14ac:dyDescent="0.3">
      <c r="B26" s="43" t="s">
        <v>72</v>
      </c>
      <c r="C26" s="44"/>
      <c r="D26" s="47"/>
      <c r="E26" s="46"/>
      <c r="F26" s="48" t="s">
        <v>82</v>
      </c>
      <c r="G26" s="239"/>
      <c r="H26" s="238">
        <f>SUMIF(Tbl_Budget[사번],D26,Tbl_Budget[Budget 합계])</f>
        <v>0</v>
      </c>
      <c r="I26" s="42">
        <f t="shared" si="0"/>
        <v>0</v>
      </c>
    </row>
    <row r="27" spans="2:9" ht="17.25" hidden="1" thickBot="1" x14ac:dyDescent="0.35">
      <c r="B27" s="49" t="s">
        <v>72</v>
      </c>
      <c r="C27" s="50"/>
      <c r="D27" s="51"/>
      <c r="E27" s="52"/>
      <c r="F27" s="48" t="s">
        <v>82</v>
      </c>
      <c r="G27" s="239"/>
      <c r="H27" s="238">
        <f>SUMIF(Tbl_Budget[사번],D27,Tbl_Budget[Budget 합계])</f>
        <v>0</v>
      </c>
      <c r="I27" s="42">
        <f t="shared" si="0"/>
        <v>0</v>
      </c>
    </row>
    <row r="28" spans="2:9" x14ac:dyDescent="0.3">
      <c r="B28" s="53" t="s">
        <v>83</v>
      </c>
      <c r="C28" s="54" t="s">
        <v>84</v>
      </c>
      <c r="D28" s="55" t="s">
        <v>84</v>
      </c>
      <c r="E28" s="55" t="s">
        <v>84</v>
      </c>
      <c r="F28" s="56" t="s">
        <v>85</v>
      </c>
      <c r="G28" s="239"/>
      <c r="H28" s="238">
        <f>SUMIF(Tbl_Budget[사번],D28,Tbl_Budget[Budget 합계])</f>
        <v>0</v>
      </c>
      <c r="I28" s="42">
        <f t="shared" si="0"/>
        <v>0</v>
      </c>
    </row>
    <row r="29" spans="2:9" x14ac:dyDescent="0.3">
      <c r="B29" s="53" t="s">
        <v>83</v>
      </c>
      <c r="C29" s="54" t="s">
        <v>86</v>
      </c>
      <c r="D29" s="55" t="s">
        <v>86</v>
      </c>
      <c r="E29" s="55" t="s">
        <v>60</v>
      </c>
      <c r="F29" s="56" t="s">
        <v>85</v>
      </c>
      <c r="G29" s="239"/>
      <c r="H29" s="238">
        <f>SUMIF(Tbl_Budget[사번],D29,Tbl_Budget[Budget 합계])</f>
        <v>0</v>
      </c>
      <c r="I29" s="42">
        <f t="shared" si="0"/>
        <v>0</v>
      </c>
    </row>
    <row r="30" spans="2:9" x14ac:dyDescent="0.3">
      <c r="B30" s="53" t="s">
        <v>83</v>
      </c>
      <c r="C30" s="54" t="s">
        <v>87</v>
      </c>
      <c r="D30" s="55" t="s">
        <v>87</v>
      </c>
      <c r="E30" s="55" t="s">
        <v>88</v>
      </c>
      <c r="F30" s="56" t="s">
        <v>85</v>
      </c>
      <c r="G30" s="239">
        <v>4</v>
      </c>
      <c r="H30" s="238">
        <f>SUMIF(Tbl_Budget[사번],D30,Tbl_Budget[Budget 합계])</f>
        <v>4</v>
      </c>
      <c r="I30" s="42">
        <f t="shared" si="0"/>
        <v>0</v>
      </c>
    </row>
    <row r="31" spans="2:9" x14ac:dyDescent="0.3">
      <c r="B31" s="57" t="s">
        <v>89</v>
      </c>
      <c r="G31" s="241">
        <f>'B_ET 기본정보'!C31+'B_ET 기본정보'!C32</f>
        <v>75</v>
      </c>
    </row>
    <row r="32" spans="2:9" x14ac:dyDescent="0.3">
      <c r="B32" s="57" t="s">
        <v>90</v>
      </c>
      <c r="G32" s="242">
        <f>G31+G6</f>
        <v>410</v>
      </c>
    </row>
    <row r="33" spans="2:6" x14ac:dyDescent="0.3">
      <c r="B33" s="32" t="s">
        <v>2</v>
      </c>
      <c r="C33" s="32" t="s">
        <v>66</v>
      </c>
      <c r="D33" s="32" t="s">
        <v>67</v>
      </c>
      <c r="E33" s="33" t="s">
        <v>38</v>
      </c>
      <c r="F33" s="7" t="s">
        <v>68</v>
      </c>
    </row>
    <row r="34" spans="2:6" x14ac:dyDescent="0.3">
      <c r="B34" s="58" t="s">
        <v>83</v>
      </c>
      <c r="C34" s="58" t="s">
        <v>53</v>
      </c>
      <c r="D34" s="59" t="s">
        <v>53</v>
      </c>
      <c r="E34" s="59" t="s">
        <v>53</v>
      </c>
      <c r="F34" s="60" t="s">
        <v>85</v>
      </c>
    </row>
    <row r="35" spans="2:6" x14ac:dyDescent="0.3">
      <c r="B35" s="58" t="s">
        <v>83</v>
      </c>
      <c r="C35" s="58" t="s">
        <v>91</v>
      </c>
      <c r="D35" s="58" t="s">
        <v>91</v>
      </c>
      <c r="E35" s="59" t="s">
        <v>55</v>
      </c>
      <c r="F35" s="60" t="s">
        <v>85</v>
      </c>
    </row>
    <row r="36" spans="2:6" x14ac:dyDescent="0.3">
      <c r="B36" s="58" t="s">
        <v>83</v>
      </c>
      <c r="C36" s="58" t="s">
        <v>92</v>
      </c>
      <c r="D36" s="59" t="s">
        <v>92</v>
      </c>
      <c r="E36" s="59" t="s">
        <v>47</v>
      </c>
      <c r="F36" s="60" t="s">
        <v>85</v>
      </c>
    </row>
    <row r="37" spans="2:6" x14ac:dyDescent="0.3">
      <c r="B37" s="58" t="s">
        <v>83</v>
      </c>
      <c r="C37" s="58" t="s">
        <v>93</v>
      </c>
      <c r="D37" s="59" t="s">
        <v>93</v>
      </c>
      <c r="E37" s="59" t="s">
        <v>47</v>
      </c>
      <c r="F37" s="60" t="s">
        <v>85</v>
      </c>
    </row>
    <row r="38" spans="2:6" x14ac:dyDescent="0.3">
      <c r="B38" s="58" t="s">
        <v>83</v>
      </c>
      <c r="C38" s="58" t="s">
        <v>94</v>
      </c>
      <c r="D38" s="58" t="s">
        <v>94</v>
      </c>
      <c r="E38" s="59" t="s">
        <v>60</v>
      </c>
      <c r="F38" s="60" t="s">
        <v>85</v>
      </c>
    </row>
  </sheetData>
  <sheetProtection insertRows="0"/>
  <phoneticPr fontId="4" type="noConversion"/>
  <dataValidations count="1">
    <dataValidation allowBlank="1" showInputMessage="1" showErrorMessage="1" error="6자리 숫자만 입력 가능합니다._x000a_미정인 경우 '000000 으로 반영하세요." sqref="D33:D34 D36:D37 E33:E38 D8:E30" xr:uid="{91A1B76C-FE8F-4AB8-BE5D-015CDA5A28C9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82DC-F641-4283-B850-A7038E042DBE}">
  <sheetPr codeName="Sheet5">
    <tabColor rgb="FFFFC000"/>
  </sheetPr>
  <dimension ref="B2:Y115"/>
  <sheetViews>
    <sheetView showGridLines="0" tabSelected="1" zoomScale="85" zoomScaleNormal="85" workbookViewId="0">
      <pane xSplit="9" topLeftCell="J1" activePane="topRight" state="frozen"/>
      <selection activeCell="A23" sqref="A23"/>
      <selection pane="topRight" activeCell="I10" sqref="I10"/>
    </sheetView>
  </sheetViews>
  <sheetFormatPr defaultColWidth="8.625" defaultRowHeight="13.5" outlineLevelRow="1" outlineLevelCol="1" x14ac:dyDescent="0.25"/>
  <cols>
    <col min="1" max="1" width="3.625" style="62" customWidth="1"/>
    <col min="2" max="2" width="28.75" style="63" customWidth="1"/>
    <col min="3" max="3" width="37.375" style="62" customWidth="1"/>
    <col min="4" max="4" width="4" style="62" customWidth="1"/>
    <col min="5" max="5" width="15.75" style="63" customWidth="1" outlineLevel="1"/>
    <col min="6" max="6" width="18.375" style="64" customWidth="1" outlineLevel="1"/>
    <col min="7" max="7" width="17.875" style="64" customWidth="1" outlineLevel="1"/>
    <col min="8" max="8" width="12.375" style="64" customWidth="1"/>
    <col min="9" max="9" width="9.625" style="62" customWidth="1"/>
    <col min="10" max="10" width="10.25" style="62" customWidth="1"/>
    <col min="11" max="11" width="10.625" style="62" customWidth="1"/>
    <col min="12" max="15" width="10.25" style="62" customWidth="1"/>
    <col min="16" max="16" width="11.75" style="62" customWidth="1"/>
    <col min="17" max="19" width="11.125" style="62" customWidth="1"/>
    <col min="20" max="20" width="10.25" style="62" customWidth="1"/>
    <col min="21" max="22" width="11.75" style="62" customWidth="1"/>
    <col min="23" max="23" width="8.625" style="62" customWidth="1"/>
    <col min="24" max="24" width="12.875" style="62" customWidth="1"/>
    <col min="25" max="16384" width="8.625" style="62"/>
  </cols>
  <sheetData>
    <row r="2" spans="2:22" ht="14.25" thickBot="1" x14ac:dyDescent="0.3">
      <c r="B2" s="61" t="s">
        <v>95</v>
      </c>
    </row>
    <row r="3" spans="2:22" s="5" customFormat="1" ht="20.45" customHeight="1" outlineLevel="1" thickBot="1" x14ac:dyDescent="0.3">
      <c r="B3" s="65" t="s">
        <v>96</v>
      </c>
      <c r="C3" s="66">
        <f>'B_ET 기본정보'!C15</f>
        <v>500</v>
      </c>
      <c r="D3" s="63"/>
      <c r="E3" s="67" t="s">
        <v>97</v>
      </c>
      <c r="F3" s="68"/>
      <c r="G3" s="64"/>
      <c r="H3" s="64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</row>
    <row r="4" spans="2:22" s="5" customFormat="1" ht="20.45" customHeight="1" outlineLevel="1" thickTop="1" thickBot="1" x14ac:dyDescent="0.3">
      <c r="B4" s="65" t="s">
        <v>98</v>
      </c>
      <c r="C4" s="69">
        <v>77</v>
      </c>
      <c r="D4" s="63"/>
      <c r="E4" s="67" t="s">
        <v>99</v>
      </c>
      <c r="F4" s="68"/>
      <c r="G4" s="64"/>
      <c r="H4" s="240">
        <f>C4/C3</f>
        <v>0.154</v>
      </c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</row>
    <row r="5" spans="2:22" s="5" customFormat="1" ht="20.45" customHeight="1" outlineLevel="1" thickTop="1" thickBot="1" x14ac:dyDescent="0.3">
      <c r="B5" s="65" t="s">
        <v>100</v>
      </c>
      <c r="C5" s="70">
        <f>'B_ET 기본정보'!C29+'B_ET 기본정보'!C30</f>
        <v>0</v>
      </c>
      <c r="D5" s="63"/>
      <c r="E5" s="67" t="s">
        <v>101</v>
      </c>
      <c r="F5" s="64"/>
      <c r="G5" s="64"/>
      <c r="H5" s="64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</row>
    <row r="6" spans="2:22" s="5" customFormat="1" ht="20.45" customHeight="1" outlineLevel="1" thickBot="1" x14ac:dyDescent="0.3">
      <c r="B6" s="65" t="s">
        <v>102</v>
      </c>
      <c r="C6" s="71">
        <f>'B_ET 기본정보'!C31</f>
        <v>20</v>
      </c>
      <c r="D6" s="63"/>
      <c r="E6" s="67" t="s">
        <v>101</v>
      </c>
      <c r="F6" s="64"/>
      <c r="G6" s="64"/>
      <c r="H6" s="64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</row>
    <row r="7" spans="2:22" s="5" customFormat="1" ht="20.45" customHeight="1" outlineLevel="1" thickBot="1" x14ac:dyDescent="0.3">
      <c r="B7" s="65" t="s">
        <v>103</v>
      </c>
      <c r="C7" s="71">
        <f>'B_ET 기본정보'!C32</f>
        <v>55</v>
      </c>
      <c r="D7" s="63"/>
      <c r="E7" s="67" t="s">
        <v>101</v>
      </c>
      <c r="F7" s="64"/>
      <c r="G7" s="64"/>
      <c r="H7" s="64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</row>
    <row r="8" spans="2:22" s="5" customFormat="1" ht="20.45" customHeight="1" outlineLevel="1" thickBot="1" x14ac:dyDescent="0.3">
      <c r="B8" s="65" t="s">
        <v>104</v>
      </c>
      <c r="C8" s="71">
        <f>'B_ET 기본정보'!C33</f>
        <v>0</v>
      </c>
      <c r="D8" s="63"/>
      <c r="E8" s="67" t="s">
        <v>101</v>
      </c>
      <c r="F8" s="64"/>
      <c r="G8" s="64"/>
      <c r="H8" s="64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</row>
    <row r="9" spans="2:22" s="5" customFormat="1" ht="20.45" customHeight="1" thickBot="1" x14ac:dyDescent="0.3">
      <c r="B9" s="65" t="s">
        <v>105</v>
      </c>
      <c r="C9" s="72">
        <f>C3-SUM(C4:C8)</f>
        <v>348</v>
      </c>
      <c r="D9" s="63"/>
      <c r="E9" s="67" t="s">
        <v>106</v>
      </c>
      <c r="F9" s="64"/>
      <c r="G9" s="73"/>
      <c r="H9" s="64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</row>
    <row r="10" spans="2:22" s="5" customFormat="1" ht="20.45" customHeight="1" outlineLevel="1" thickBot="1" x14ac:dyDescent="0.3">
      <c r="B10" s="65" t="s">
        <v>107</v>
      </c>
      <c r="C10" s="72">
        <f>SUMIFS(Tbl_Budget[Budget 합계],Tbl_Budget[사번],"Fulcrum",Tbl_Budget[해당],"True")</f>
        <v>0</v>
      </c>
      <c r="D10" s="63"/>
      <c r="E10" s="67" t="s">
        <v>108</v>
      </c>
      <c r="F10" s="74"/>
      <c r="G10" s="64"/>
      <c r="H10" s="64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</row>
    <row r="11" spans="2:22" s="5" customFormat="1" ht="20.45" customHeight="1" outlineLevel="1" thickBot="1" x14ac:dyDescent="0.3">
      <c r="B11" s="65" t="s">
        <v>109</v>
      </c>
      <c r="C11" s="72">
        <f>SUMIFS(Tbl_Budget[Budget 합계],Tbl_Budget[사번],"RA",Tbl_Budget[해당],"True")</f>
        <v>0</v>
      </c>
      <c r="D11" s="63"/>
      <c r="E11" s="67" t="s">
        <v>108</v>
      </c>
      <c r="F11" s="64"/>
      <c r="G11" s="64"/>
      <c r="H11" s="64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</row>
    <row r="12" spans="2:22" s="5" customFormat="1" ht="20.45" customHeight="1" outlineLevel="1" thickBot="1" x14ac:dyDescent="0.3">
      <c r="B12" s="65" t="s">
        <v>110</v>
      </c>
      <c r="C12" s="72">
        <f>SUMIFS(Tbl_Budget[Budget 합계],Tbl_Budget[사번],"Specialist",Tbl_Budget[해당],"True")</f>
        <v>4</v>
      </c>
      <c r="D12" s="63"/>
      <c r="E12" s="67" t="s">
        <v>108</v>
      </c>
      <c r="F12" s="64"/>
      <c r="G12" s="64"/>
      <c r="H12" s="64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</row>
    <row r="13" spans="2:22" s="5" customFormat="1" ht="20.45" customHeight="1" thickBot="1" x14ac:dyDescent="0.3">
      <c r="B13" s="65" t="s">
        <v>111</v>
      </c>
      <c r="C13" s="72">
        <f>SUM(C9,-C10,-C11,-C12)</f>
        <v>344</v>
      </c>
      <c r="D13" s="63"/>
      <c r="E13" s="67" t="s">
        <v>112</v>
      </c>
      <c r="F13" s="64"/>
      <c r="G13" s="64"/>
      <c r="H13" s="64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</row>
    <row r="14" spans="2:22" s="5" customFormat="1" ht="20.45" customHeight="1" outlineLevel="1" thickTop="1" thickBot="1" x14ac:dyDescent="0.3">
      <c r="B14" s="65" t="s">
        <v>113</v>
      </c>
      <c r="C14" s="69">
        <v>0</v>
      </c>
      <c r="D14" s="63"/>
      <c r="E14" s="67" t="s">
        <v>114</v>
      </c>
      <c r="F14" s="64"/>
      <c r="G14" s="64"/>
      <c r="H14" s="64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</row>
    <row r="15" spans="2:22" s="5" customFormat="1" ht="20.45" customHeight="1" thickTop="1" thickBot="1" x14ac:dyDescent="0.3">
      <c r="B15" s="61" t="s">
        <v>115</v>
      </c>
      <c r="C15" s="71">
        <f>(C9-C14)-J20</f>
        <v>0</v>
      </c>
      <c r="D15" s="63"/>
      <c r="E15" s="75" t="s">
        <v>116</v>
      </c>
      <c r="F15" s="73"/>
      <c r="G15" s="64"/>
      <c r="H15" s="64"/>
      <c r="I15" s="62"/>
      <c r="J15" s="62"/>
      <c r="K15" s="76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</row>
    <row r="16" spans="2:22" s="5" customFormat="1" ht="20.45" customHeight="1" thickBot="1" x14ac:dyDescent="0.3">
      <c r="B16" s="61" t="s">
        <v>117</v>
      </c>
      <c r="C16" s="71">
        <f>C13-C14-J19</f>
        <v>0</v>
      </c>
      <c r="D16" s="63"/>
      <c r="E16" s="75" t="s">
        <v>118</v>
      </c>
      <c r="F16" s="64"/>
      <c r="G16" s="64"/>
      <c r="H16" s="64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</row>
    <row r="17" spans="2:25" s="5" customFormat="1" ht="20.45" customHeight="1" thickBot="1" x14ac:dyDescent="0.3">
      <c r="B17" s="61" t="s">
        <v>119</v>
      </c>
      <c r="C17" s="71">
        <f>SUM(Tbl_Budget[합계검증])</f>
        <v>0</v>
      </c>
      <c r="D17" s="62"/>
      <c r="E17" s="75" t="s">
        <v>120</v>
      </c>
      <c r="F17" s="64"/>
      <c r="G17" s="64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77"/>
    </row>
    <row r="18" spans="2:25" ht="20.45" customHeight="1" thickBot="1" x14ac:dyDescent="0.3">
      <c r="B18" s="61" t="s">
        <v>121</v>
      </c>
      <c r="C18" s="78" t="str">
        <f>IF(OR(('B_ET 기본정보'!C7="⑥ 비상장"),('B_ET 기본정보'!C7="⑤ 상장예정")),"분기별","월별")</f>
        <v>분기별</v>
      </c>
      <c r="E18" s="64"/>
    </row>
    <row r="19" spans="2:25" s="5" customFormat="1" ht="20.45" customHeight="1" thickBot="1" x14ac:dyDescent="0.3">
      <c r="B19" s="61" t="s">
        <v>122</v>
      </c>
      <c r="C19" s="78" t="str">
        <f>IF(AND(C9&gt;0,C15=0,C16=0,C17=0),"작성완료",IF(C9&lt;=0,"작업전","진행중"))</f>
        <v>작성완료</v>
      </c>
      <c r="D19" s="62"/>
      <c r="E19" s="74"/>
      <c r="F19" s="79"/>
      <c r="I19" s="62" t="s">
        <v>123</v>
      </c>
      <c r="J19" s="80">
        <f>SUMIF(Tbl_Budget[해당], TRUE, Tbl_Budget[Budget 합계])
 -
(SUMIFS(Tbl_Budget[Budget 합계], Tbl_Budget[해당], TRUE, Tbl_Budget[Assignment], "RA")
 + SUMIFS(Tbl_Budget[Budget 합계], Tbl_Budget[해당], TRUE, Tbl_Budget[Assignment], "Specialist")
 + SUMIFS(Tbl_Budget[Budget 합계], Tbl_Budget[해당], TRUE, Tbl_Budget[Assignment], "Fulcrum"))</f>
        <v>344</v>
      </c>
      <c r="K19" s="80">
        <f>SUMIF(Tbl_Budget[해당], TRUE, Tbl_Budget[1])
 -
(SUMIFS(Tbl_Budget[1], Tbl_Budget[해당], TRUE, Tbl_Budget[Assignment], "RA")
 + SUMIFS(Tbl_Budget[1], Tbl_Budget[해당], TRUE, Tbl_Budget[Assignment], "Specialist")
 + SUMIFS(Tbl_Budget[1], Tbl_Budget[해당], TRUE, Tbl_Budget[Assignment], "Fulcrum"))</f>
        <v>0</v>
      </c>
      <c r="L19" s="80">
        <f>SUMIF(Tbl_Budget[해당], TRUE, Tbl_Budget[2])
 -
(SUMIFS(Tbl_Budget[2], Tbl_Budget[해당], TRUE, Tbl_Budget[Assignment], "RA")
 + SUMIFS(Tbl_Budget[2], Tbl_Budget[해당], TRUE, Tbl_Budget[Assignment], "Specialist")
 + SUMIFS(Tbl_Budget[2], Tbl_Budget[해당], TRUE, Tbl_Budget[Assignment], "Fulcrum"))</f>
        <v>0</v>
      </c>
      <c r="M19" s="80">
        <f>SUMIF(Tbl_Budget[해당], TRUE, Tbl_Budget[3])
 -
(SUMIFS(Tbl_Budget[3], Tbl_Budget[해당], TRUE, Tbl_Budget[Assignment], "RA")
 + SUMIFS(Tbl_Budget[3], Tbl_Budget[해당], TRUE, Tbl_Budget[Assignment], "Specialist")
 + SUMIFS(Tbl_Budget[3], Tbl_Budget[해당], TRUE, Tbl_Budget[Assignment], "Fulcrum"))</f>
        <v>53</v>
      </c>
      <c r="N19" s="80">
        <f>SUMIF(Tbl_Budget[해당], TRUE, Tbl_Budget[4])
 -
(SUMIFS(Tbl_Budget[4], Tbl_Budget[해당], TRUE, Tbl_Budget[Assignment], "RA")
 + SUMIFS(Tbl_Budget[4], Tbl_Budget[해당], TRUE, Tbl_Budget[Assignment], "Specialist")
 + SUMIFS(Tbl_Budget[4], Tbl_Budget[해당], TRUE, Tbl_Budget[Assignment], "Fulcrum"))</f>
        <v>0</v>
      </c>
      <c r="O19" s="80">
        <f>SUMIF(Tbl_Budget[해당], TRUE, Tbl_Budget[5])
 -
(SUMIFS(Tbl_Budget[5], Tbl_Budget[해당], TRUE, Tbl_Budget[Assignment], "RA")
 + SUMIFS(Tbl_Budget[5], Tbl_Budget[해당], TRUE, Tbl_Budget[Assignment], "Specialist")
 + SUMIFS(Tbl_Budget[5], Tbl_Budget[해당], TRUE, Tbl_Budget[Assignment], "Fulcrum"))</f>
        <v>0</v>
      </c>
      <c r="P19" s="80">
        <f>SUMIF(Tbl_Budget[해당], TRUE, Tbl_Budget[6])
 -
(SUMIFS(Tbl_Budget[6], Tbl_Budget[해당], TRUE, Tbl_Budget[Assignment], "RA")
 + SUMIFS(Tbl_Budget[6], Tbl_Budget[해당], TRUE, Tbl_Budget[Assignment], "Specialist")
 + SUMIFS(Tbl_Budget[6], Tbl_Budget[해당], TRUE, Tbl_Budget[Assignment], "Fulcrum"))</f>
        <v>34</v>
      </c>
      <c r="Q19" s="80">
        <f>SUMIF(Tbl_Budget[해당], TRUE, Tbl_Budget[7])
 -
(SUMIFS(Tbl_Budget[7], Tbl_Budget[해당], TRUE, Tbl_Budget[Assignment], "RA")
 + SUMIFS(Tbl_Budget[7], Tbl_Budget[해당], TRUE, Tbl_Budget[Assignment], "Specialist")
 + SUMIFS(Tbl_Budget[7], Tbl_Budget[해당], TRUE, Tbl_Budget[Assignment], "Fulcrum"))</f>
        <v>0</v>
      </c>
      <c r="R19" s="80">
        <f>SUMIF(Tbl_Budget[해당], TRUE, Tbl_Budget[8])
 -
(SUMIFS(Tbl_Budget[8], Tbl_Budget[해당], TRUE, Tbl_Budget[Assignment], "RA")
 + SUMIFS(Tbl_Budget[8], Tbl_Budget[해당], TRUE, Tbl_Budget[Assignment], "Specialist")
 + SUMIFS(Tbl_Budget[8], Tbl_Budget[해당], TRUE, Tbl_Budget[Assignment], "Fulcrum"))</f>
        <v>0</v>
      </c>
      <c r="S19" s="80">
        <f>SUMIF(Tbl_Budget[해당], TRUE, Tbl_Budget[9])
 -
(SUMIFS(Tbl_Budget[9], Tbl_Budget[해당], TRUE, Tbl_Budget[Assignment], "RA")
 + SUMIFS(Tbl_Budget[9], Tbl_Budget[해당], TRUE, Tbl_Budget[Assignment], "Specialist")
 + SUMIFS(Tbl_Budget[9], Tbl_Budget[해당], TRUE, Tbl_Budget[Assignment], "Fulcrum"))</f>
        <v>96</v>
      </c>
      <c r="T19" s="80">
        <f>SUMIF(Tbl_Budget[해당], TRUE, Tbl_Budget[10])
 -
(SUMIFS(Tbl_Budget[10], Tbl_Budget[해당], TRUE, Tbl_Budget[Assignment], "RA")
 + SUMIFS(Tbl_Budget[10], Tbl_Budget[해당], TRUE, Tbl_Budget[Assignment], "Specialist")
 + SUMIFS(Tbl_Budget[10], Tbl_Budget[해당], TRUE, Tbl_Budget[Assignment], "Fulcrum"))</f>
        <v>141</v>
      </c>
      <c r="U19" s="80">
        <f>SUMIF(Tbl_Budget[해당], TRUE, Tbl_Budget[11])
 -
(SUMIFS(Tbl_Budget[11], Tbl_Budget[해당], TRUE, Tbl_Budget[Assignment], "RA")
 + SUMIFS(Tbl_Budget[11], Tbl_Budget[해당], TRUE, Tbl_Budget[Assignment], "Specialist")
 + SUMIFS(Tbl_Budget[11], Tbl_Budget[해당], TRUE, Tbl_Budget[Assignment], "Fulcrum"))</f>
        <v>20</v>
      </c>
      <c r="V19" s="80">
        <f>SUMIF(Tbl_Budget[해당], TRUE, Tbl_Budget[12])
 -
(SUMIFS(Tbl_Budget[12], Tbl_Budget[해당], TRUE, Tbl_Budget[Assignment], "RA")
 + SUMIFS(Tbl_Budget[12], Tbl_Budget[해당], TRUE, Tbl_Budget[Assignment], "Specialist")
 + SUMIFS(Tbl_Budget[12], Tbl_Budget[해당], TRUE, Tbl_Budget[Assignment], "Fulcrum"))</f>
        <v>0</v>
      </c>
      <c r="X19" s="81">
        <f>SUM(T19:V19)/C13</f>
        <v>0.46802325581395349</v>
      </c>
      <c r="Y19" s="61" t="s">
        <v>124</v>
      </c>
    </row>
    <row r="20" spans="2:25" s="5" customFormat="1" ht="17.25" thickBot="1" x14ac:dyDescent="0.35">
      <c r="B20" s="6"/>
      <c r="D20" s="82"/>
      <c r="E20" s="83">
        <f>SUM(Tbl_Budget[25/06 Debriefing실적])</f>
        <v>0</v>
      </c>
      <c r="F20" s="29" t="str" cm="1">
        <f t="array" ref="F20">_xlfn.XLOOKUP('B_ET 기본정보'!C5&amp;'B_ET 기본정보'!C6&amp;'B_ET 기본정보'!C7&amp;'B_ET 기본정보'!C10&amp;'B_ET 기본정보'!C12,DB_tMap!B:B&amp;DB_tMap!C:C&amp;DB_tMap!D:D&amp;DB_tMap!E:E&amp;DB_tMap!F:F,DB_tMap!G:G,"B시트 정보를 채워주세요")</f>
        <v>C2</v>
      </c>
      <c r="G20" s="84" t="s">
        <v>125</v>
      </c>
      <c r="H20" s="85"/>
      <c r="I20" s="62" t="s">
        <v>126</v>
      </c>
      <c r="J20" s="86">
        <f>SUMIF(Tbl_Budget[해당],TRUE,Tbl_Budget[Budget 합계])</f>
        <v>348</v>
      </c>
      <c r="K20" s="86">
        <f>SUMIF(Tbl_Budget[해당],TRUE,Tbl_Budget[1])</f>
        <v>0</v>
      </c>
      <c r="L20" s="86">
        <f>SUMIF(Tbl_Budget[해당],TRUE,Tbl_Budget[2])</f>
        <v>0</v>
      </c>
      <c r="M20" s="86">
        <f>SUMIF(Tbl_Budget[해당],TRUE,Tbl_Budget[3])</f>
        <v>53</v>
      </c>
      <c r="N20" s="86">
        <f>SUMIF(Tbl_Budget[해당],TRUE,Tbl_Budget[4])</f>
        <v>0</v>
      </c>
      <c r="O20" s="86">
        <f>SUMIF(Tbl_Budget[해당],TRUE,Tbl_Budget[5])</f>
        <v>0</v>
      </c>
      <c r="P20" s="86">
        <f>SUMIF(Tbl_Budget[해당],TRUE,Tbl_Budget[6])</f>
        <v>34</v>
      </c>
      <c r="Q20" s="86">
        <f>SUMIF(Tbl_Budget[해당],TRUE,Tbl_Budget[7])</f>
        <v>0</v>
      </c>
      <c r="R20" s="86">
        <f>SUMIF(Tbl_Budget[해당],TRUE,Tbl_Budget[8])</f>
        <v>0</v>
      </c>
      <c r="S20" s="86">
        <f>SUMIF(Tbl_Budget[해당],TRUE,Tbl_Budget[9])</f>
        <v>96</v>
      </c>
      <c r="T20" s="86">
        <f>SUMIF(Tbl_Budget[해당],TRUE,Tbl_Budget[10])</f>
        <v>145</v>
      </c>
      <c r="U20" s="86">
        <f>SUMIF(Tbl_Budget[해당],TRUE,Tbl_Budget[11])</f>
        <v>20</v>
      </c>
      <c r="V20" s="86">
        <f>SUMIF(Tbl_Budget[해당],TRUE,Tbl_Budget[12])</f>
        <v>0</v>
      </c>
      <c r="X20" s="81">
        <f>SUM(T20:V20)/C9</f>
        <v>0.47413793103448276</v>
      </c>
      <c r="Y20" s="61" t="s">
        <v>127</v>
      </c>
    </row>
    <row r="21" spans="2:25" ht="27" x14ac:dyDescent="0.25">
      <c r="B21" s="87" t="s">
        <v>128</v>
      </c>
      <c r="C21" s="88" t="s">
        <v>129</v>
      </c>
      <c r="D21" s="88" t="s">
        <v>130</v>
      </c>
      <c r="E21" s="89" t="s">
        <v>131</v>
      </c>
      <c r="F21" s="90" t="s">
        <v>132</v>
      </c>
      <c r="G21" s="90" t="s">
        <v>133</v>
      </c>
      <c r="H21" s="87" t="s">
        <v>134</v>
      </c>
      <c r="I21" s="87" t="s">
        <v>135</v>
      </c>
      <c r="J21" s="89" t="s">
        <v>136</v>
      </c>
      <c r="K21" s="91">
        <f>'B_ET 기본정보'!C14</f>
        <v>45748</v>
      </c>
      <c r="L21" s="92">
        <f>EDATE(K21,1)</f>
        <v>45778</v>
      </c>
      <c r="M21" s="92">
        <f t="shared" ref="M21:V21" si="0">EDATE(L21,1)</f>
        <v>45809</v>
      </c>
      <c r="N21" s="92">
        <f t="shared" si="0"/>
        <v>45839</v>
      </c>
      <c r="O21" s="92">
        <f t="shared" si="0"/>
        <v>45870</v>
      </c>
      <c r="P21" s="92">
        <f t="shared" si="0"/>
        <v>45901</v>
      </c>
      <c r="Q21" s="92">
        <f t="shared" si="0"/>
        <v>45931</v>
      </c>
      <c r="R21" s="92">
        <f t="shared" si="0"/>
        <v>45962</v>
      </c>
      <c r="S21" s="92">
        <f t="shared" si="0"/>
        <v>45992</v>
      </c>
      <c r="T21" s="92">
        <f t="shared" si="0"/>
        <v>46023</v>
      </c>
      <c r="U21" s="92">
        <f t="shared" si="0"/>
        <v>46054</v>
      </c>
      <c r="V21" s="92">
        <f t="shared" si="0"/>
        <v>46082</v>
      </c>
      <c r="W21" s="92" t="s">
        <v>137</v>
      </c>
      <c r="X21" s="92" t="s">
        <v>138</v>
      </c>
    </row>
    <row r="22" spans="2:25" ht="14.25" outlineLevel="1" thickBot="1" x14ac:dyDescent="0.3">
      <c r="B22" s="93" t="s">
        <v>128</v>
      </c>
      <c r="C22" s="94" t="s">
        <v>139</v>
      </c>
      <c r="D22" s="88" t="s">
        <v>130</v>
      </c>
      <c r="E22" s="95" t="s">
        <v>140</v>
      </c>
      <c r="F22" s="95" t="s">
        <v>141</v>
      </c>
      <c r="G22" s="87" t="s">
        <v>142</v>
      </c>
      <c r="H22" s="96" t="s">
        <v>134</v>
      </c>
      <c r="I22" s="87" t="s">
        <v>135</v>
      </c>
      <c r="J22" s="97" t="s">
        <v>143</v>
      </c>
      <c r="K22" s="98" t="s">
        <v>144</v>
      </c>
      <c r="L22" s="98" t="s">
        <v>145</v>
      </c>
      <c r="M22" s="98" t="s">
        <v>146</v>
      </c>
      <c r="N22" s="98" t="s">
        <v>147</v>
      </c>
      <c r="O22" s="98" t="s">
        <v>148</v>
      </c>
      <c r="P22" s="98" t="s">
        <v>149</v>
      </c>
      <c r="Q22" s="98" t="s">
        <v>150</v>
      </c>
      <c r="R22" s="98" t="s">
        <v>151</v>
      </c>
      <c r="S22" s="98" t="s">
        <v>152</v>
      </c>
      <c r="T22" s="98" t="s">
        <v>153</v>
      </c>
      <c r="U22" s="98" t="s">
        <v>154</v>
      </c>
      <c r="V22" s="99" t="s">
        <v>155</v>
      </c>
      <c r="W22" s="95" t="s">
        <v>137</v>
      </c>
      <c r="X22" s="95" t="s">
        <v>156</v>
      </c>
    </row>
    <row r="23" spans="2:25" ht="21.6" customHeight="1" thickTop="1" x14ac:dyDescent="0.25">
      <c r="B23" s="225" t="s">
        <v>157</v>
      </c>
      <c r="C23" s="226" t="s">
        <v>157</v>
      </c>
      <c r="D23" s="227" t="b">
        <v>0</v>
      </c>
      <c r="E23" s="100"/>
      <c r="F23" s="101" cm="1">
        <f t="array" ref="F23">IFERROR(INDEX(DB_tStat!$A$2:$DQ$111, _xlfn.XMATCH($F$20, DB_tStat!$A$2:$A$111, 0), _xlfn.XMATCH(Tbl_Budget[[#This Row],[Budget 관리단위]], DB_tStat!$A$1:$DQ$1, 0)),0)</f>
        <v>0.12263879521998755</v>
      </c>
      <c r="G23" s="102">
        <f>Tbl_Budget[[#This Row],[유사회사 평균 비율]]*$C$9</f>
        <v>42.67830073655567</v>
      </c>
      <c r="H23" s="103"/>
      <c r="I23" s="104">
        <f>_xlfn.XLOOKUP(Tbl_Budget[[#This Row],[Assignment]],Tbl_Members[이름],Tbl_Members[사번],0)</f>
        <v>0</v>
      </c>
      <c r="J23" s="105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7"/>
      <c r="W23" s="108">
        <f>IF(Tbl_Budget[[#This Row],[해당]]=TRUE,Tbl_Budget[[#This Row],[Budget 합계]]-SUM(Tbl_Budget[[#This Row],[1]:[12]]),0)</f>
        <v>0</v>
      </c>
      <c r="X23" s="109">
        <f>SUM(Tbl_Budget[[#This Row],[10]:[12]])/$C$13</f>
        <v>0</v>
      </c>
    </row>
    <row r="24" spans="2:25" ht="21.6" customHeight="1" x14ac:dyDescent="0.25">
      <c r="B24" s="228" t="s">
        <v>158</v>
      </c>
      <c r="C24" s="229" t="s">
        <v>158</v>
      </c>
      <c r="D24" s="227" t="b">
        <v>1</v>
      </c>
      <c r="E24" s="100"/>
      <c r="F24" s="101" cm="1">
        <f t="array" ref="F24">IFERROR(INDEX(DB_tStat!$A$2:$DQ$111, _xlfn.XMATCH($F$20, DB_tStat!$A$2:$A$111, 0), _xlfn.XMATCH(Tbl_Budget[[#This Row],[Budget 관리단위]], DB_tStat!$A$1:$DQ$1, 0)),0)</f>
        <v>5.3405356600328815E-2</v>
      </c>
      <c r="G24" s="102">
        <f>Tbl_Budget[[#This Row],[유사회사 평균 비율]]*$C$9</f>
        <v>18.585064096914429</v>
      </c>
      <c r="H24" s="110" t="s">
        <v>73</v>
      </c>
      <c r="I24" s="104">
        <f>_xlfn.XLOOKUP(Tbl_Budget[[#This Row],[Assignment]],Tbl_Members[이름],Tbl_Members[사번],0)</f>
        <v>260666</v>
      </c>
      <c r="J24" s="111">
        <v>1</v>
      </c>
      <c r="K24" s="112"/>
      <c r="L24" s="112"/>
      <c r="M24" s="112">
        <v>1</v>
      </c>
      <c r="N24" s="112"/>
      <c r="O24" s="112"/>
      <c r="P24" s="112"/>
      <c r="Q24" s="112"/>
      <c r="R24" s="112"/>
      <c r="S24" s="112"/>
      <c r="T24" s="112"/>
      <c r="U24" s="112"/>
      <c r="V24" s="113"/>
      <c r="W24" s="114">
        <f>IF(Tbl_Budget[[#This Row],[해당]]=TRUE,Tbl_Budget[[#This Row],[Budget 합계]]-SUM(Tbl_Budget[[#This Row],[1]:[12]]),0)</f>
        <v>0</v>
      </c>
      <c r="X24" s="109">
        <f>SUM(Tbl_Budget[[#This Row],[10]:[12]])/$C$13</f>
        <v>0</v>
      </c>
    </row>
    <row r="25" spans="2:25" ht="21.6" customHeight="1" x14ac:dyDescent="0.25">
      <c r="B25" s="228" t="s">
        <v>158</v>
      </c>
      <c r="C25" s="229" t="s">
        <v>158</v>
      </c>
      <c r="D25" s="227" t="b">
        <v>1</v>
      </c>
      <c r="E25" s="100"/>
      <c r="F25" s="101" cm="1">
        <f t="array" ref="F25">IFERROR(INDEX(DB_tStat!$A$2:$DQ$111, _xlfn.XMATCH($F$20, DB_tStat!$A$2:$A$111, 0), _xlfn.XMATCH(Tbl_Budget[[#This Row],[Budget 관리단위]], DB_tStat!$A$1:$DQ$1, 0)),0)</f>
        <v>5.3405356600328815E-2</v>
      </c>
      <c r="G25" s="102">
        <f>Tbl_Budget[[#This Row],[유사회사 평균 비율]]*$C$9</f>
        <v>18.585064096914429</v>
      </c>
      <c r="H25" s="110" t="s">
        <v>75</v>
      </c>
      <c r="I25" s="104">
        <f>_xlfn.XLOOKUP(Tbl_Budget[[#This Row],[Assignment]],Tbl_Members[이름],Tbl_Members[사번],0)</f>
        <v>310625</v>
      </c>
      <c r="J25" s="111">
        <v>8</v>
      </c>
      <c r="K25" s="112"/>
      <c r="L25" s="112"/>
      <c r="M25" s="112">
        <v>8</v>
      </c>
      <c r="N25" s="112"/>
      <c r="O25" s="112"/>
      <c r="P25" s="112"/>
      <c r="Q25" s="112"/>
      <c r="R25" s="112"/>
      <c r="S25" s="112"/>
      <c r="T25" s="112"/>
      <c r="U25" s="112"/>
      <c r="V25" s="113"/>
      <c r="W25" s="114">
        <f>IF(Tbl_Budget[[#This Row],[해당]]=TRUE,Tbl_Budget[[#This Row],[Budget 합계]]-SUM(Tbl_Budget[[#This Row],[1]:[12]]),0)</f>
        <v>0</v>
      </c>
      <c r="X25" s="109">
        <f>SUM(Tbl_Budget[[#This Row],[10]:[12]])/$C$13</f>
        <v>0</v>
      </c>
    </row>
    <row r="26" spans="2:25" ht="21.6" customHeight="1" x14ac:dyDescent="0.25">
      <c r="B26" s="228" t="s">
        <v>158</v>
      </c>
      <c r="C26" s="229" t="s">
        <v>158</v>
      </c>
      <c r="D26" s="227" t="b">
        <v>1</v>
      </c>
      <c r="E26" s="100"/>
      <c r="F26" s="101" cm="1">
        <f t="array" ref="F26">IFERROR(INDEX(DB_tStat!$A$2:$DQ$111, _xlfn.XMATCH($F$20, DB_tStat!$A$2:$A$111, 0), _xlfn.XMATCH(Tbl_Budget[[#This Row],[Budget 관리단위]], DB_tStat!$A$1:$DQ$1, 0)),0)</f>
        <v>5.3405356600328815E-2</v>
      </c>
      <c r="G26" s="102">
        <f>Tbl_Budget[[#This Row],[유사회사 평균 비율]]*$C$9</f>
        <v>18.585064096914429</v>
      </c>
      <c r="H26" s="110" t="s">
        <v>76</v>
      </c>
      <c r="I26" s="104">
        <f>_xlfn.XLOOKUP(Tbl_Budget[[#This Row],[Assignment]],Tbl_Members[이름],Tbl_Members[사번],0)</f>
        <v>330590</v>
      </c>
      <c r="J26" s="111">
        <v>8</v>
      </c>
      <c r="K26" s="112"/>
      <c r="L26" s="112"/>
      <c r="M26" s="112">
        <v>8</v>
      </c>
      <c r="N26" s="112"/>
      <c r="O26" s="112"/>
      <c r="P26" s="112"/>
      <c r="Q26" s="112"/>
      <c r="R26" s="112"/>
      <c r="S26" s="112"/>
      <c r="T26" s="112"/>
      <c r="U26" s="112"/>
      <c r="V26" s="113"/>
      <c r="W26" s="114">
        <f>IF(Tbl_Budget[[#This Row],[해당]]=TRUE,Tbl_Budget[[#This Row],[Budget 합계]]-SUM(Tbl_Budget[[#This Row],[1]:[12]]),0)</f>
        <v>0</v>
      </c>
      <c r="X26" s="109">
        <f>SUM(Tbl_Budget[[#This Row],[10]:[12]])/$C$13</f>
        <v>0</v>
      </c>
    </row>
    <row r="27" spans="2:25" ht="21.6" customHeight="1" x14ac:dyDescent="0.25">
      <c r="B27" s="228" t="s">
        <v>158</v>
      </c>
      <c r="C27" s="229" t="s">
        <v>158</v>
      </c>
      <c r="D27" s="227" t="b">
        <v>1</v>
      </c>
      <c r="E27" s="100"/>
      <c r="F27" s="101" cm="1">
        <f t="array" ref="F27">IFERROR(INDEX(DB_tStat!$A$2:$DQ$111, _xlfn.XMATCH($F$20, DB_tStat!$A$2:$A$111, 0), _xlfn.XMATCH(Tbl_Budget[[#This Row],[Budget 관리단위]], DB_tStat!$A$1:$DQ$1, 0)),0)</f>
        <v>5.3405356600328815E-2</v>
      </c>
      <c r="G27" s="102">
        <f>Tbl_Budget[[#This Row],[유사회사 평균 비율]]*$C$9</f>
        <v>18.585064096914429</v>
      </c>
      <c r="H27" s="110" t="s">
        <v>77</v>
      </c>
      <c r="I27" s="104">
        <f>_xlfn.XLOOKUP(Tbl_Budget[[#This Row],[Assignment]],Tbl_Members[이름],Tbl_Members[사번],0)</f>
        <v>340644</v>
      </c>
      <c r="J27" s="111">
        <v>8</v>
      </c>
      <c r="K27" s="112"/>
      <c r="L27" s="112"/>
      <c r="M27" s="112">
        <v>8</v>
      </c>
      <c r="N27" s="112"/>
      <c r="O27" s="112"/>
      <c r="P27" s="112"/>
      <c r="Q27" s="112"/>
      <c r="R27" s="112"/>
      <c r="S27" s="112"/>
      <c r="T27" s="112"/>
      <c r="U27" s="112"/>
      <c r="V27" s="113"/>
      <c r="W27" s="114">
        <f>IF(Tbl_Budget[[#This Row],[해당]]=TRUE,Tbl_Budget[[#This Row],[Budget 합계]]-SUM(Tbl_Budget[[#This Row],[1]:[12]]),0)</f>
        <v>0</v>
      </c>
      <c r="X27" s="109">
        <f>SUM(Tbl_Budget[[#This Row],[10]:[12]])/$C$13</f>
        <v>0</v>
      </c>
    </row>
    <row r="28" spans="2:25" ht="21.6" customHeight="1" x14ac:dyDescent="0.25">
      <c r="B28" s="228" t="s">
        <v>158</v>
      </c>
      <c r="C28" s="229" t="s">
        <v>159</v>
      </c>
      <c r="D28" s="227" t="b">
        <v>1</v>
      </c>
      <c r="E28" s="100"/>
      <c r="F28" s="101" cm="1">
        <f t="array" ref="F28">IFERROR(INDEX(DB_tStat!$A$2:$DQ$111, _xlfn.XMATCH($F$20, DB_tStat!$A$2:$A$111, 0), _xlfn.XMATCH(Tbl_Budget[[#This Row],[Budget 관리단위]], DB_tStat!$A$1:$DQ$1, 0)),0)</f>
        <v>7.3570318082315138E-3</v>
      </c>
      <c r="G28" s="102">
        <f>Tbl_Budget[[#This Row],[유사회사 평균 비율]]*$C$9</f>
        <v>2.5602470692645669</v>
      </c>
      <c r="H28" s="110" t="s">
        <v>75</v>
      </c>
      <c r="I28" s="104">
        <f>_xlfn.XLOOKUP(Tbl_Budget[[#This Row],[Assignment]],Tbl_Members[이름],Tbl_Members[사번],0)</f>
        <v>310625</v>
      </c>
      <c r="J28" s="111">
        <v>5</v>
      </c>
      <c r="K28" s="112"/>
      <c r="L28" s="112"/>
      <c r="M28" s="112">
        <v>5</v>
      </c>
      <c r="N28" s="112"/>
      <c r="O28" s="112"/>
      <c r="P28" s="112"/>
      <c r="Q28" s="112"/>
      <c r="R28" s="112"/>
      <c r="S28" s="112"/>
      <c r="T28" s="112"/>
      <c r="U28" s="112"/>
      <c r="V28" s="113"/>
      <c r="W28" s="114">
        <f>IF(Tbl_Budget[[#This Row],[해당]]=TRUE,Tbl_Budget[[#This Row],[Budget 합계]]-SUM(Tbl_Budget[[#This Row],[1]:[12]]),0)</f>
        <v>0</v>
      </c>
      <c r="X28" s="109">
        <f>SUM(Tbl_Budget[[#This Row],[10]:[12]])/$C$13</f>
        <v>0</v>
      </c>
    </row>
    <row r="29" spans="2:25" ht="21.6" customHeight="1" x14ac:dyDescent="0.25">
      <c r="B29" s="228" t="s">
        <v>158</v>
      </c>
      <c r="C29" s="229" t="s">
        <v>159</v>
      </c>
      <c r="D29" s="227" t="b">
        <v>1</v>
      </c>
      <c r="E29" s="100"/>
      <c r="F29" s="101" cm="1">
        <f t="array" ref="F29">IFERROR(INDEX(DB_tStat!$A$2:$DQ$111, _xlfn.XMATCH($F$20, DB_tStat!$A$2:$A$111, 0), _xlfn.XMATCH(Tbl_Budget[[#This Row],[Budget 관리단위]], DB_tStat!$A$1:$DQ$1, 0)),0)</f>
        <v>7.3570318082315138E-3</v>
      </c>
      <c r="G29" s="102">
        <f>Tbl_Budget[[#This Row],[유사회사 평균 비율]]*$C$9</f>
        <v>2.5602470692645669</v>
      </c>
      <c r="H29" s="110" t="s">
        <v>77</v>
      </c>
      <c r="I29" s="104">
        <f>_xlfn.XLOOKUP(Tbl_Budget[[#This Row],[Assignment]],Tbl_Members[이름],Tbl_Members[사번],0)</f>
        <v>340644</v>
      </c>
      <c r="J29" s="111">
        <v>4</v>
      </c>
      <c r="K29" s="112"/>
      <c r="L29" s="112"/>
      <c r="M29" s="112">
        <v>4</v>
      </c>
      <c r="N29" s="112"/>
      <c r="O29" s="112"/>
      <c r="P29" s="112"/>
      <c r="Q29" s="112"/>
      <c r="R29" s="112"/>
      <c r="S29" s="112"/>
      <c r="T29" s="112"/>
      <c r="U29" s="112"/>
      <c r="V29" s="113"/>
      <c r="W29" s="114">
        <f>IF(Tbl_Budget[[#This Row],[해당]]=TRUE,Tbl_Budget[[#This Row],[Budget 합계]]-SUM(Tbl_Budget[[#This Row],[1]:[12]]),0)</f>
        <v>0</v>
      </c>
      <c r="X29" s="109">
        <f>SUM(Tbl_Budget[[#This Row],[10]:[12]])/$C$13</f>
        <v>0</v>
      </c>
    </row>
    <row r="30" spans="2:25" ht="21.6" customHeight="1" x14ac:dyDescent="0.25">
      <c r="B30" s="228" t="s">
        <v>160</v>
      </c>
      <c r="C30" s="229" t="s">
        <v>161</v>
      </c>
      <c r="D30" s="227" t="b">
        <v>1</v>
      </c>
      <c r="E30" s="100"/>
      <c r="F30" s="101" cm="1">
        <f t="array" ref="F30">IFERROR(INDEX(DB_tStat!$A$2:$DQ$111, _xlfn.XMATCH($F$20, DB_tStat!$A$2:$A$111, 0), _xlfn.XMATCH(Tbl_Budget[[#This Row],[Budget 관리단위]], DB_tStat!$A$1:$DQ$1, 0)),0)</f>
        <v>2.2274541604746085E-2</v>
      </c>
      <c r="G30" s="102">
        <f>Tbl_Budget[[#This Row],[유사회사 평균 비율]]*$C$9</f>
        <v>7.7515404784516377</v>
      </c>
      <c r="H30" s="110" t="s">
        <v>75</v>
      </c>
      <c r="I30" s="104">
        <f>_xlfn.XLOOKUP(Tbl_Budget[[#This Row],[Assignment]],Tbl_Members[이름],Tbl_Members[사번],0)</f>
        <v>310625</v>
      </c>
      <c r="J30" s="111">
        <v>8</v>
      </c>
      <c r="K30" s="112"/>
      <c r="L30" s="112"/>
      <c r="M30" s="112"/>
      <c r="N30" s="112"/>
      <c r="O30" s="112"/>
      <c r="P30" s="112"/>
      <c r="Q30" s="112"/>
      <c r="R30" s="112"/>
      <c r="S30" s="112">
        <v>2</v>
      </c>
      <c r="T30" s="112">
        <v>6</v>
      </c>
      <c r="U30" s="112"/>
      <c r="V30" s="113"/>
      <c r="W30" s="114">
        <f>IF(Tbl_Budget[[#This Row],[해당]]=TRUE,Tbl_Budget[[#This Row],[Budget 합계]]-SUM(Tbl_Budget[[#This Row],[1]:[12]]),0)</f>
        <v>0</v>
      </c>
      <c r="X30" s="109">
        <f>SUM(Tbl_Budget[[#This Row],[10]:[12]])/$C$13</f>
        <v>1.7441860465116279E-2</v>
      </c>
    </row>
    <row r="31" spans="2:25" ht="21.6" customHeight="1" x14ac:dyDescent="0.25">
      <c r="B31" s="228" t="s">
        <v>160</v>
      </c>
      <c r="C31" s="229" t="s">
        <v>161</v>
      </c>
      <c r="D31" s="227" t="b">
        <v>1</v>
      </c>
      <c r="E31" s="100"/>
      <c r="F31" s="101" cm="1">
        <f t="array" ref="F31">IFERROR(INDEX(DB_tStat!$A$2:$DQ$111, _xlfn.XMATCH($F$20, DB_tStat!$A$2:$A$111, 0), _xlfn.XMATCH(Tbl_Budget[[#This Row],[Budget 관리단위]], DB_tStat!$A$1:$DQ$1, 0)),0)</f>
        <v>2.2274541604746085E-2</v>
      </c>
      <c r="G31" s="102">
        <f>Tbl_Budget[[#This Row],[유사회사 평균 비율]]*$C$9</f>
        <v>7.7515404784516377</v>
      </c>
      <c r="H31" s="110" t="s">
        <v>87</v>
      </c>
      <c r="I31" s="104" t="str">
        <f>_xlfn.XLOOKUP(Tbl_Budget[[#This Row],[Assignment]],Tbl_Members[이름],Tbl_Members[사번],0)</f>
        <v>Specialist</v>
      </c>
      <c r="J31" s="111">
        <v>4</v>
      </c>
      <c r="K31" s="112"/>
      <c r="L31" s="112"/>
      <c r="M31" s="112"/>
      <c r="N31" s="112"/>
      <c r="O31" s="112"/>
      <c r="P31" s="112"/>
      <c r="Q31" s="112"/>
      <c r="R31" s="112"/>
      <c r="S31" s="112"/>
      <c r="T31" s="112">
        <v>4</v>
      </c>
      <c r="U31" s="112"/>
      <c r="V31" s="113"/>
      <c r="W31" s="114">
        <f>IF(Tbl_Budget[[#This Row],[해당]]=TRUE,Tbl_Budget[[#This Row],[Budget 합계]]-SUM(Tbl_Budget[[#This Row],[1]:[12]]),0)</f>
        <v>0</v>
      </c>
      <c r="X31" s="109">
        <f>SUM(Tbl_Budget[[#This Row],[10]:[12]])/$C$13</f>
        <v>1.1627906976744186E-2</v>
      </c>
    </row>
    <row r="32" spans="2:25" ht="21.6" customHeight="1" x14ac:dyDescent="0.25">
      <c r="B32" s="228" t="s">
        <v>160</v>
      </c>
      <c r="C32" s="229" t="s">
        <v>162</v>
      </c>
      <c r="D32" s="227" t="b">
        <v>0</v>
      </c>
      <c r="E32" s="100"/>
      <c r="F32" s="101" cm="1">
        <f t="array" ref="F32">IFERROR(INDEX(DB_tStat!$A$2:$DQ$111, _xlfn.XMATCH($F$20, DB_tStat!$A$2:$A$111, 0), _xlfn.XMATCH(Tbl_Budget[[#This Row],[Budget 관리단위]], DB_tStat!$A$1:$DQ$1, 0)),0)</f>
        <v>4.3106811510833449E-3</v>
      </c>
      <c r="G32" s="102">
        <f>Tbl_Budget[[#This Row],[유사회사 평균 비율]]*$C$9</f>
        <v>1.5001170405770039</v>
      </c>
      <c r="H32" s="110"/>
      <c r="I32" s="104">
        <f>_xlfn.XLOOKUP(Tbl_Budget[[#This Row],[Assignment]],Tbl_Members[이름],Tbl_Members[사번],0)</f>
        <v>0</v>
      </c>
      <c r="J32" s="111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3"/>
      <c r="W32" s="114">
        <f>IF(Tbl_Budget[[#This Row],[해당]]=TRUE,Tbl_Budget[[#This Row],[Budget 합계]]-SUM(Tbl_Budget[[#This Row],[1]:[12]]),0)</f>
        <v>0</v>
      </c>
      <c r="X32" s="109">
        <f>SUM(Tbl_Budget[[#This Row],[10]:[12]])/$C$13</f>
        <v>0</v>
      </c>
    </row>
    <row r="33" spans="2:24" ht="21.6" customHeight="1" x14ac:dyDescent="0.25">
      <c r="B33" s="228" t="s">
        <v>160</v>
      </c>
      <c r="C33" s="229" t="s">
        <v>163</v>
      </c>
      <c r="D33" s="227" t="b">
        <v>0</v>
      </c>
      <c r="E33" s="100"/>
      <c r="F33" s="101" cm="1">
        <f t="array" ref="F33">IFERROR(INDEX(DB_tStat!$A$2:$DQ$111, _xlfn.XMATCH($F$20, DB_tStat!$A$2:$A$111, 0), _xlfn.XMATCH(Tbl_Budget[[#This Row],[Budget 관리단위]], DB_tStat!$A$1:$DQ$1, 0)),0)</f>
        <v>0</v>
      </c>
      <c r="G33" s="102">
        <f>Tbl_Budget[[#This Row],[유사회사 평균 비율]]*$C$9</f>
        <v>0</v>
      </c>
      <c r="H33" s="110"/>
      <c r="I33" s="104">
        <f>_xlfn.XLOOKUP(Tbl_Budget[[#This Row],[Assignment]],Tbl_Members[이름],Tbl_Members[사번],0)</f>
        <v>0</v>
      </c>
      <c r="J33" s="111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3"/>
      <c r="W33" s="114">
        <f>IF(Tbl_Budget[[#This Row],[해당]]=TRUE,Tbl_Budget[[#This Row],[Budget 합계]]-SUM(Tbl_Budget[[#This Row],[1]:[12]]),0)</f>
        <v>0</v>
      </c>
      <c r="X33" s="109">
        <f>SUM(Tbl_Budget[[#This Row],[10]:[12]])/$C$13</f>
        <v>0</v>
      </c>
    </row>
    <row r="34" spans="2:24" ht="21.6" customHeight="1" x14ac:dyDescent="0.25">
      <c r="B34" s="228" t="s">
        <v>164</v>
      </c>
      <c r="C34" s="229" t="s">
        <v>165</v>
      </c>
      <c r="D34" s="227" t="b">
        <v>1</v>
      </c>
      <c r="E34" s="100"/>
      <c r="F34" s="101" cm="1">
        <f t="array" ref="F34">IFERROR(INDEX(DB_tStat!$A$2:$DQ$111, _xlfn.XMATCH($F$20, DB_tStat!$A$2:$A$111, 0), _xlfn.XMATCH(Tbl_Budget[[#This Row],[Budget 관리단위]], DB_tStat!$A$1:$DQ$1, 0)),0)</f>
        <v>1.3624564681928868E-2</v>
      </c>
      <c r="G34" s="102">
        <f>Tbl_Budget[[#This Row],[유사회사 평균 비율]]*$C$9</f>
        <v>4.741348509311246</v>
      </c>
      <c r="H34" s="110" t="s">
        <v>77</v>
      </c>
      <c r="I34" s="104">
        <f>_xlfn.XLOOKUP(Tbl_Budget[[#This Row],[Assignment]],Tbl_Members[이름],Tbl_Members[사번],0)</f>
        <v>340644</v>
      </c>
      <c r="J34" s="111">
        <v>8</v>
      </c>
      <c r="K34" s="112"/>
      <c r="L34" s="112"/>
      <c r="M34" s="112">
        <v>2</v>
      </c>
      <c r="N34" s="112"/>
      <c r="O34" s="112"/>
      <c r="P34" s="112"/>
      <c r="Q34" s="112"/>
      <c r="R34" s="112"/>
      <c r="S34" s="112"/>
      <c r="T34" s="112">
        <v>6</v>
      </c>
      <c r="U34" s="112"/>
      <c r="V34" s="113"/>
      <c r="W34" s="114">
        <f>IF(Tbl_Budget[[#This Row],[해당]]=TRUE,Tbl_Budget[[#This Row],[Budget 합계]]-SUM(Tbl_Budget[[#This Row],[1]:[12]]),0)</f>
        <v>0</v>
      </c>
      <c r="X34" s="109">
        <f>SUM(Tbl_Budget[[#This Row],[10]:[12]])/$C$13</f>
        <v>1.7441860465116279E-2</v>
      </c>
    </row>
    <row r="35" spans="2:24" ht="21.6" customHeight="1" x14ac:dyDescent="0.25">
      <c r="B35" s="228" t="s">
        <v>164</v>
      </c>
      <c r="C35" s="229" t="s">
        <v>166</v>
      </c>
      <c r="D35" s="227" t="b">
        <v>1</v>
      </c>
      <c r="E35" s="100"/>
      <c r="F35" s="101" cm="1">
        <f t="array" ref="F35">IFERROR(INDEX(DB_tStat!$A$2:$DQ$111, _xlfn.XMATCH($F$20, DB_tStat!$A$2:$A$111, 0), _xlfn.XMATCH(Tbl_Budget[[#This Row],[Budget 관리단위]], DB_tStat!$A$1:$DQ$1, 0)),0)</f>
        <v>2.4644451489711706E-2</v>
      </c>
      <c r="G35" s="102">
        <f>Tbl_Budget[[#This Row],[유사회사 평균 비율]]*$C$9</f>
        <v>8.576269118419674</v>
      </c>
      <c r="H35" s="110" t="s">
        <v>77</v>
      </c>
      <c r="I35" s="104">
        <f>_xlfn.XLOOKUP(Tbl_Budget[[#This Row],[Assignment]],Tbl_Members[이름],Tbl_Members[사번],0)</f>
        <v>340644</v>
      </c>
      <c r="J35" s="111">
        <v>16</v>
      </c>
      <c r="K35" s="112"/>
      <c r="L35" s="112"/>
      <c r="M35" s="112"/>
      <c r="N35" s="112"/>
      <c r="O35" s="112"/>
      <c r="P35" s="112"/>
      <c r="Q35" s="112"/>
      <c r="R35" s="112"/>
      <c r="S35" s="112">
        <v>1</v>
      </c>
      <c r="T35" s="112">
        <v>15</v>
      </c>
      <c r="U35" s="112"/>
      <c r="V35" s="113"/>
      <c r="W35" s="114">
        <f>IF(Tbl_Budget[[#This Row],[해당]]=TRUE,Tbl_Budget[[#This Row],[Budget 합계]]-SUM(Tbl_Budget[[#This Row],[1]:[12]]),0)</f>
        <v>0</v>
      </c>
      <c r="X35" s="109">
        <f>SUM(Tbl_Budget[[#This Row],[10]:[12]])/$C$13</f>
        <v>4.3604651162790699E-2</v>
      </c>
    </row>
    <row r="36" spans="2:24" ht="21.6" customHeight="1" x14ac:dyDescent="0.25">
      <c r="B36" s="228" t="s">
        <v>164</v>
      </c>
      <c r="C36" s="229" t="s">
        <v>167</v>
      </c>
      <c r="D36" s="227" t="b">
        <v>0</v>
      </c>
      <c r="E36" s="100"/>
      <c r="F36" s="101" cm="1">
        <f t="array" ref="F36">IFERROR(INDEX(DB_tStat!$A$2:$DQ$111, _xlfn.XMATCH($F$20, DB_tStat!$A$2:$A$111, 0), _xlfn.XMATCH(Tbl_Budget[[#This Row],[Budget 관리단위]], DB_tStat!$A$1:$DQ$1, 0)),0)</f>
        <v>6.0371235099018821E-3</v>
      </c>
      <c r="G36" s="102">
        <f>Tbl_Budget[[#This Row],[유사회사 평균 비율]]*$C$9</f>
        <v>2.1009189814458549</v>
      </c>
      <c r="H36" s="110"/>
      <c r="I36" s="104">
        <f>_xlfn.XLOOKUP(Tbl_Budget[[#This Row],[Assignment]],Tbl_Members[이름],Tbl_Members[사번],0)</f>
        <v>0</v>
      </c>
      <c r="J36" s="111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3"/>
      <c r="W36" s="114">
        <f>IF(Tbl_Budget[[#This Row],[해당]]=TRUE,Tbl_Budget[[#This Row],[Budget 합계]]-SUM(Tbl_Budget[[#This Row],[1]:[12]]),0)</f>
        <v>0</v>
      </c>
      <c r="X36" s="109">
        <f>SUM(Tbl_Budget[[#This Row],[10]:[12]])/$C$13</f>
        <v>0</v>
      </c>
    </row>
    <row r="37" spans="2:24" ht="21.6" customHeight="1" x14ac:dyDescent="0.25">
      <c r="B37" s="228" t="s">
        <v>164</v>
      </c>
      <c r="C37" s="229" t="s">
        <v>168</v>
      </c>
      <c r="D37" s="227" t="b">
        <v>0</v>
      </c>
      <c r="E37" s="100"/>
      <c r="F37" s="101" cm="1">
        <f t="array" ref="F37">IFERROR(INDEX(DB_tStat!$A$2:$DQ$111, _xlfn.XMATCH($F$20, DB_tStat!$A$2:$A$111, 0), _xlfn.XMATCH(Tbl_Budget[[#This Row],[Budget 관리단위]], DB_tStat!$A$1:$DQ$1, 0)),0)</f>
        <v>7.981137989590853E-3</v>
      </c>
      <c r="G37" s="102">
        <f>Tbl_Budget[[#This Row],[유사회사 평균 비율]]*$C$9</f>
        <v>2.7774360203776167</v>
      </c>
      <c r="H37" s="110"/>
      <c r="I37" s="104">
        <f>_xlfn.XLOOKUP(Tbl_Budget[[#This Row],[Assignment]],Tbl_Members[이름],Tbl_Members[사번],0)</f>
        <v>0</v>
      </c>
      <c r="J37" s="111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3"/>
      <c r="W37" s="114">
        <f>IF(Tbl_Budget[[#This Row],[해당]]=TRUE,Tbl_Budget[[#This Row],[Budget 합계]]-SUM(Tbl_Budget[[#This Row],[1]:[12]]),0)</f>
        <v>0</v>
      </c>
      <c r="X37" s="109">
        <f>SUM(Tbl_Budget[[#This Row],[10]:[12]])/$C$13</f>
        <v>0</v>
      </c>
    </row>
    <row r="38" spans="2:24" ht="21.6" customHeight="1" x14ac:dyDescent="0.25">
      <c r="B38" s="228" t="s">
        <v>164</v>
      </c>
      <c r="C38" s="229" t="s">
        <v>169</v>
      </c>
      <c r="D38" s="227" t="b">
        <v>0</v>
      </c>
      <c r="E38" s="100"/>
      <c r="F38" s="101" cm="1">
        <f t="array" ref="F38">IFERROR(INDEX(DB_tStat!$A$2:$DQ$111, _xlfn.XMATCH($F$20, DB_tStat!$A$2:$A$111, 0), _xlfn.XMATCH(Tbl_Budget[[#This Row],[Budget 관리단위]], DB_tStat!$A$1:$DQ$1, 0)),0)</f>
        <v>8.8320469356134197E-3</v>
      </c>
      <c r="G38" s="102">
        <f>Tbl_Budget[[#This Row],[유사회사 평균 비율]]*$C$9</f>
        <v>3.07355233359347</v>
      </c>
      <c r="H38" s="110"/>
      <c r="I38" s="104">
        <f>_xlfn.XLOOKUP(Tbl_Budget[[#This Row],[Assignment]],Tbl_Members[이름],Tbl_Members[사번],0)</f>
        <v>0</v>
      </c>
      <c r="J38" s="111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3"/>
      <c r="W38" s="114">
        <f>IF(Tbl_Budget[[#This Row],[해당]]=TRUE,Tbl_Budget[[#This Row],[Budget 합계]]-SUM(Tbl_Budget[[#This Row],[1]:[12]]),0)</f>
        <v>0</v>
      </c>
      <c r="X38" s="109">
        <f>SUM(Tbl_Budget[[#This Row],[10]:[12]])/$C$13</f>
        <v>0</v>
      </c>
    </row>
    <row r="39" spans="2:24" ht="21.6" customHeight="1" x14ac:dyDescent="0.25">
      <c r="B39" s="228" t="s">
        <v>164</v>
      </c>
      <c r="C39" s="229" t="s">
        <v>170</v>
      </c>
      <c r="D39" s="227" t="b">
        <v>1</v>
      </c>
      <c r="E39" s="100"/>
      <c r="F39" s="101" cm="1">
        <f t="array" ref="F39">IFERROR(INDEX(DB_tStat!$A$2:$DQ$111, _xlfn.XMATCH($F$20, DB_tStat!$A$2:$A$111, 0), _xlfn.XMATCH(Tbl_Budget[[#This Row],[Budget 관리단위]], DB_tStat!$A$1:$DQ$1, 0)),0)</f>
        <v>1.4714846548974812E-2</v>
      </c>
      <c r="G39" s="102">
        <f>Tbl_Budget[[#This Row],[유사회사 평균 비율]]*$C$9</f>
        <v>5.1207665990432343</v>
      </c>
      <c r="H39" s="110" t="s">
        <v>75</v>
      </c>
      <c r="I39" s="104">
        <f>_xlfn.XLOOKUP(Tbl_Budget[[#This Row],[Assignment]],Tbl_Members[이름],Tbl_Members[사번],0)</f>
        <v>310625</v>
      </c>
      <c r="J39" s="111">
        <v>10</v>
      </c>
      <c r="K39" s="112"/>
      <c r="L39" s="112"/>
      <c r="M39" s="112">
        <v>2</v>
      </c>
      <c r="N39" s="112"/>
      <c r="O39" s="112"/>
      <c r="P39" s="112"/>
      <c r="Q39" s="112"/>
      <c r="R39" s="112"/>
      <c r="S39" s="112">
        <v>2</v>
      </c>
      <c r="T39" s="112">
        <v>6</v>
      </c>
      <c r="U39" s="112"/>
      <c r="V39" s="113"/>
      <c r="W39" s="114">
        <f>IF(Tbl_Budget[[#This Row],[해당]]=TRUE,Tbl_Budget[[#This Row],[Budget 합계]]-SUM(Tbl_Budget[[#This Row],[1]:[12]]),0)</f>
        <v>0</v>
      </c>
      <c r="X39" s="109">
        <f>SUM(Tbl_Budget[[#This Row],[10]:[12]])/$C$13</f>
        <v>1.7441860465116279E-2</v>
      </c>
    </row>
    <row r="40" spans="2:24" ht="21.6" customHeight="1" x14ac:dyDescent="0.25">
      <c r="B40" s="228" t="s">
        <v>164</v>
      </c>
      <c r="C40" s="229" t="s">
        <v>171</v>
      </c>
      <c r="D40" s="227" t="b">
        <v>1</v>
      </c>
      <c r="E40" s="100"/>
      <c r="F40" s="101" cm="1">
        <f t="array" ref="F40">IFERROR(INDEX(DB_tStat!$A$2:$DQ$111, _xlfn.XMATCH($F$20, DB_tStat!$A$2:$A$111, 0), _xlfn.XMATCH(Tbl_Budget[[#This Row],[Budget 관리단위]], DB_tStat!$A$1:$DQ$1, 0)),0)</f>
        <v>1.2485594731197548E-2</v>
      </c>
      <c r="G40" s="102">
        <f>Tbl_Budget[[#This Row],[유사회사 평균 비율]]*$C$9</f>
        <v>4.3449869664567471</v>
      </c>
      <c r="H40" s="110" t="s">
        <v>75</v>
      </c>
      <c r="I40" s="104">
        <f>_xlfn.XLOOKUP(Tbl_Budget[[#This Row],[Assignment]],Tbl_Members[이름],Tbl_Members[사번],0)</f>
        <v>310625</v>
      </c>
      <c r="J40" s="111">
        <v>12</v>
      </c>
      <c r="K40" s="112"/>
      <c r="L40" s="112"/>
      <c r="M40" s="112"/>
      <c r="N40" s="112"/>
      <c r="O40" s="112"/>
      <c r="P40" s="112"/>
      <c r="Q40" s="112"/>
      <c r="R40" s="112"/>
      <c r="S40" s="112">
        <v>3</v>
      </c>
      <c r="T40" s="112">
        <v>9</v>
      </c>
      <c r="U40" s="112"/>
      <c r="V40" s="113"/>
      <c r="W40" s="114">
        <f>IF(Tbl_Budget[[#This Row],[해당]]=TRUE,Tbl_Budget[[#This Row],[Budget 합계]]-SUM(Tbl_Budget[[#This Row],[1]:[12]]),0)</f>
        <v>0</v>
      </c>
      <c r="X40" s="109">
        <f>SUM(Tbl_Budget[[#This Row],[10]:[12]])/$C$13</f>
        <v>2.616279069767442E-2</v>
      </c>
    </row>
    <row r="41" spans="2:24" ht="21.6" customHeight="1" x14ac:dyDescent="0.25">
      <c r="B41" s="228" t="s">
        <v>164</v>
      </c>
      <c r="C41" s="229" t="s">
        <v>172</v>
      </c>
      <c r="D41" s="227" t="b">
        <v>1</v>
      </c>
      <c r="E41" s="100"/>
      <c r="F41" s="101" cm="1">
        <f t="array" ref="F41">IFERROR(INDEX(DB_tStat!$A$2:$DQ$111, _xlfn.XMATCH($F$20, DB_tStat!$A$2:$A$111, 0), _xlfn.XMATCH(Tbl_Budget[[#This Row],[Budget 관리단위]], DB_tStat!$A$1:$DQ$1, 0)),0)</f>
        <v>4.5228391061976391E-3</v>
      </c>
      <c r="G41" s="102">
        <f>Tbl_Budget[[#This Row],[유사회사 평균 비율]]*$C$9</f>
        <v>1.5739480089567783</v>
      </c>
      <c r="H41" s="110" t="s">
        <v>75</v>
      </c>
      <c r="I41" s="104">
        <f>_xlfn.XLOOKUP(Tbl_Budget[[#This Row],[Assignment]],Tbl_Members[이름],Tbl_Members[사번],0)</f>
        <v>310625</v>
      </c>
      <c r="J41" s="111">
        <v>12</v>
      </c>
      <c r="K41" s="112"/>
      <c r="L41" s="112"/>
      <c r="M41" s="112">
        <v>2</v>
      </c>
      <c r="N41" s="112"/>
      <c r="O41" s="112"/>
      <c r="P41" s="112"/>
      <c r="Q41" s="112"/>
      <c r="R41" s="112"/>
      <c r="S41" s="112">
        <v>4</v>
      </c>
      <c r="T41" s="112">
        <v>6</v>
      </c>
      <c r="U41" s="112"/>
      <c r="V41" s="113"/>
      <c r="W41" s="114">
        <f>IF(Tbl_Budget[[#This Row],[해당]]=TRUE,Tbl_Budget[[#This Row],[Budget 합계]]-SUM(Tbl_Budget[[#This Row],[1]:[12]]),0)</f>
        <v>0</v>
      </c>
      <c r="X41" s="109">
        <f>SUM(Tbl_Budget[[#This Row],[10]:[12]])/$C$13</f>
        <v>1.7441860465116279E-2</v>
      </c>
    </row>
    <row r="42" spans="2:24" ht="21.6" customHeight="1" x14ac:dyDescent="0.25">
      <c r="B42" s="228" t="s">
        <v>164</v>
      </c>
      <c r="C42" s="229" t="s">
        <v>173</v>
      </c>
      <c r="D42" s="227" t="b">
        <v>1</v>
      </c>
      <c r="E42" s="100"/>
      <c r="F42" s="101" cm="1">
        <f t="array" ref="F42">IFERROR(INDEX(DB_tStat!$A$2:$DQ$111, _xlfn.XMATCH($F$20, DB_tStat!$A$2:$A$111, 0), _xlfn.XMATCH(Tbl_Budget[[#This Row],[Budget 관리단위]], DB_tStat!$A$1:$DQ$1, 0)),0)</f>
        <v>2.34348965613266E-2</v>
      </c>
      <c r="G42" s="102">
        <f>Tbl_Budget[[#This Row],[유사회사 평균 비율]]*$C$9</f>
        <v>8.1553440033416571</v>
      </c>
      <c r="H42" s="110" t="s">
        <v>76</v>
      </c>
      <c r="I42" s="104">
        <f>_xlfn.XLOOKUP(Tbl_Budget[[#This Row],[Assignment]],Tbl_Members[이름],Tbl_Members[사번],0)</f>
        <v>330590</v>
      </c>
      <c r="J42" s="111">
        <v>28</v>
      </c>
      <c r="K42" s="112"/>
      <c r="L42" s="112"/>
      <c r="M42" s="112"/>
      <c r="N42" s="112"/>
      <c r="O42" s="112"/>
      <c r="P42" s="112"/>
      <c r="Q42" s="112"/>
      <c r="R42" s="112"/>
      <c r="S42" s="112">
        <v>14</v>
      </c>
      <c r="T42" s="112">
        <v>14</v>
      </c>
      <c r="U42" s="112"/>
      <c r="V42" s="113"/>
      <c r="W42" s="114">
        <f>IF(Tbl_Budget[[#This Row],[해당]]=TRUE,Tbl_Budget[[#This Row],[Budget 합계]]-SUM(Tbl_Budget[[#This Row],[1]:[12]]),0)</f>
        <v>0</v>
      </c>
      <c r="X42" s="109">
        <f>SUM(Tbl_Budget[[#This Row],[10]:[12]])/$C$13</f>
        <v>4.0697674418604654E-2</v>
      </c>
    </row>
    <row r="43" spans="2:24" ht="21.6" customHeight="1" x14ac:dyDescent="0.25">
      <c r="B43" s="228" t="s">
        <v>164</v>
      </c>
      <c r="C43" s="229" t="s">
        <v>174</v>
      </c>
      <c r="D43" s="227" t="b">
        <v>1</v>
      </c>
      <c r="E43" s="100"/>
      <c r="F43" s="101" cm="1">
        <f t="array" ref="F43">IFERROR(INDEX(DB_tStat!$A$2:$DQ$111, _xlfn.XMATCH($F$20, DB_tStat!$A$2:$A$111, 0), _xlfn.XMATCH(Tbl_Budget[[#This Row],[Budget 관리단위]], DB_tStat!$A$1:$DQ$1, 0)),0)</f>
        <v>2.1570290890568698E-2</v>
      </c>
      <c r="G43" s="102">
        <f>Tbl_Budget[[#This Row],[유사회사 평균 비율]]*$C$9</f>
        <v>7.5064612299179068</v>
      </c>
      <c r="H43" s="110" t="s">
        <v>76</v>
      </c>
      <c r="I43" s="104">
        <f>_xlfn.XLOOKUP(Tbl_Budget[[#This Row],[Assignment]],Tbl_Members[이름],Tbl_Members[사번],0)</f>
        <v>330590</v>
      </c>
      <c r="J43" s="111">
        <v>8</v>
      </c>
      <c r="K43" s="112"/>
      <c r="L43" s="112"/>
      <c r="M43" s="112"/>
      <c r="N43" s="112"/>
      <c r="O43" s="112"/>
      <c r="P43" s="112"/>
      <c r="Q43" s="112"/>
      <c r="R43" s="112"/>
      <c r="S43" s="112">
        <v>8</v>
      </c>
      <c r="T43" s="112"/>
      <c r="U43" s="112"/>
      <c r="V43" s="113"/>
      <c r="W43" s="114">
        <f>IF(Tbl_Budget[[#This Row],[해당]]=TRUE,Tbl_Budget[[#This Row],[Budget 합계]]-SUM(Tbl_Budget[[#This Row],[1]:[12]]),0)</f>
        <v>0</v>
      </c>
      <c r="X43" s="109">
        <f>SUM(Tbl_Budget[[#This Row],[10]:[12]])/$C$13</f>
        <v>0</v>
      </c>
    </row>
    <row r="44" spans="2:24" ht="21.6" customHeight="1" x14ac:dyDescent="0.25">
      <c r="B44" s="228" t="s">
        <v>164</v>
      </c>
      <c r="C44" s="229" t="s">
        <v>174</v>
      </c>
      <c r="D44" s="227" t="b">
        <v>1</v>
      </c>
      <c r="E44" s="100"/>
      <c r="F44" s="101" cm="1">
        <f t="array" ref="F44">IFERROR(INDEX(DB_tStat!$A$2:$DQ$111, _xlfn.XMATCH($F$20, DB_tStat!$A$2:$A$111, 0), _xlfn.XMATCH(Tbl_Budget[[#This Row],[Budget 관리단위]], DB_tStat!$A$1:$DQ$1, 0)),0)</f>
        <v>2.1570290890568698E-2</v>
      </c>
      <c r="G44" s="102">
        <f>Tbl_Budget[[#This Row],[유사회사 평균 비율]]*$C$9</f>
        <v>7.5064612299179068</v>
      </c>
      <c r="H44" s="110" t="s">
        <v>77</v>
      </c>
      <c r="I44" s="104">
        <f>_xlfn.XLOOKUP(Tbl_Budget[[#This Row],[Assignment]],Tbl_Members[이름],Tbl_Members[사번],0)</f>
        <v>340644</v>
      </c>
      <c r="J44" s="111">
        <v>8</v>
      </c>
      <c r="K44" s="112"/>
      <c r="L44" s="112"/>
      <c r="M44" s="112"/>
      <c r="N44" s="112"/>
      <c r="O44" s="112"/>
      <c r="P44" s="112"/>
      <c r="Q44" s="112"/>
      <c r="R44" s="112"/>
      <c r="S44" s="112">
        <v>8</v>
      </c>
      <c r="T44" s="112"/>
      <c r="U44" s="112"/>
      <c r="V44" s="113"/>
      <c r="W44" s="114">
        <f>IF(Tbl_Budget[[#This Row],[해당]]=TRUE,Tbl_Budget[[#This Row],[Budget 합계]]-SUM(Tbl_Budget[[#This Row],[1]:[12]]),0)</f>
        <v>0</v>
      </c>
      <c r="X44" s="109">
        <f>SUM(Tbl_Budget[[#This Row],[10]:[12]])/$C$13</f>
        <v>0</v>
      </c>
    </row>
    <row r="45" spans="2:24" ht="21.6" customHeight="1" x14ac:dyDescent="0.25">
      <c r="B45" s="228" t="s">
        <v>164</v>
      </c>
      <c r="C45" s="229" t="s">
        <v>175</v>
      </c>
      <c r="D45" s="227" t="b">
        <v>0</v>
      </c>
      <c r="E45" s="100"/>
      <c r="F45" s="101" cm="1">
        <f t="array" ref="F45">IFERROR(INDEX(DB_tStat!$A$2:$DQ$111, _xlfn.XMATCH($F$20, DB_tStat!$A$2:$A$111, 0), _xlfn.XMATCH(Tbl_Budget[[#This Row],[Budget 관리단위]], DB_tStat!$A$1:$DQ$1, 0)),0)</f>
        <v>3.369476463281001E-3</v>
      </c>
      <c r="G45" s="102">
        <f>Tbl_Budget[[#This Row],[유사회사 평균 비율]]*$C$9</f>
        <v>1.1725778092217882</v>
      </c>
      <c r="H45" s="110"/>
      <c r="I45" s="104">
        <f>_xlfn.XLOOKUP(Tbl_Budget[[#This Row],[Assignment]],Tbl_Members[이름],Tbl_Members[사번],0)</f>
        <v>0</v>
      </c>
      <c r="J45" s="111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3"/>
      <c r="W45" s="114">
        <f>IF(Tbl_Budget[[#This Row],[해당]]=TRUE,Tbl_Budget[[#This Row],[Budget 합계]]-SUM(Tbl_Budget[[#This Row],[1]:[12]]),0)</f>
        <v>0</v>
      </c>
      <c r="X45" s="109">
        <f>SUM(Tbl_Budget[[#This Row],[10]:[12]])/$C$13</f>
        <v>0</v>
      </c>
    </row>
    <row r="46" spans="2:24" ht="21.6" customHeight="1" x14ac:dyDescent="0.25">
      <c r="B46" s="228" t="s">
        <v>164</v>
      </c>
      <c r="C46" s="229" t="s">
        <v>176</v>
      </c>
      <c r="D46" s="227" t="b">
        <v>1</v>
      </c>
      <c r="E46" s="100"/>
      <c r="F46" s="101" cm="1">
        <f t="array" ref="F46">IFERROR(INDEX(DB_tStat!$A$2:$DQ$111, _xlfn.XMATCH($F$20, DB_tStat!$A$2:$A$111, 0), _xlfn.XMATCH(Tbl_Budget[[#This Row],[Budget 관리단위]], DB_tStat!$A$1:$DQ$1, 0)),0)</f>
        <v>1.0764840587722441E-2</v>
      </c>
      <c r="G46" s="102">
        <f>Tbl_Budget[[#This Row],[유사회사 평균 비율]]*$C$9</f>
        <v>3.7461645245274098</v>
      </c>
      <c r="H46" s="110" t="s">
        <v>77</v>
      </c>
      <c r="I46" s="104">
        <f>_xlfn.XLOOKUP(Tbl_Budget[[#This Row],[Assignment]],Tbl_Members[이름],Tbl_Members[사번],0)</f>
        <v>340644</v>
      </c>
      <c r="J46" s="111">
        <v>2</v>
      </c>
      <c r="K46" s="112"/>
      <c r="L46" s="112"/>
      <c r="M46" s="112"/>
      <c r="N46" s="112"/>
      <c r="O46" s="112"/>
      <c r="P46" s="112"/>
      <c r="Q46" s="112"/>
      <c r="R46" s="112"/>
      <c r="S46" s="112"/>
      <c r="T46" s="112">
        <v>2</v>
      </c>
      <c r="U46" s="112"/>
      <c r="V46" s="113"/>
      <c r="W46" s="114">
        <f>IF(Tbl_Budget[[#This Row],[해당]]=TRUE,Tbl_Budget[[#This Row],[Budget 합계]]-SUM(Tbl_Budget[[#This Row],[1]:[12]]),0)</f>
        <v>0</v>
      </c>
      <c r="X46" s="109">
        <f>SUM(Tbl_Budget[[#This Row],[10]:[12]])/$C$13</f>
        <v>5.8139534883720929E-3</v>
      </c>
    </row>
    <row r="47" spans="2:24" ht="21.6" customHeight="1" x14ac:dyDescent="0.25">
      <c r="B47" s="228" t="s">
        <v>164</v>
      </c>
      <c r="C47" s="229" t="s">
        <v>177</v>
      </c>
      <c r="D47" s="227" t="b">
        <v>1</v>
      </c>
      <c r="E47" s="100"/>
      <c r="F47" s="101" cm="1">
        <f t="array" ref="F47">IFERROR(INDEX(DB_tStat!$A$2:$DQ$111, _xlfn.XMATCH($F$20, DB_tStat!$A$2:$A$111, 0), _xlfn.XMATCH(Tbl_Budget[[#This Row],[Budget 관리단위]], DB_tStat!$A$1:$DQ$1, 0)),0)</f>
        <v>1.9719258626677734E-2</v>
      </c>
      <c r="G47" s="102">
        <f>Tbl_Budget[[#This Row],[유사회사 평균 비율]]*$C$9</f>
        <v>6.862302002083851</v>
      </c>
      <c r="H47" s="110" t="s">
        <v>77</v>
      </c>
      <c r="I47" s="104">
        <f>_xlfn.XLOOKUP(Tbl_Budget[[#This Row],[Assignment]],Tbl_Members[이름],Tbl_Members[사번],0)</f>
        <v>340644</v>
      </c>
      <c r="J47" s="111">
        <v>6</v>
      </c>
      <c r="K47" s="112"/>
      <c r="L47" s="112"/>
      <c r="M47" s="112"/>
      <c r="N47" s="112"/>
      <c r="O47" s="112"/>
      <c r="P47" s="112"/>
      <c r="Q47" s="112"/>
      <c r="R47" s="112"/>
      <c r="S47" s="112"/>
      <c r="T47" s="112">
        <v>6</v>
      </c>
      <c r="U47" s="112"/>
      <c r="V47" s="113"/>
      <c r="W47" s="114">
        <f>IF(Tbl_Budget[[#This Row],[해당]]=TRUE,Tbl_Budget[[#This Row],[Budget 합계]]-SUM(Tbl_Budget[[#This Row],[1]:[12]]),0)</f>
        <v>0</v>
      </c>
      <c r="X47" s="109">
        <f>SUM(Tbl_Budget[[#This Row],[10]:[12]])/$C$13</f>
        <v>1.7441860465116279E-2</v>
      </c>
    </row>
    <row r="48" spans="2:24" ht="21.6" customHeight="1" x14ac:dyDescent="0.25">
      <c r="B48" s="228" t="s">
        <v>164</v>
      </c>
      <c r="C48" s="229" t="s">
        <v>178</v>
      </c>
      <c r="D48" s="227" t="b">
        <v>1</v>
      </c>
      <c r="E48" s="100"/>
      <c r="F48" s="101" cm="1">
        <f t="array" ref="F48">IFERROR(INDEX(DB_tStat!$A$2:$DQ$111, _xlfn.XMATCH($F$20, DB_tStat!$A$2:$A$111, 0), _xlfn.XMATCH(Tbl_Budget[[#This Row],[Budget 관리단위]], DB_tStat!$A$1:$DQ$1, 0)),0)</f>
        <v>8.6850417132311626E-3</v>
      </c>
      <c r="G48" s="102">
        <f>Tbl_Budget[[#This Row],[유사회사 평균 비율]]*$C$9</f>
        <v>3.0223945162044448</v>
      </c>
      <c r="H48" s="110" t="s">
        <v>77</v>
      </c>
      <c r="I48" s="104">
        <f>_xlfn.XLOOKUP(Tbl_Budget[[#This Row],[Assignment]],Tbl_Members[이름],Tbl_Members[사번],0)</f>
        <v>340644</v>
      </c>
      <c r="J48" s="111">
        <v>6</v>
      </c>
      <c r="K48" s="112"/>
      <c r="L48" s="112"/>
      <c r="M48" s="112">
        <v>2</v>
      </c>
      <c r="N48" s="112"/>
      <c r="O48" s="112"/>
      <c r="P48" s="112">
        <v>2</v>
      </c>
      <c r="Q48" s="112"/>
      <c r="R48" s="112"/>
      <c r="S48" s="112">
        <v>2</v>
      </c>
      <c r="T48" s="112"/>
      <c r="U48" s="112"/>
      <c r="V48" s="113"/>
      <c r="W48" s="114">
        <f>IF(Tbl_Budget[[#This Row],[해당]]=TRUE,Tbl_Budget[[#This Row],[Budget 합계]]-SUM(Tbl_Budget[[#This Row],[1]:[12]]),0)</f>
        <v>0</v>
      </c>
      <c r="X48" s="109">
        <f>SUM(Tbl_Budget[[#This Row],[10]:[12]])/$C$13</f>
        <v>0</v>
      </c>
    </row>
    <row r="49" spans="2:24" ht="21.6" customHeight="1" x14ac:dyDescent="0.25">
      <c r="B49" s="228" t="s">
        <v>164</v>
      </c>
      <c r="C49" s="229" t="s">
        <v>179</v>
      </c>
      <c r="D49" s="227" t="b">
        <v>0</v>
      </c>
      <c r="E49" s="100"/>
      <c r="F49" s="101" cm="1">
        <f t="array" ref="F49">IFERROR(INDEX(DB_tStat!$A$2:$DQ$111, _xlfn.XMATCH($F$20, DB_tStat!$A$2:$A$111, 0), _xlfn.XMATCH(Tbl_Budget[[#This Row],[Budget 관리단위]], DB_tStat!$A$1:$DQ$1, 0)),0)</f>
        <v>8.25891515268482E-3</v>
      </c>
      <c r="G49" s="102">
        <f>Tbl_Budget[[#This Row],[유사회사 평균 비율]]*$C$9</f>
        <v>2.8741024731343172</v>
      </c>
      <c r="H49" s="110"/>
      <c r="I49" s="104">
        <f>_xlfn.XLOOKUP(Tbl_Budget[[#This Row],[Assignment]],Tbl_Members[이름],Tbl_Members[사번],0)</f>
        <v>0</v>
      </c>
      <c r="J49" s="111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3"/>
      <c r="W49" s="114">
        <f>IF(Tbl_Budget[[#This Row],[해당]]=TRUE,Tbl_Budget[[#This Row],[Budget 합계]]-SUM(Tbl_Budget[[#This Row],[1]:[12]]),0)</f>
        <v>0</v>
      </c>
      <c r="X49" s="109">
        <f>SUM(Tbl_Budget[[#This Row],[10]:[12]])/$C$13</f>
        <v>0</v>
      </c>
    </row>
    <row r="50" spans="2:24" ht="21.6" customHeight="1" x14ac:dyDescent="0.25">
      <c r="B50" s="228" t="s">
        <v>164</v>
      </c>
      <c r="C50" s="229" t="s">
        <v>180</v>
      </c>
      <c r="D50" s="227" t="b">
        <v>0</v>
      </c>
      <c r="E50" s="100"/>
      <c r="F50" s="101" cm="1">
        <f t="array" ref="F50">IFERROR(INDEX(DB_tStat!$A$2:$DQ$111, _xlfn.XMATCH($F$20, DB_tStat!$A$2:$A$111, 0), _xlfn.XMATCH(Tbl_Budget[[#This Row],[Budget 관리단위]], DB_tStat!$A$1:$DQ$1, 0)),0)</f>
        <v>1.0837807138124624E-2</v>
      </c>
      <c r="G50" s="102">
        <f>Tbl_Budget[[#This Row],[유사회사 평균 비율]]*$C$9</f>
        <v>3.7715568840673694</v>
      </c>
      <c r="H50" s="110"/>
      <c r="I50" s="104">
        <f>_xlfn.XLOOKUP(Tbl_Budget[[#This Row],[Assignment]],Tbl_Members[이름],Tbl_Members[사번],0)</f>
        <v>0</v>
      </c>
      <c r="J50" s="111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3"/>
      <c r="W50" s="114">
        <f>IF(Tbl_Budget[[#This Row],[해당]]=TRUE,Tbl_Budget[[#This Row],[Budget 합계]]-SUM(Tbl_Budget[[#This Row],[1]:[12]]),0)</f>
        <v>0</v>
      </c>
      <c r="X50" s="109">
        <f>SUM(Tbl_Budget[[#This Row],[10]:[12]])/$C$13</f>
        <v>0</v>
      </c>
    </row>
    <row r="51" spans="2:24" ht="21.6" customHeight="1" x14ac:dyDescent="0.25">
      <c r="B51" s="228" t="s">
        <v>164</v>
      </c>
      <c r="C51" s="229" t="s">
        <v>181</v>
      </c>
      <c r="D51" s="227" t="b">
        <v>0</v>
      </c>
      <c r="E51" s="100"/>
      <c r="F51" s="101" cm="1">
        <f t="array" ref="F51">IFERROR(INDEX(DB_tStat!$A$2:$DQ$111, _xlfn.XMATCH($F$20, DB_tStat!$A$2:$A$111, 0), _xlfn.XMATCH(Tbl_Budget[[#This Row],[Budget 관리단위]], DB_tStat!$A$1:$DQ$1, 0)),0)</f>
        <v>1.2329290005746226E-3</v>
      </c>
      <c r="G51" s="102">
        <f>Tbl_Budget[[#This Row],[유사회사 평균 비율]]*$C$9</f>
        <v>0.42905929219996869</v>
      </c>
      <c r="H51" s="110"/>
      <c r="I51" s="104">
        <f>_xlfn.XLOOKUP(Tbl_Budget[[#This Row],[Assignment]],Tbl_Members[이름],Tbl_Members[사번],0)</f>
        <v>0</v>
      </c>
      <c r="J51" s="111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3"/>
      <c r="W51" s="114">
        <f>IF(Tbl_Budget[[#This Row],[해당]]=TRUE,Tbl_Budget[[#This Row],[Budget 합계]]-SUM(Tbl_Budget[[#This Row],[1]:[12]]),0)</f>
        <v>0</v>
      </c>
      <c r="X51" s="109">
        <f>SUM(Tbl_Budget[[#This Row],[10]:[12]])/$C$13</f>
        <v>0</v>
      </c>
    </row>
    <row r="52" spans="2:24" ht="21.6" customHeight="1" x14ac:dyDescent="0.25">
      <c r="B52" s="228" t="s">
        <v>164</v>
      </c>
      <c r="C52" s="229" t="s">
        <v>182</v>
      </c>
      <c r="D52" s="227" t="b">
        <v>0</v>
      </c>
      <c r="E52" s="100"/>
      <c r="F52" s="101" cm="1">
        <f t="array" ref="F52">IFERROR(INDEX(DB_tStat!$A$2:$DQ$111, _xlfn.XMATCH($F$20, DB_tStat!$A$2:$A$111, 0), _xlfn.XMATCH(Tbl_Budget[[#This Row],[Budget 관리단위]], DB_tStat!$A$1:$DQ$1, 0)),0)</f>
        <v>2.5520106643939287E-3</v>
      </c>
      <c r="G52" s="102">
        <f>Tbl_Budget[[#This Row],[유사회사 평균 비율]]*$C$9</f>
        <v>0.88809971120908715</v>
      </c>
      <c r="H52" s="110"/>
      <c r="I52" s="104">
        <f>_xlfn.XLOOKUP(Tbl_Budget[[#This Row],[Assignment]],Tbl_Members[이름],Tbl_Members[사번],0)</f>
        <v>0</v>
      </c>
      <c r="J52" s="111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3"/>
      <c r="W52" s="114">
        <f>IF(Tbl_Budget[[#This Row],[해당]]=TRUE,Tbl_Budget[[#This Row],[Budget 합계]]-SUM(Tbl_Budget[[#This Row],[1]:[12]]),0)</f>
        <v>0</v>
      </c>
      <c r="X52" s="109">
        <f>SUM(Tbl_Budget[[#This Row],[10]:[12]])/$C$13</f>
        <v>0</v>
      </c>
    </row>
    <row r="53" spans="2:24" ht="21.6" customHeight="1" x14ac:dyDescent="0.25">
      <c r="B53" s="228" t="s">
        <v>164</v>
      </c>
      <c r="C53" s="229" t="s">
        <v>183</v>
      </c>
      <c r="D53" s="227" t="b">
        <v>0</v>
      </c>
      <c r="E53" s="100"/>
      <c r="F53" s="101" cm="1">
        <f t="array" ref="F53">IFERROR(INDEX(DB_tStat!$A$2:$DQ$111, _xlfn.XMATCH($F$20, DB_tStat!$A$2:$A$111, 0), _xlfn.XMATCH(Tbl_Budget[[#This Row],[Budget 관리단위]], DB_tStat!$A$1:$DQ$1, 0)),0)</f>
        <v>8.2015556129668623E-3</v>
      </c>
      <c r="G53" s="102">
        <f>Tbl_Budget[[#This Row],[유사회사 평균 비율]]*$C$9</f>
        <v>2.854141353312468</v>
      </c>
      <c r="H53" s="110"/>
      <c r="I53" s="104">
        <f>_xlfn.XLOOKUP(Tbl_Budget[[#This Row],[Assignment]],Tbl_Members[이름],Tbl_Members[사번],0)</f>
        <v>0</v>
      </c>
      <c r="J53" s="111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3"/>
      <c r="W53" s="114">
        <f>IF(Tbl_Budget[[#This Row],[해당]]=TRUE,Tbl_Budget[[#This Row],[Budget 합계]]-SUM(Tbl_Budget[[#This Row],[1]:[12]]),0)</f>
        <v>0</v>
      </c>
      <c r="X53" s="109">
        <f>SUM(Tbl_Budget[[#This Row],[10]:[12]])/$C$13</f>
        <v>0</v>
      </c>
    </row>
    <row r="54" spans="2:24" ht="21.6" customHeight="1" x14ac:dyDescent="0.25">
      <c r="B54" s="228" t="s">
        <v>164</v>
      </c>
      <c r="C54" s="229" t="s">
        <v>184</v>
      </c>
      <c r="D54" s="227" t="b">
        <v>0</v>
      </c>
      <c r="E54" s="100"/>
      <c r="F54" s="101" cm="1">
        <f t="array" ref="F54">IFERROR(INDEX(DB_tStat!$A$2:$DQ$111, _xlfn.XMATCH($F$20, DB_tStat!$A$2:$A$111, 0), _xlfn.XMATCH(Tbl_Budget[[#This Row],[Budget 관리단위]], DB_tStat!$A$1:$DQ$1, 0)),0)</f>
        <v>6.8097192989713517E-3</v>
      </c>
      <c r="G54" s="102">
        <f>Tbl_Budget[[#This Row],[유사회사 평균 비율]]*$C$9</f>
        <v>2.3697823160420306</v>
      </c>
      <c r="H54" s="110"/>
      <c r="I54" s="104">
        <f>_xlfn.XLOOKUP(Tbl_Budget[[#This Row],[Assignment]],Tbl_Members[이름],Tbl_Members[사번],0)</f>
        <v>0</v>
      </c>
      <c r="J54" s="111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3"/>
      <c r="W54" s="114">
        <f>IF(Tbl_Budget[[#This Row],[해당]]=TRUE,Tbl_Budget[[#This Row],[Budget 합계]]-SUM(Tbl_Budget[[#This Row],[1]:[12]]),0)</f>
        <v>0</v>
      </c>
      <c r="X54" s="109">
        <f>SUM(Tbl_Budget[[#This Row],[10]:[12]])/$C$13</f>
        <v>0</v>
      </c>
    </row>
    <row r="55" spans="2:24" ht="21.6" customHeight="1" x14ac:dyDescent="0.25">
      <c r="B55" s="228" t="s">
        <v>185</v>
      </c>
      <c r="C55" s="229" t="s">
        <v>186</v>
      </c>
      <c r="D55" s="227" t="b">
        <v>1</v>
      </c>
      <c r="E55" s="100"/>
      <c r="F55" s="101" cm="1">
        <f t="array" ref="F55">IFERROR(INDEX(DB_tStat!$A$2:$DQ$111, _xlfn.XMATCH($F$20, DB_tStat!$A$2:$A$111, 0), _xlfn.XMATCH(Tbl_Budget[[#This Row],[Budget 관리단위]], DB_tStat!$A$1:$DQ$1, 0)),0)</f>
        <v>1.055979205523719E-2</v>
      </c>
      <c r="G55" s="102">
        <f>Tbl_Budget[[#This Row],[유사회사 평균 비율]]*$C$9</f>
        <v>3.6748076352225421</v>
      </c>
      <c r="H55" s="110" t="s">
        <v>76</v>
      </c>
      <c r="I55" s="104">
        <f>_xlfn.XLOOKUP(Tbl_Budget[[#This Row],[Assignment]],Tbl_Members[이름],Tbl_Members[사번],0)</f>
        <v>330590</v>
      </c>
      <c r="J55" s="111">
        <v>8</v>
      </c>
      <c r="K55" s="112"/>
      <c r="L55" s="112"/>
      <c r="M55" s="112"/>
      <c r="N55" s="112"/>
      <c r="O55" s="112"/>
      <c r="P55" s="112"/>
      <c r="Q55" s="112"/>
      <c r="R55" s="112"/>
      <c r="S55" s="112">
        <v>2</v>
      </c>
      <c r="T55" s="112">
        <v>6</v>
      </c>
      <c r="U55" s="112"/>
      <c r="V55" s="113"/>
      <c r="W55" s="114">
        <f>IF(Tbl_Budget[[#This Row],[해당]]=TRUE,Tbl_Budget[[#This Row],[Budget 합계]]-SUM(Tbl_Budget[[#This Row],[1]:[12]]),0)</f>
        <v>0</v>
      </c>
      <c r="X55" s="109">
        <f>SUM(Tbl_Budget[[#This Row],[10]:[12]])/$C$13</f>
        <v>1.7441860465116279E-2</v>
      </c>
    </row>
    <row r="56" spans="2:24" ht="21.6" customHeight="1" x14ac:dyDescent="0.25">
      <c r="B56" s="228" t="s">
        <v>185</v>
      </c>
      <c r="C56" s="229" t="s">
        <v>187</v>
      </c>
      <c r="D56" s="227" t="b">
        <v>1</v>
      </c>
      <c r="E56" s="100"/>
      <c r="F56" s="101" cm="1">
        <f t="array" ref="F56">IFERROR(INDEX(DB_tStat!$A$2:$DQ$111, _xlfn.XMATCH($F$20, DB_tStat!$A$2:$A$111, 0), _xlfn.XMATCH(Tbl_Budget[[#This Row],[Budget 관리단위]], DB_tStat!$A$1:$DQ$1, 0)),0)</f>
        <v>6.4733973769065759E-3</v>
      </c>
      <c r="G56" s="102">
        <f>Tbl_Budget[[#This Row],[유사회사 평균 비율]]*$C$9</f>
        <v>2.2527422871634886</v>
      </c>
      <c r="H56" s="110" t="s">
        <v>76</v>
      </c>
      <c r="I56" s="104">
        <f>_xlfn.XLOOKUP(Tbl_Budget[[#This Row],[Assignment]],Tbl_Members[이름],Tbl_Members[사번],0)</f>
        <v>330590</v>
      </c>
      <c r="J56" s="111">
        <v>10</v>
      </c>
      <c r="K56" s="112"/>
      <c r="L56" s="112"/>
      <c r="M56" s="112"/>
      <c r="N56" s="112"/>
      <c r="O56" s="112"/>
      <c r="P56" s="112"/>
      <c r="Q56" s="112"/>
      <c r="R56" s="112"/>
      <c r="S56" s="112">
        <v>2</v>
      </c>
      <c r="T56" s="112">
        <v>8</v>
      </c>
      <c r="U56" s="112"/>
      <c r="V56" s="113"/>
      <c r="W56" s="114">
        <f>IF(Tbl_Budget[[#This Row],[해당]]=TRUE,Tbl_Budget[[#This Row],[Budget 합계]]-SUM(Tbl_Budget[[#This Row],[1]:[12]]),0)</f>
        <v>0</v>
      </c>
      <c r="X56" s="109">
        <f>SUM(Tbl_Budget[[#This Row],[10]:[12]])/$C$13</f>
        <v>2.3255813953488372E-2</v>
      </c>
    </row>
    <row r="57" spans="2:24" ht="21.6" customHeight="1" x14ac:dyDescent="0.25">
      <c r="B57" s="228" t="s">
        <v>185</v>
      </c>
      <c r="C57" s="229" t="s">
        <v>188</v>
      </c>
      <c r="D57" s="227" t="b">
        <v>1</v>
      </c>
      <c r="E57" s="100"/>
      <c r="F57" s="101" cm="1">
        <f t="array" ref="F57">IFERROR(INDEX(DB_tStat!$A$2:$DQ$111, _xlfn.XMATCH($F$20, DB_tStat!$A$2:$A$111, 0), _xlfn.XMATCH(Tbl_Budget[[#This Row],[Budget 관리단위]], DB_tStat!$A$1:$DQ$1, 0)),0)</f>
        <v>1.7128412718993367E-2</v>
      </c>
      <c r="G57" s="102">
        <f>Tbl_Budget[[#This Row],[유사회사 평균 비율]]*$C$9</f>
        <v>5.9606876262096922</v>
      </c>
      <c r="H57" s="110" t="s">
        <v>76</v>
      </c>
      <c r="I57" s="104">
        <f>_xlfn.XLOOKUP(Tbl_Budget[[#This Row],[Assignment]],Tbl_Members[이름],Tbl_Members[사번],0)</f>
        <v>330590</v>
      </c>
      <c r="J57" s="111">
        <v>10</v>
      </c>
      <c r="K57" s="112"/>
      <c r="L57" s="112"/>
      <c r="M57" s="112"/>
      <c r="N57" s="112"/>
      <c r="O57" s="112"/>
      <c r="P57" s="112">
        <v>1</v>
      </c>
      <c r="Q57" s="112"/>
      <c r="R57" s="112"/>
      <c r="S57" s="112">
        <v>1</v>
      </c>
      <c r="T57" s="112">
        <v>8</v>
      </c>
      <c r="U57" s="112"/>
      <c r="V57" s="113"/>
      <c r="W57" s="114">
        <f>IF(Tbl_Budget[[#This Row],[해당]]=TRUE,Tbl_Budget[[#This Row],[Budget 합계]]-SUM(Tbl_Budget[[#This Row],[1]:[12]]),0)</f>
        <v>0</v>
      </c>
      <c r="X57" s="109">
        <f>SUM(Tbl_Budget[[#This Row],[10]:[12]])/$C$13</f>
        <v>2.3255813953488372E-2</v>
      </c>
    </row>
    <row r="58" spans="2:24" ht="21.6" customHeight="1" x14ac:dyDescent="0.25">
      <c r="B58" s="228" t="s">
        <v>185</v>
      </c>
      <c r="C58" s="229" t="s">
        <v>189</v>
      </c>
      <c r="D58" s="227" t="b">
        <v>1</v>
      </c>
      <c r="E58" s="100"/>
      <c r="F58" s="101" cm="1">
        <f t="array" ref="F58">IFERROR(INDEX(DB_tStat!$A$2:$DQ$111, _xlfn.XMATCH($F$20, DB_tStat!$A$2:$A$111, 0), _xlfn.XMATCH(Tbl_Budget[[#This Row],[Budget 관리단위]], DB_tStat!$A$1:$DQ$1, 0)),0)</f>
        <v>1.1383653864586837E-2</v>
      </c>
      <c r="G58" s="102">
        <f>Tbl_Budget[[#This Row],[유사회사 평균 비율]]*$C$9</f>
        <v>3.961511544876219</v>
      </c>
      <c r="H58" s="110" t="s">
        <v>75</v>
      </c>
      <c r="I58" s="104">
        <f>_xlfn.XLOOKUP(Tbl_Budget[[#This Row],[Assignment]],Tbl_Members[이름],Tbl_Members[사번],0)</f>
        <v>310625</v>
      </c>
      <c r="J58" s="111">
        <v>4</v>
      </c>
      <c r="K58" s="112"/>
      <c r="L58" s="112"/>
      <c r="M58" s="112"/>
      <c r="N58" s="112"/>
      <c r="O58" s="112"/>
      <c r="P58" s="112"/>
      <c r="Q58" s="112"/>
      <c r="R58" s="112"/>
      <c r="S58" s="112"/>
      <c r="T58" s="112">
        <v>4</v>
      </c>
      <c r="U58" s="112"/>
      <c r="V58" s="113"/>
      <c r="W58" s="114">
        <f>IF(Tbl_Budget[[#This Row],[해당]]=TRUE,Tbl_Budget[[#This Row],[Budget 합계]]-SUM(Tbl_Budget[[#This Row],[1]:[12]]),0)</f>
        <v>0</v>
      </c>
      <c r="X58" s="109">
        <f>SUM(Tbl_Budget[[#This Row],[10]:[12]])/$C$13</f>
        <v>1.1627906976744186E-2</v>
      </c>
    </row>
    <row r="59" spans="2:24" ht="21.6" customHeight="1" x14ac:dyDescent="0.25">
      <c r="B59" s="228" t="s">
        <v>185</v>
      </c>
      <c r="C59" s="229" t="s">
        <v>190</v>
      </c>
      <c r="D59" s="227" t="b">
        <v>1</v>
      </c>
      <c r="E59" s="100"/>
      <c r="F59" s="101" cm="1">
        <f t="array" ref="F59">IFERROR(INDEX(DB_tStat!$A$2:$DQ$111, _xlfn.XMATCH($F$20, DB_tStat!$A$2:$A$111, 0), _xlfn.XMATCH(Tbl_Budget[[#This Row],[Budget 관리단위]], DB_tStat!$A$1:$DQ$1, 0)),0)</f>
        <v>1.2129180010214796E-2</v>
      </c>
      <c r="G59" s="102">
        <f>Tbl_Budget[[#This Row],[유사회사 평균 비율]]*$C$9</f>
        <v>4.2209546435547489</v>
      </c>
      <c r="H59" s="110" t="s">
        <v>77</v>
      </c>
      <c r="I59" s="104">
        <f>_xlfn.XLOOKUP(Tbl_Budget[[#This Row],[Assignment]],Tbl_Members[이름],Tbl_Members[사번],0)</f>
        <v>340644</v>
      </c>
      <c r="J59" s="111">
        <v>10</v>
      </c>
      <c r="K59" s="112"/>
      <c r="L59" s="112"/>
      <c r="M59" s="112"/>
      <c r="N59" s="112"/>
      <c r="O59" s="112"/>
      <c r="P59" s="112"/>
      <c r="Q59" s="112"/>
      <c r="R59" s="112"/>
      <c r="S59" s="112"/>
      <c r="T59" s="112">
        <v>10</v>
      </c>
      <c r="U59" s="112"/>
      <c r="V59" s="113"/>
      <c r="W59" s="114">
        <f>IF(Tbl_Budget[[#This Row],[해당]]=TRUE,Tbl_Budget[[#This Row],[Budget 합계]]-SUM(Tbl_Budget[[#This Row],[1]:[12]]),0)</f>
        <v>0</v>
      </c>
      <c r="X59" s="109">
        <f>SUM(Tbl_Budget[[#This Row],[10]:[12]])/$C$13</f>
        <v>2.9069767441860465E-2</v>
      </c>
    </row>
    <row r="60" spans="2:24" ht="21.6" customHeight="1" x14ac:dyDescent="0.25">
      <c r="B60" s="228" t="s">
        <v>185</v>
      </c>
      <c r="C60" s="229" t="s">
        <v>191</v>
      </c>
      <c r="D60" s="227" t="b">
        <v>0</v>
      </c>
      <c r="E60" s="100"/>
      <c r="F60" s="101" cm="1">
        <f t="array" ref="F60">IFERROR(INDEX(DB_tStat!$A$2:$DQ$111, _xlfn.XMATCH($F$20, DB_tStat!$A$2:$A$111, 0), _xlfn.XMATCH(Tbl_Budget[[#This Row],[Budget 관리단위]], DB_tStat!$A$1:$DQ$1, 0)),0)</f>
        <v>3.1356697622085428E-2</v>
      </c>
      <c r="G60" s="102">
        <f>Tbl_Budget[[#This Row],[유사회사 평균 비율]]*$C$9</f>
        <v>10.912130772485728</v>
      </c>
      <c r="H60" s="110"/>
      <c r="I60" s="104">
        <f>_xlfn.XLOOKUP(Tbl_Budget[[#This Row],[Assignment]],Tbl_Members[이름],Tbl_Members[사번],0)</f>
        <v>0</v>
      </c>
      <c r="J60" s="111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3"/>
      <c r="W60" s="114">
        <f>IF(Tbl_Budget[[#This Row],[해당]]=TRUE,Tbl_Budget[[#This Row],[Budget 합계]]-SUM(Tbl_Budget[[#This Row],[1]:[12]]),0)</f>
        <v>0</v>
      </c>
      <c r="X60" s="109">
        <f>SUM(Tbl_Budget[[#This Row],[10]:[12]])/$C$13</f>
        <v>0</v>
      </c>
    </row>
    <row r="61" spans="2:24" ht="21.6" customHeight="1" x14ac:dyDescent="0.25">
      <c r="B61" s="228" t="s">
        <v>185</v>
      </c>
      <c r="C61" s="229" t="s">
        <v>192</v>
      </c>
      <c r="D61" s="227" t="b">
        <v>0</v>
      </c>
      <c r="E61" s="100"/>
      <c r="F61" s="101" cm="1">
        <f t="array" ref="F61">IFERROR(INDEX(DB_tStat!$A$2:$DQ$111, _xlfn.XMATCH($F$20, DB_tStat!$A$2:$A$111, 0), _xlfn.XMATCH(Tbl_Budget[[#This Row],[Budget 관리단위]], DB_tStat!$A$1:$DQ$1, 0)),0)</f>
        <v>6.9656122735603752E-3</v>
      </c>
      <c r="G61" s="102">
        <f>Tbl_Budget[[#This Row],[유사회사 평균 비율]]*$C$9</f>
        <v>2.4240330711990108</v>
      </c>
      <c r="H61" s="110"/>
      <c r="I61" s="104">
        <f>_xlfn.XLOOKUP(Tbl_Budget[[#This Row],[Assignment]],Tbl_Members[이름],Tbl_Members[사번],0)</f>
        <v>0</v>
      </c>
      <c r="J61" s="111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3"/>
      <c r="W61" s="114">
        <f>IF(Tbl_Budget[[#This Row],[해당]]=TRUE,Tbl_Budget[[#This Row],[Budget 합계]]-SUM(Tbl_Budget[[#This Row],[1]:[12]]),0)</f>
        <v>0</v>
      </c>
      <c r="X61" s="109">
        <f>SUM(Tbl_Budget[[#This Row],[10]:[12]])/$C$13</f>
        <v>0</v>
      </c>
    </row>
    <row r="62" spans="2:24" ht="21.6" customHeight="1" x14ac:dyDescent="0.25">
      <c r="B62" s="228" t="s">
        <v>185</v>
      </c>
      <c r="C62" s="229" t="s">
        <v>193</v>
      </c>
      <c r="D62" s="227" t="b">
        <v>0</v>
      </c>
      <c r="E62" s="100"/>
      <c r="F62" s="101" cm="1">
        <f t="array" ref="F62">IFERROR(INDEX(DB_tStat!$A$2:$DQ$111, _xlfn.XMATCH($F$20, DB_tStat!$A$2:$A$111, 0), _xlfn.XMATCH(Tbl_Budget[[#This Row],[Budget 관리단위]], DB_tStat!$A$1:$DQ$1, 0)),0)</f>
        <v>0</v>
      </c>
      <c r="G62" s="102">
        <f>Tbl_Budget[[#This Row],[유사회사 평균 비율]]*$C$9</f>
        <v>0</v>
      </c>
      <c r="H62" s="110"/>
      <c r="I62" s="104">
        <f>_xlfn.XLOOKUP(Tbl_Budget[[#This Row],[Assignment]],Tbl_Members[이름],Tbl_Members[사번],0)</f>
        <v>0</v>
      </c>
      <c r="J62" s="111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3"/>
      <c r="W62" s="114">
        <f>IF(Tbl_Budget[[#This Row],[해당]]=TRUE,Tbl_Budget[[#This Row],[Budget 합계]]-SUM(Tbl_Budget[[#This Row],[1]:[12]]),0)</f>
        <v>0</v>
      </c>
      <c r="X62" s="109">
        <f>SUM(Tbl_Budget[[#This Row],[10]:[12]])/$C$13</f>
        <v>0</v>
      </c>
    </row>
    <row r="63" spans="2:24" ht="21.6" customHeight="1" x14ac:dyDescent="0.25">
      <c r="B63" s="228" t="s">
        <v>185</v>
      </c>
      <c r="C63" s="229" t="s">
        <v>194</v>
      </c>
      <c r="D63" s="227" t="b">
        <v>0</v>
      </c>
      <c r="E63" s="100"/>
      <c r="F63" s="101" cm="1">
        <f t="array" ref="F63">IFERROR(INDEX(DB_tStat!$A$2:$DQ$111, _xlfn.XMATCH($F$20, DB_tStat!$A$2:$A$111, 0), _xlfn.XMATCH(Tbl_Budget[[#This Row],[Budget 관리단위]], DB_tStat!$A$1:$DQ$1, 0)),0)</f>
        <v>6.3020566234822141E-3</v>
      </c>
      <c r="G63" s="102">
        <f>Tbl_Budget[[#This Row],[유사회사 평균 비율]]*$C$9</f>
        <v>2.1931157049718104</v>
      </c>
      <c r="H63" s="110"/>
      <c r="I63" s="104">
        <f>_xlfn.XLOOKUP(Tbl_Budget[[#This Row],[Assignment]],Tbl_Members[이름],Tbl_Members[사번],0)</f>
        <v>0</v>
      </c>
      <c r="J63" s="111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3"/>
      <c r="W63" s="114">
        <f>IF(Tbl_Budget[[#This Row],[해당]]=TRUE,Tbl_Budget[[#This Row],[Budget 합계]]-SUM(Tbl_Budget[[#This Row],[1]:[12]]),0)</f>
        <v>0</v>
      </c>
      <c r="X63" s="109">
        <f>SUM(Tbl_Budget[[#This Row],[10]:[12]])/$C$13</f>
        <v>0</v>
      </c>
    </row>
    <row r="64" spans="2:24" ht="21.6" customHeight="1" x14ac:dyDescent="0.25">
      <c r="B64" s="228" t="s">
        <v>185</v>
      </c>
      <c r="C64" s="229" t="s">
        <v>195</v>
      </c>
      <c r="D64" s="227" t="b">
        <v>1</v>
      </c>
      <c r="E64" s="100"/>
      <c r="F64" s="101" cm="1">
        <f t="array" ref="F64">IFERROR(INDEX(DB_tStat!$A$2:$DQ$111, _xlfn.XMATCH($F$20, DB_tStat!$A$2:$A$111, 0), _xlfn.XMATCH(Tbl_Budget[[#This Row],[Budget 관리단위]], DB_tStat!$A$1:$DQ$1, 0)),0)</f>
        <v>3.9014529733246263E-3</v>
      </c>
      <c r="G64" s="102">
        <f>Tbl_Budget[[#This Row],[유사회사 평균 비율]]*$C$9</f>
        <v>1.35770563471697</v>
      </c>
      <c r="H64" s="110" t="s">
        <v>75</v>
      </c>
      <c r="I64" s="104">
        <f>_xlfn.XLOOKUP(Tbl_Budget[[#This Row],[Assignment]],Tbl_Members[이름],Tbl_Members[사번],0)</f>
        <v>310625</v>
      </c>
      <c r="J64" s="111">
        <v>16</v>
      </c>
      <c r="K64" s="112"/>
      <c r="L64" s="112"/>
      <c r="M64" s="112"/>
      <c r="N64" s="112"/>
      <c r="O64" s="112"/>
      <c r="P64" s="112"/>
      <c r="Q64" s="112"/>
      <c r="R64" s="112"/>
      <c r="S64" s="112">
        <v>8</v>
      </c>
      <c r="T64" s="112">
        <v>8</v>
      </c>
      <c r="U64" s="112"/>
      <c r="V64" s="113"/>
      <c r="W64" s="114">
        <f>IF(Tbl_Budget[[#This Row],[해당]]=TRUE,Tbl_Budget[[#This Row],[Budget 합계]]-SUM(Tbl_Budget[[#This Row],[1]:[12]]),0)</f>
        <v>0</v>
      </c>
      <c r="X64" s="109">
        <f>SUM(Tbl_Budget[[#This Row],[10]:[12]])/$C$13</f>
        <v>2.3255813953488372E-2</v>
      </c>
    </row>
    <row r="65" spans="2:24" ht="21.6" customHeight="1" x14ac:dyDescent="0.25">
      <c r="B65" s="228" t="s">
        <v>185</v>
      </c>
      <c r="C65" s="229" t="s">
        <v>196</v>
      </c>
      <c r="D65" s="227" t="b">
        <v>1</v>
      </c>
      <c r="E65" s="100"/>
      <c r="F65" s="101" cm="1">
        <f t="array" ref="F65">IFERROR(INDEX(DB_tStat!$A$2:$DQ$111, _xlfn.XMATCH($F$20, DB_tStat!$A$2:$A$111, 0), _xlfn.XMATCH(Tbl_Budget[[#This Row],[Budget 관리단위]], DB_tStat!$A$1:$DQ$1, 0)),0)</f>
        <v>1.9082533144142228E-2</v>
      </c>
      <c r="G65" s="102">
        <f>Tbl_Budget[[#This Row],[유사회사 평균 비율]]*$C$9</f>
        <v>6.6407215341614956</v>
      </c>
      <c r="H65" s="110" t="s">
        <v>77</v>
      </c>
      <c r="I65" s="104">
        <f>_xlfn.XLOOKUP(Tbl_Budget[[#This Row],[Assignment]],Tbl_Members[이름],Tbl_Members[사번],0)</f>
        <v>340644</v>
      </c>
      <c r="J65" s="111">
        <v>12</v>
      </c>
      <c r="K65" s="112"/>
      <c r="L65" s="112"/>
      <c r="M65" s="112">
        <v>3</v>
      </c>
      <c r="N65" s="112"/>
      <c r="O65" s="112"/>
      <c r="P65" s="112">
        <v>3</v>
      </c>
      <c r="Q65" s="112"/>
      <c r="R65" s="112"/>
      <c r="S65" s="112">
        <v>3</v>
      </c>
      <c r="T65" s="112">
        <v>3</v>
      </c>
      <c r="U65" s="112"/>
      <c r="V65" s="113"/>
      <c r="W65" s="114">
        <f>IF(Tbl_Budget[[#This Row],[해당]]=TRUE,Tbl_Budget[[#This Row],[Budget 합계]]-SUM(Tbl_Budget[[#This Row],[1]:[12]]),0)</f>
        <v>0</v>
      </c>
      <c r="X65" s="109">
        <f>SUM(Tbl_Budget[[#This Row],[10]:[12]])/$C$13</f>
        <v>8.7209302325581394E-3</v>
      </c>
    </row>
    <row r="66" spans="2:24" ht="21.6" customHeight="1" x14ac:dyDescent="0.25">
      <c r="B66" s="228" t="s">
        <v>185</v>
      </c>
      <c r="C66" s="229" t="s">
        <v>197</v>
      </c>
      <c r="D66" s="227" t="b">
        <v>1</v>
      </c>
      <c r="E66" s="100"/>
      <c r="F66" s="101" cm="1">
        <f t="array" ref="F66">IFERROR(INDEX(DB_tStat!$A$2:$DQ$111, _xlfn.XMATCH($F$20, DB_tStat!$A$2:$A$111, 0), _xlfn.XMATCH(Tbl_Budget[[#This Row],[Budget 관리단위]], DB_tStat!$A$1:$DQ$1, 0)),0)</f>
        <v>1.7623203835949557E-2</v>
      </c>
      <c r="G66" s="102">
        <f>Tbl_Budget[[#This Row],[유사회사 평균 비율]]*$C$9</f>
        <v>6.1328749349104461</v>
      </c>
      <c r="H66" s="110" t="s">
        <v>77</v>
      </c>
      <c r="I66" s="104">
        <f>_xlfn.XLOOKUP(Tbl_Budget[[#This Row],[Assignment]],Tbl_Members[이름],Tbl_Members[사번],0)</f>
        <v>340644</v>
      </c>
      <c r="J66" s="111">
        <v>16</v>
      </c>
      <c r="K66" s="112"/>
      <c r="L66" s="112"/>
      <c r="M66" s="112"/>
      <c r="N66" s="112"/>
      <c r="O66" s="112"/>
      <c r="P66" s="112"/>
      <c r="Q66" s="112"/>
      <c r="R66" s="112"/>
      <c r="S66" s="112">
        <v>6</v>
      </c>
      <c r="T66" s="112">
        <v>10</v>
      </c>
      <c r="U66" s="112"/>
      <c r="V66" s="113"/>
      <c r="W66" s="114">
        <f>IF(Tbl_Budget[[#This Row],[해당]]=TRUE,Tbl_Budget[[#This Row],[Budget 합계]]-SUM(Tbl_Budget[[#This Row],[1]:[12]]),0)</f>
        <v>0</v>
      </c>
      <c r="X66" s="109">
        <f>SUM(Tbl_Budget[[#This Row],[10]:[12]])/$C$13</f>
        <v>2.9069767441860465E-2</v>
      </c>
    </row>
    <row r="67" spans="2:24" ht="21.6" customHeight="1" x14ac:dyDescent="0.25">
      <c r="B67" s="228" t="s">
        <v>185</v>
      </c>
      <c r="C67" s="229" t="s">
        <v>198</v>
      </c>
      <c r="D67" s="227" t="b">
        <v>0</v>
      </c>
      <c r="E67" s="100"/>
      <c r="F67" s="101" cm="1">
        <f t="array" ref="F67">IFERROR(INDEX(DB_tStat!$A$2:$DQ$111, _xlfn.XMATCH($F$20, DB_tStat!$A$2:$A$111, 0), _xlfn.XMATCH(Tbl_Budget[[#This Row],[Budget 관리단위]], DB_tStat!$A$1:$DQ$1, 0)),0)</f>
        <v>5.5274830734495326E-3</v>
      </c>
      <c r="G67" s="102">
        <f>Tbl_Budget[[#This Row],[유사회사 평균 비율]]*$C$9</f>
        <v>1.9235641095604374</v>
      </c>
      <c r="H67" s="110"/>
      <c r="I67" s="104">
        <f>_xlfn.XLOOKUP(Tbl_Budget[[#This Row],[Assignment]],Tbl_Members[이름],Tbl_Members[사번],0)</f>
        <v>0</v>
      </c>
      <c r="J67" s="111"/>
      <c r="K67" s="112"/>
      <c r="L67" s="112"/>
      <c r="M67" s="112"/>
      <c r="N67" s="112"/>
      <c r="O67" s="112"/>
      <c r="P67" s="112"/>
      <c r="Q67" s="112"/>
      <c r="R67" s="112"/>
      <c r="S67" s="112"/>
      <c r="T67" s="112">
        <v>4</v>
      </c>
      <c r="U67" s="112"/>
      <c r="V67" s="113"/>
      <c r="W67" s="114">
        <f>IF(Tbl_Budget[[#This Row],[해당]]=TRUE,Tbl_Budget[[#This Row],[Budget 합계]]-SUM(Tbl_Budget[[#This Row],[1]:[12]]),0)</f>
        <v>0</v>
      </c>
      <c r="X67" s="109">
        <f>SUM(Tbl_Budget[[#This Row],[10]:[12]])/$C$13</f>
        <v>1.1627906976744186E-2</v>
      </c>
    </row>
    <row r="68" spans="2:24" ht="21.6" customHeight="1" x14ac:dyDescent="0.25">
      <c r="B68" s="228" t="s">
        <v>185</v>
      </c>
      <c r="C68" s="229" t="s">
        <v>199</v>
      </c>
      <c r="D68" s="227" t="b">
        <v>0</v>
      </c>
      <c r="E68" s="100"/>
      <c r="F68" s="101" cm="1">
        <f t="array" ref="F68">IFERROR(INDEX(DB_tStat!$A$2:$DQ$111, _xlfn.XMATCH($F$20, DB_tStat!$A$2:$A$111, 0), _xlfn.XMATCH(Tbl_Budget[[#This Row],[Budget 관리단위]], DB_tStat!$A$1:$DQ$1, 0)),0)</f>
        <v>7.9814335466938408E-3</v>
      </c>
      <c r="G68" s="102">
        <f>Tbl_Budget[[#This Row],[유사회사 평균 비율]]*$C$9</f>
        <v>2.7775388742494567</v>
      </c>
      <c r="H68" s="110"/>
      <c r="I68" s="104">
        <f>_xlfn.XLOOKUP(Tbl_Budget[[#This Row],[Assignment]],Tbl_Members[이름],Tbl_Members[사번],0)</f>
        <v>0</v>
      </c>
      <c r="J68" s="111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3"/>
      <c r="W68" s="114">
        <f>IF(Tbl_Budget[[#This Row],[해당]]=TRUE,Tbl_Budget[[#This Row],[Budget 합계]]-SUM(Tbl_Budget[[#This Row],[1]:[12]]),0)</f>
        <v>0</v>
      </c>
      <c r="X68" s="109">
        <f>SUM(Tbl_Budget[[#This Row],[10]:[12]])/$C$13</f>
        <v>0</v>
      </c>
    </row>
    <row r="69" spans="2:24" ht="21.6" customHeight="1" x14ac:dyDescent="0.25">
      <c r="B69" s="228" t="s">
        <v>200</v>
      </c>
      <c r="C69" s="229" t="s">
        <v>201</v>
      </c>
      <c r="D69" s="227" t="b">
        <v>1</v>
      </c>
      <c r="E69" s="100"/>
      <c r="F69" s="101" cm="1">
        <f t="array" ref="F69">IFERROR(INDEX(DB_tStat!$A$2:$DQ$111, _xlfn.XMATCH($F$20, DB_tStat!$A$2:$A$111, 0), _xlfn.XMATCH(Tbl_Budget[[#This Row],[Budget 관리단위]], DB_tStat!$A$1:$DQ$1, 0)),0)</f>
        <v>2.8671518694038785E-2</v>
      </c>
      <c r="G69" s="102">
        <f>Tbl_Budget[[#This Row],[유사회사 평균 비율]]*$C$9</f>
        <v>9.9776885055254976</v>
      </c>
      <c r="H69" s="110" t="s">
        <v>75</v>
      </c>
      <c r="I69" s="104">
        <f>_xlfn.XLOOKUP(Tbl_Budget[[#This Row],[Assignment]],Tbl_Members[이름],Tbl_Members[사번],0)</f>
        <v>310625</v>
      </c>
      <c r="J69" s="111">
        <v>12</v>
      </c>
      <c r="K69" s="112"/>
      <c r="L69" s="112"/>
      <c r="M69" s="112"/>
      <c r="N69" s="112"/>
      <c r="O69" s="112"/>
      <c r="P69" s="112">
        <v>4</v>
      </c>
      <c r="Q69" s="112"/>
      <c r="R69" s="112"/>
      <c r="S69" s="112">
        <v>4</v>
      </c>
      <c r="T69" s="112"/>
      <c r="U69" s="112">
        <v>4</v>
      </c>
      <c r="V69" s="113"/>
      <c r="W69" s="114">
        <f>IF(Tbl_Budget[[#This Row],[해당]]=TRUE,Tbl_Budget[[#This Row],[Budget 합계]]-SUM(Tbl_Budget[[#This Row],[1]:[12]]),0)</f>
        <v>0</v>
      </c>
      <c r="X69" s="109">
        <f>SUM(Tbl_Budget[[#This Row],[10]:[12]])/$C$13</f>
        <v>1.1627906976744186E-2</v>
      </c>
    </row>
    <row r="70" spans="2:24" ht="21.6" customHeight="1" x14ac:dyDescent="0.25">
      <c r="B70" s="228" t="s">
        <v>200</v>
      </c>
      <c r="C70" s="229" t="s">
        <v>202</v>
      </c>
      <c r="D70" s="227" t="b">
        <v>1</v>
      </c>
      <c r="E70" s="100"/>
      <c r="F70" s="101" cm="1">
        <f t="array" ref="F70">IFERROR(INDEX(DB_tStat!$A$2:$DQ$111, _xlfn.XMATCH($F$20, DB_tStat!$A$2:$A$111, 0), _xlfn.XMATCH(Tbl_Budget[[#This Row],[Budget 관리단위]], DB_tStat!$A$1:$DQ$1, 0)),0)</f>
        <v>3.1192314582334998E-2</v>
      </c>
      <c r="G70" s="102">
        <f>Tbl_Budget[[#This Row],[유사회사 평균 비율]]*$C$9</f>
        <v>10.85492547465258</v>
      </c>
      <c r="H70" s="110" t="s">
        <v>75</v>
      </c>
      <c r="I70" s="104">
        <f>_xlfn.XLOOKUP(Tbl_Budget[[#This Row],[Assignment]],Tbl_Members[이름],Tbl_Members[사번],0)</f>
        <v>310625</v>
      </c>
      <c r="J70" s="111">
        <v>24</v>
      </c>
      <c r="K70" s="112"/>
      <c r="L70" s="112"/>
      <c r="M70" s="112">
        <v>8</v>
      </c>
      <c r="N70" s="112"/>
      <c r="O70" s="112"/>
      <c r="P70" s="112">
        <v>8</v>
      </c>
      <c r="Q70" s="112"/>
      <c r="R70" s="112"/>
      <c r="S70" s="112">
        <v>8</v>
      </c>
      <c r="T70" s="112"/>
      <c r="U70" s="112"/>
      <c r="V70" s="113"/>
      <c r="W70" s="114">
        <f>IF(Tbl_Budget[[#This Row],[해당]]=TRUE,Tbl_Budget[[#This Row],[Budget 합계]]-SUM(Tbl_Budget[[#This Row],[1]:[12]]),0)</f>
        <v>0</v>
      </c>
      <c r="X70" s="109">
        <f>SUM(Tbl_Budget[[#This Row],[10]:[12]])/$C$13</f>
        <v>0</v>
      </c>
    </row>
    <row r="71" spans="2:24" ht="21.6" customHeight="1" x14ac:dyDescent="0.25">
      <c r="B71" s="228" t="s">
        <v>200</v>
      </c>
      <c r="C71" s="229" t="s">
        <v>203</v>
      </c>
      <c r="D71" s="227" t="b">
        <v>1</v>
      </c>
      <c r="E71" s="100"/>
      <c r="F71" s="101" cm="1">
        <f t="array" ref="F71">IFERROR(INDEX(DB_tStat!$A$2:$DQ$111, _xlfn.XMATCH($F$20, DB_tStat!$A$2:$A$111, 0), _xlfn.XMATCH(Tbl_Budget[[#This Row],[Budget 관리단위]], DB_tStat!$A$1:$DQ$1, 0)),0)</f>
        <v>1.0982566459306994E-2</v>
      </c>
      <c r="G71" s="102">
        <f>Tbl_Budget[[#This Row],[유사회사 평균 비율]]*$C$9</f>
        <v>3.8219331278388342</v>
      </c>
      <c r="H71" s="110" t="s">
        <v>75</v>
      </c>
      <c r="I71" s="104">
        <f>_xlfn.XLOOKUP(Tbl_Budget[[#This Row],[Assignment]],Tbl_Members[이름],Tbl_Members[사번],0)</f>
        <v>310625</v>
      </c>
      <c r="J71" s="111">
        <v>4</v>
      </c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>
        <v>4</v>
      </c>
      <c r="V71" s="113"/>
      <c r="W71" s="114">
        <f>IF(Tbl_Budget[[#This Row],[해당]]=TRUE,Tbl_Budget[[#This Row],[Budget 합계]]-SUM(Tbl_Budget[[#This Row],[1]:[12]]),0)</f>
        <v>0</v>
      </c>
      <c r="X71" s="109">
        <f>SUM(Tbl_Budget[[#This Row],[10]:[12]])/$C$13</f>
        <v>1.1627906976744186E-2</v>
      </c>
    </row>
    <row r="72" spans="2:24" ht="21.6" customHeight="1" x14ac:dyDescent="0.25">
      <c r="B72" s="228" t="s">
        <v>200</v>
      </c>
      <c r="C72" s="229" t="s">
        <v>204</v>
      </c>
      <c r="D72" s="227" t="b">
        <v>0</v>
      </c>
      <c r="E72" s="100"/>
      <c r="F72" s="101" cm="1">
        <f t="array" ref="F72">IFERROR(INDEX(DB_tStat!$A$2:$DQ$111, _xlfn.XMATCH($F$20, DB_tStat!$A$2:$A$111, 0), _xlfn.XMATCH(Tbl_Budget[[#This Row],[Budget 관리단위]], DB_tStat!$A$1:$DQ$1, 0)),0)</f>
        <v>2.673830693970332E-3</v>
      </c>
      <c r="G72" s="102">
        <f>Tbl_Budget[[#This Row],[유사회사 평균 비율]]*$C$9</f>
        <v>0.93049308150167553</v>
      </c>
      <c r="H72" s="110"/>
      <c r="I72" s="104">
        <f>_xlfn.XLOOKUP(Tbl_Budget[[#This Row],[Assignment]],Tbl_Members[이름],Tbl_Members[사번],0)</f>
        <v>0</v>
      </c>
      <c r="J72" s="111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3"/>
      <c r="W72" s="114">
        <f>IF(Tbl_Budget[[#This Row],[해당]]=TRUE,Tbl_Budget[[#This Row],[Budget 합계]]-SUM(Tbl_Budget[[#This Row],[1]:[12]]),0)</f>
        <v>0</v>
      </c>
      <c r="X72" s="109">
        <f>SUM(Tbl_Budget[[#This Row],[10]:[12]])/$C$13</f>
        <v>0</v>
      </c>
    </row>
    <row r="73" spans="2:24" ht="21.6" customHeight="1" x14ac:dyDescent="0.25">
      <c r="B73" s="228" t="s">
        <v>200</v>
      </c>
      <c r="C73" s="229" t="s">
        <v>205</v>
      </c>
      <c r="D73" s="227" t="b">
        <v>1</v>
      </c>
      <c r="E73" s="100"/>
      <c r="F73" s="101" cm="1">
        <f t="array" ref="F73">IFERROR(INDEX(DB_tStat!$A$2:$DQ$111, _xlfn.XMATCH($F$20, DB_tStat!$A$2:$A$111, 0), _xlfn.XMATCH(Tbl_Budget[[#This Row],[Budget 관리단위]], DB_tStat!$A$1:$DQ$1, 0)),0)</f>
        <v>1.2852329997909815E-2</v>
      </c>
      <c r="G73" s="102">
        <f>Tbl_Budget[[#This Row],[유사회사 평균 비율]]*$C$9</f>
        <v>4.4726108392726154</v>
      </c>
      <c r="H73" s="110" t="s">
        <v>76</v>
      </c>
      <c r="I73" s="104">
        <f>_xlfn.XLOOKUP(Tbl_Budget[[#This Row],[Assignment]],Tbl_Members[이름],Tbl_Members[사번],0)</f>
        <v>330590</v>
      </c>
      <c r="J73" s="111">
        <v>8</v>
      </c>
      <c r="K73" s="112"/>
      <c r="L73" s="112"/>
      <c r="M73" s="112"/>
      <c r="N73" s="112"/>
      <c r="O73" s="112"/>
      <c r="P73" s="112">
        <v>2</v>
      </c>
      <c r="Q73" s="112"/>
      <c r="R73" s="112"/>
      <c r="S73" s="112"/>
      <c r="T73" s="112">
        <v>6</v>
      </c>
      <c r="U73" s="112"/>
      <c r="V73" s="113"/>
      <c r="W73" s="114">
        <f>IF(Tbl_Budget[[#This Row],[해당]]=TRUE,Tbl_Budget[[#This Row],[Budget 합계]]-SUM(Tbl_Budget[[#This Row],[1]:[12]]),0)</f>
        <v>0</v>
      </c>
      <c r="X73" s="109">
        <f>SUM(Tbl_Budget[[#This Row],[10]:[12]])/$C$13</f>
        <v>1.7441860465116279E-2</v>
      </c>
    </row>
    <row r="74" spans="2:24" ht="21.6" customHeight="1" x14ac:dyDescent="0.25">
      <c r="B74" s="228" t="s">
        <v>200</v>
      </c>
      <c r="C74" s="229" t="s">
        <v>206</v>
      </c>
      <c r="D74" s="227" t="b">
        <v>1</v>
      </c>
      <c r="E74" s="100"/>
      <c r="F74" s="101" cm="1">
        <f t="array" ref="F74">IFERROR(INDEX(DB_tStat!$A$2:$DQ$111, _xlfn.XMATCH($F$20, DB_tStat!$A$2:$A$111, 0), _xlfn.XMATCH(Tbl_Budget[[#This Row],[Budget 관리단위]], DB_tStat!$A$1:$DQ$1, 0)),0)</f>
        <v>1.3665760759177125E-2</v>
      </c>
      <c r="G74" s="102">
        <f>Tbl_Budget[[#This Row],[유사회사 평균 비율]]*$C$9</f>
        <v>4.7556847441936396</v>
      </c>
      <c r="H74" s="110" t="s">
        <v>76</v>
      </c>
      <c r="I74" s="104">
        <f>_xlfn.XLOOKUP(Tbl_Budget[[#This Row],[Assignment]],Tbl_Members[이름],Tbl_Members[사번],0)</f>
        <v>330590</v>
      </c>
      <c r="J74" s="111">
        <v>12</v>
      </c>
      <c r="K74" s="112"/>
      <c r="L74" s="112"/>
      <c r="M74" s="112"/>
      <c r="N74" s="112"/>
      <c r="O74" s="112"/>
      <c r="P74" s="112">
        <v>4</v>
      </c>
      <c r="Q74" s="112"/>
      <c r="R74" s="112"/>
      <c r="S74" s="112">
        <v>8</v>
      </c>
      <c r="T74" s="112"/>
      <c r="U74" s="112"/>
      <c r="V74" s="113"/>
      <c r="W74" s="114">
        <f>IF(Tbl_Budget[[#This Row],[해당]]=TRUE,Tbl_Budget[[#This Row],[Budget 합계]]-SUM(Tbl_Budget[[#This Row],[1]:[12]]),0)</f>
        <v>0</v>
      </c>
      <c r="X74" s="109">
        <f>SUM(Tbl_Budget[[#This Row],[10]:[12]])/$C$13</f>
        <v>0</v>
      </c>
    </row>
    <row r="75" spans="2:24" ht="21.6" customHeight="1" x14ac:dyDescent="0.25">
      <c r="B75" s="228" t="s">
        <v>200</v>
      </c>
      <c r="C75" s="229" t="s">
        <v>207</v>
      </c>
      <c r="D75" s="227" t="b">
        <v>1</v>
      </c>
      <c r="E75" s="100"/>
      <c r="F75" s="101" cm="1">
        <f t="array" ref="F75">IFERROR(INDEX(DB_tStat!$A$2:$DQ$111, _xlfn.XMATCH($F$20, DB_tStat!$A$2:$A$111, 0), _xlfn.XMATCH(Tbl_Budget[[#This Row],[Budget 관리단위]], DB_tStat!$A$1:$DQ$1, 0)),0)</f>
        <v>1.2742111373138281E-2</v>
      </c>
      <c r="G75" s="102">
        <f>Tbl_Budget[[#This Row],[유사회사 평균 비율]]*$C$9</f>
        <v>4.4342547578521216</v>
      </c>
      <c r="H75" s="110" t="s">
        <v>76</v>
      </c>
      <c r="I75" s="104">
        <f>_xlfn.XLOOKUP(Tbl_Budget[[#This Row],[Assignment]],Tbl_Members[이름],Tbl_Members[사번],0)</f>
        <v>330590</v>
      </c>
      <c r="J75" s="111">
        <v>8</v>
      </c>
      <c r="K75" s="112"/>
      <c r="L75" s="112"/>
      <c r="M75" s="112"/>
      <c r="N75" s="112"/>
      <c r="O75" s="112"/>
      <c r="P75" s="112">
        <v>4</v>
      </c>
      <c r="Q75" s="112"/>
      <c r="R75" s="112"/>
      <c r="S75" s="112">
        <v>4</v>
      </c>
      <c r="T75" s="112"/>
      <c r="U75" s="112"/>
      <c r="V75" s="113"/>
      <c r="W75" s="114">
        <f>IF(Tbl_Budget[[#This Row],[해당]]=TRUE,Tbl_Budget[[#This Row],[Budget 합계]]-SUM(Tbl_Budget[[#This Row],[1]:[12]]),0)</f>
        <v>0</v>
      </c>
      <c r="X75" s="109">
        <f>SUM(Tbl_Budget[[#This Row],[10]:[12]])/$C$13</f>
        <v>0</v>
      </c>
    </row>
    <row r="76" spans="2:24" ht="21.6" customHeight="1" x14ac:dyDescent="0.25">
      <c r="B76" s="228" t="s">
        <v>200</v>
      </c>
      <c r="C76" s="229" t="s">
        <v>208</v>
      </c>
      <c r="D76" s="227" t="b">
        <v>1</v>
      </c>
      <c r="E76" s="100"/>
      <c r="F76" s="101" cm="1">
        <f t="array" ref="F76">IFERROR(INDEX(DB_tStat!$A$2:$DQ$111, _xlfn.XMATCH($F$20, DB_tStat!$A$2:$A$111, 0), _xlfn.XMATCH(Tbl_Budget[[#This Row],[Budget 관리단위]], DB_tStat!$A$1:$DQ$1, 0)),0)</f>
        <v>2.1651129793708604E-2</v>
      </c>
      <c r="G76" s="102">
        <f>Tbl_Budget[[#This Row],[유사회사 평균 비율]]*$C$9</f>
        <v>7.534593168210594</v>
      </c>
      <c r="H76" s="110" t="s">
        <v>77</v>
      </c>
      <c r="I76" s="104">
        <f>_xlfn.XLOOKUP(Tbl_Budget[[#This Row],[Assignment]],Tbl_Members[이름],Tbl_Members[사번],0)</f>
        <v>340644</v>
      </c>
      <c r="J76" s="111">
        <v>8</v>
      </c>
      <c r="K76" s="112"/>
      <c r="L76" s="112"/>
      <c r="M76" s="112"/>
      <c r="N76" s="112"/>
      <c r="O76" s="112"/>
      <c r="P76" s="112">
        <v>4</v>
      </c>
      <c r="Q76" s="112"/>
      <c r="R76" s="112"/>
      <c r="S76" s="112">
        <v>4</v>
      </c>
      <c r="T76" s="112"/>
      <c r="U76" s="112"/>
      <c r="V76" s="113"/>
      <c r="W76" s="114">
        <f>IF(Tbl_Budget[[#This Row],[해당]]=TRUE,Tbl_Budget[[#This Row],[Budget 합계]]-SUM(Tbl_Budget[[#This Row],[1]:[12]]),0)</f>
        <v>0</v>
      </c>
      <c r="X76" s="109">
        <f>SUM(Tbl_Budget[[#This Row],[10]:[12]])/$C$13</f>
        <v>0</v>
      </c>
    </row>
    <row r="77" spans="2:24" ht="21.6" customHeight="1" x14ac:dyDescent="0.25">
      <c r="B77" s="228" t="s">
        <v>200</v>
      </c>
      <c r="C77" s="229" t="s">
        <v>209</v>
      </c>
      <c r="D77" s="227" t="b">
        <v>1</v>
      </c>
      <c r="E77" s="100"/>
      <c r="F77" s="101" cm="1">
        <f t="array" ref="F77">IFERROR(INDEX(DB_tStat!$A$2:$DQ$111, _xlfn.XMATCH($F$20, DB_tStat!$A$2:$A$111, 0), _xlfn.XMATCH(Tbl_Budget[[#This Row],[Budget 관리단위]], DB_tStat!$A$1:$DQ$1, 0)),0)</f>
        <v>9.1381498695015176E-3</v>
      </c>
      <c r="G77" s="102">
        <f>Tbl_Budget[[#This Row],[유사회사 평균 비율]]*$C$9</f>
        <v>3.1800761545865281</v>
      </c>
      <c r="H77" s="110" t="s">
        <v>77</v>
      </c>
      <c r="I77" s="104">
        <f>_xlfn.XLOOKUP(Tbl_Budget[[#This Row],[Assignment]],Tbl_Members[이름],Tbl_Members[사번],0)</f>
        <v>340644</v>
      </c>
      <c r="J77" s="111">
        <v>4</v>
      </c>
      <c r="K77" s="112"/>
      <c r="L77" s="112"/>
      <c r="M77" s="112"/>
      <c r="N77" s="112"/>
      <c r="O77" s="112"/>
      <c r="P77" s="112">
        <v>2</v>
      </c>
      <c r="Q77" s="112"/>
      <c r="R77" s="112"/>
      <c r="S77" s="112">
        <v>2</v>
      </c>
      <c r="T77" s="112"/>
      <c r="U77" s="112"/>
      <c r="V77" s="113"/>
      <c r="W77" s="114">
        <f>IF(Tbl_Budget[[#This Row],[해당]]=TRUE,Tbl_Budget[[#This Row],[Budget 합계]]-SUM(Tbl_Budget[[#This Row],[1]:[12]]),0)</f>
        <v>0</v>
      </c>
      <c r="X77" s="109">
        <f>SUM(Tbl_Budget[[#This Row],[10]:[12]])/$C$13</f>
        <v>0</v>
      </c>
    </row>
    <row r="78" spans="2:24" ht="21.6" customHeight="1" x14ac:dyDescent="0.25">
      <c r="B78" s="228" t="s">
        <v>200</v>
      </c>
      <c r="C78" s="229" t="s">
        <v>210</v>
      </c>
      <c r="D78" s="227" t="b">
        <v>0</v>
      </c>
      <c r="E78" s="100"/>
      <c r="F78" s="101" cm="1">
        <f t="array" ref="F78">IFERROR(INDEX(DB_tStat!$A$2:$DQ$111, _xlfn.XMATCH($F$20, DB_tStat!$A$2:$A$111, 0), _xlfn.XMATCH(Tbl_Budget[[#This Row],[Budget 관리단위]], DB_tStat!$A$1:$DQ$1, 0)),0)</f>
        <v>3.7636025017756037E-3</v>
      </c>
      <c r="G78" s="102">
        <f>Tbl_Budget[[#This Row],[유사회사 평균 비율]]*$C$9</f>
        <v>1.3097336706179101</v>
      </c>
      <c r="H78" s="110"/>
      <c r="I78" s="104">
        <f>_xlfn.XLOOKUP(Tbl_Budget[[#This Row],[Assignment]],Tbl_Members[이름],Tbl_Members[사번],0)</f>
        <v>0</v>
      </c>
      <c r="J78" s="111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3"/>
      <c r="W78" s="114">
        <f>IF(Tbl_Budget[[#This Row],[해당]]=TRUE,Tbl_Budget[[#This Row],[Budget 합계]]-SUM(Tbl_Budget[[#This Row],[1]:[12]]),0)</f>
        <v>0</v>
      </c>
      <c r="X78" s="109">
        <f>SUM(Tbl_Budget[[#This Row],[10]:[12]])/$C$13</f>
        <v>0</v>
      </c>
    </row>
    <row r="79" spans="2:24" ht="21.6" customHeight="1" x14ac:dyDescent="0.25">
      <c r="B79" s="228" t="s">
        <v>200</v>
      </c>
      <c r="C79" s="229" t="s">
        <v>211</v>
      </c>
      <c r="D79" s="227" t="b">
        <v>0</v>
      </c>
      <c r="E79" s="100"/>
      <c r="F79" s="101" cm="1">
        <f t="array" ref="F79">IFERROR(INDEX(DB_tStat!$A$2:$DQ$111, _xlfn.XMATCH($F$20, DB_tStat!$A$2:$A$111, 0), _xlfn.XMATCH(Tbl_Budget[[#This Row],[Budget 관리단위]], DB_tStat!$A$1:$DQ$1, 0)),0)</f>
        <v>2.6166407926295188E-3</v>
      </c>
      <c r="G79" s="102">
        <f>Tbl_Budget[[#This Row],[유사회사 평균 비율]]*$C$9</f>
        <v>0.91059099583507253</v>
      </c>
      <c r="H79" s="110"/>
      <c r="I79" s="104">
        <f>_xlfn.XLOOKUP(Tbl_Budget[[#This Row],[Assignment]],Tbl_Members[이름],Tbl_Members[사번],0)</f>
        <v>0</v>
      </c>
      <c r="J79" s="111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3"/>
      <c r="W79" s="114">
        <f>IF(Tbl_Budget[[#This Row],[해당]]=TRUE,Tbl_Budget[[#This Row],[Budget 합계]]-SUM(Tbl_Budget[[#This Row],[1]:[12]]),0)</f>
        <v>0</v>
      </c>
      <c r="X79" s="109">
        <f>SUM(Tbl_Budget[[#This Row],[10]:[12]])/$C$13</f>
        <v>0</v>
      </c>
    </row>
    <row r="80" spans="2:24" ht="21.6" customHeight="1" x14ac:dyDescent="0.25">
      <c r="B80" s="228" t="s">
        <v>212</v>
      </c>
      <c r="C80" s="229" t="s">
        <v>212</v>
      </c>
      <c r="D80" s="227" t="b">
        <v>1</v>
      </c>
      <c r="E80" s="100"/>
      <c r="F80" s="101" cm="1">
        <f t="array" ref="F80">IFERROR(INDEX(DB_tStat!$A$2:$DQ$111, _xlfn.XMATCH($F$20, DB_tStat!$A$2:$A$111, 0), _xlfn.XMATCH(Tbl_Budget[[#This Row],[Budget 관리단위]], DB_tStat!$A$1:$DQ$1, 0)),0)</f>
        <v>2.5368900192472888E-2</v>
      </c>
      <c r="G80" s="102">
        <f>Tbl_Budget[[#This Row],[유사회사 평균 비율]]*$C$9</f>
        <v>8.8283772669805654</v>
      </c>
      <c r="H80" s="110" t="s">
        <v>75</v>
      </c>
      <c r="I80" s="104">
        <f>_xlfn.XLOOKUP(Tbl_Budget[[#This Row],[Assignment]],Tbl_Members[이름],Tbl_Members[사번],0)</f>
        <v>310625</v>
      </c>
      <c r="J80" s="111">
        <v>6</v>
      </c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>
        <v>6</v>
      </c>
      <c r="V80" s="113"/>
      <c r="W80" s="114">
        <f>IF(Tbl_Budget[[#This Row],[해당]]=TRUE,Tbl_Budget[[#This Row],[Budget 합계]]-SUM(Tbl_Budget[[#This Row],[1]:[12]]),0)</f>
        <v>0</v>
      </c>
      <c r="X80" s="109">
        <f>SUM(Tbl_Budget[[#This Row],[10]:[12]])/$C$13</f>
        <v>1.7441860465116279E-2</v>
      </c>
    </row>
    <row r="81" spans="2:24" ht="21.6" customHeight="1" x14ac:dyDescent="0.25">
      <c r="B81" s="228" t="s">
        <v>212</v>
      </c>
      <c r="C81" s="229" t="s">
        <v>213</v>
      </c>
      <c r="D81" s="227" t="b">
        <v>1</v>
      </c>
      <c r="E81" s="100"/>
      <c r="F81" s="101" cm="1">
        <f t="array" ref="F81">IFERROR(INDEX(DB_tStat!$A$2:$DQ$111, _xlfn.XMATCH($F$20, DB_tStat!$A$2:$A$111, 0), _xlfn.XMATCH(Tbl_Budget[[#This Row],[Budget 관리단위]], DB_tStat!$A$1:$DQ$1, 0)),0)</f>
        <v>4.5582310902799565E-2</v>
      </c>
      <c r="G81" s="102">
        <f>Tbl_Budget[[#This Row],[유사회사 평균 비율]]*$C$9</f>
        <v>15.86264419417425</v>
      </c>
      <c r="H81" s="110" t="s">
        <v>75</v>
      </c>
      <c r="I81" s="104">
        <f>_xlfn.XLOOKUP(Tbl_Budget[[#This Row],[Assignment]],Tbl_Members[이름],Tbl_Members[사번],0)</f>
        <v>310625</v>
      </c>
      <c r="J81" s="111">
        <v>6</v>
      </c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>
        <v>6</v>
      </c>
      <c r="V81" s="113"/>
      <c r="W81" s="114">
        <f>IF(Tbl_Budget[[#This Row],[해당]]=TRUE,Tbl_Budget[[#This Row],[Budget 합계]]-SUM(Tbl_Budget[[#This Row],[1]:[12]]),0)</f>
        <v>0</v>
      </c>
      <c r="X81" s="109">
        <f>SUM(Tbl_Budget[[#This Row],[10]:[12]])/$C$13</f>
        <v>1.7441860465116279E-2</v>
      </c>
    </row>
    <row r="82" spans="2:24" ht="21.6" customHeight="1" x14ac:dyDescent="0.25">
      <c r="B82" s="228" t="s">
        <v>212</v>
      </c>
      <c r="C82" s="229" t="s">
        <v>214</v>
      </c>
      <c r="D82" s="230" t="b">
        <f>'B_ET 기본정보'!$C$10="① 작성"</f>
        <v>0</v>
      </c>
      <c r="E82" s="100"/>
      <c r="F82" s="101" cm="1">
        <f t="array" ref="F82">IFERROR(INDEX(DB_tStat!$A$2:$DQ$111, _xlfn.XMATCH($F$20, DB_tStat!$A$2:$A$111, 0), _xlfn.XMATCH(Tbl_Budget[[#This Row],[Budget 관리단위]], DB_tStat!$A$1:$DQ$1, 0)),0)</f>
        <v>1.7000200783441374E-2</v>
      </c>
      <c r="G82" s="102">
        <f>Tbl_Budget[[#This Row],[유사회사 평균 비율]]*$C$9</f>
        <v>5.916069872637598</v>
      </c>
      <c r="H82" s="110"/>
      <c r="I82" s="104">
        <f>_xlfn.XLOOKUP(Tbl_Budget[[#This Row],[Assignment]],Tbl_Members[이름],Tbl_Members[사번],0)</f>
        <v>0</v>
      </c>
      <c r="J82" s="111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3"/>
      <c r="W82" s="114">
        <f>IF(Tbl_Budget[[#This Row],[해당]]=TRUE,Tbl_Budget[[#This Row],[Budget 합계]]-SUM(Tbl_Budget[[#This Row],[1]:[12]]),0)</f>
        <v>0</v>
      </c>
      <c r="X82" s="109">
        <f>SUM(Tbl_Budget[[#This Row],[10]:[12]])/$C$13</f>
        <v>0</v>
      </c>
    </row>
    <row r="83" spans="2:24" ht="21.6" customHeight="1" x14ac:dyDescent="0.25">
      <c r="B83" s="228" t="s">
        <v>212</v>
      </c>
      <c r="C83" s="229" t="s">
        <v>215</v>
      </c>
      <c r="D83" s="227" t="b">
        <v>1</v>
      </c>
      <c r="E83" s="100"/>
      <c r="F83" s="101" cm="1">
        <f t="array" ref="F83">IFERROR(INDEX(DB_tStat!$A$2:$DQ$111, _xlfn.XMATCH($F$20, DB_tStat!$A$2:$A$111, 0), _xlfn.XMATCH(Tbl_Budget[[#This Row],[Budget 관리단위]], DB_tStat!$A$1:$DQ$1, 0)),0)</f>
        <v>1.4198800705347353E-2</v>
      </c>
      <c r="G83" s="102">
        <f>Tbl_Budget[[#This Row],[유사회사 평균 비율]]*$C$9</f>
        <v>4.9411826454608789</v>
      </c>
      <c r="H83" s="110" t="s">
        <v>76</v>
      </c>
      <c r="I83" s="104">
        <f>_xlfn.XLOOKUP(Tbl_Budget[[#This Row],[Assignment]],Tbl_Members[이름],Tbl_Members[사번],0)</f>
        <v>330590</v>
      </c>
      <c r="J83" s="111">
        <v>8</v>
      </c>
      <c r="K83" s="112"/>
      <c r="L83" s="112"/>
      <c r="M83" s="112"/>
      <c r="N83" s="112"/>
      <c r="O83" s="112"/>
      <c r="P83" s="112"/>
      <c r="Q83" s="112"/>
      <c r="R83" s="112"/>
      <c r="S83" s="112"/>
      <c r="T83" s="112">
        <v>8</v>
      </c>
      <c r="U83" s="112"/>
      <c r="V83" s="113"/>
      <c r="W83" s="114">
        <f>IF(Tbl_Budget[[#This Row],[해당]]=TRUE,Tbl_Budget[[#This Row],[Budget 합계]]-SUM(Tbl_Budget[[#This Row],[1]:[12]]),0)</f>
        <v>0</v>
      </c>
      <c r="X83" s="109">
        <f>SUM(Tbl_Budget[[#This Row],[10]:[12]])/$C$13</f>
        <v>2.3255813953488372E-2</v>
      </c>
    </row>
    <row r="84" spans="2:24" ht="21.6" customHeight="1" x14ac:dyDescent="0.25">
      <c r="B84" s="228" t="s">
        <v>212</v>
      </c>
      <c r="C84" s="229" t="s">
        <v>216</v>
      </c>
      <c r="D84" s="227" t="b">
        <v>0</v>
      </c>
      <c r="E84" s="100"/>
      <c r="F84" s="101" cm="1">
        <f t="array" ref="F84">IFERROR(INDEX(DB_tStat!$A$2:$DQ$111, _xlfn.XMATCH($F$20, DB_tStat!$A$2:$A$111, 0), _xlfn.XMATCH(Tbl_Budget[[#This Row],[Budget 관리단위]], DB_tStat!$A$1:$DQ$1, 0)),0)</f>
        <v>0</v>
      </c>
      <c r="G84" s="102">
        <f>Tbl_Budget[[#This Row],[유사회사 평균 비율]]*$C$9</f>
        <v>0</v>
      </c>
      <c r="H84" s="110"/>
      <c r="I84" s="104">
        <f>_xlfn.XLOOKUP(Tbl_Budget[[#This Row],[Assignment]],Tbl_Members[이름],Tbl_Members[사번],0)</f>
        <v>0</v>
      </c>
      <c r="J84" s="111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3"/>
      <c r="W84" s="114">
        <f>IF(Tbl_Budget[[#This Row],[해당]]=TRUE,Tbl_Budget[[#This Row],[Budget 합계]]-SUM(Tbl_Budget[[#This Row],[1]:[12]]),0)</f>
        <v>0</v>
      </c>
      <c r="X84" s="109">
        <f>SUM(Tbl_Budget[[#This Row],[10]:[12]])/$C$13</f>
        <v>0</v>
      </c>
    </row>
    <row r="85" spans="2:24" ht="21.6" customHeight="1" x14ac:dyDescent="0.25">
      <c r="B85" s="228" t="s">
        <v>217</v>
      </c>
      <c r="C85" s="229" t="s">
        <v>218</v>
      </c>
      <c r="D85" s="227" t="b">
        <v>0</v>
      </c>
      <c r="E85" s="100"/>
      <c r="F85" s="101" cm="1">
        <f t="array" ref="F85">IFERROR(INDEX(DB_tStat!$A$2:$DQ$111, _xlfn.XMATCH($F$20, DB_tStat!$A$2:$A$111, 0), _xlfn.XMATCH(Tbl_Budget[[#This Row],[Budget 관리단위]], DB_tStat!$A$1:$DQ$1, 0)),0)</f>
        <v>1.426444436146777E-2</v>
      </c>
      <c r="G85" s="102">
        <f>Tbl_Budget[[#This Row],[유사회사 평균 비율]]*$C$9</f>
        <v>4.9640266377907842</v>
      </c>
      <c r="H85" s="110"/>
      <c r="I85" s="104">
        <f>_xlfn.XLOOKUP(Tbl_Budget[[#This Row],[Assignment]],Tbl_Members[이름],Tbl_Members[사번],0)</f>
        <v>0</v>
      </c>
      <c r="J85" s="111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3"/>
      <c r="W85" s="114">
        <f>IF(Tbl_Budget[[#This Row],[해당]]=TRUE,Tbl_Budget[[#This Row],[Budget 합계]]-SUM(Tbl_Budget[[#This Row],[1]:[12]]),0)</f>
        <v>0</v>
      </c>
      <c r="X85" s="109">
        <f>SUM(Tbl_Budget[[#This Row],[10]:[12]])/$C$13</f>
        <v>0</v>
      </c>
    </row>
    <row r="86" spans="2:24" ht="21.6" customHeight="1" x14ac:dyDescent="0.25">
      <c r="B86" s="228" t="s">
        <v>217</v>
      </c>
      <c r="C86" s="229" t="s">
        <v>219</v>
      </c>
      <c r="D86" s="227" t="b">
        <v>0</v>
      </c>
      <c r="E86" s="100"/>
      <c r="F86" s="101" cm="1">
        <f t="array" ref="F86">IFERROR(INDEX(DB_tStat!$A$2:$DQ$111, _xlfn.XMATCH($F$20, DB_tStat!$A$2:$A$111, 0), _xlfn.XMATCH(Tbl_Budget[[#This Row],[Budget 관리단위]], DB_tStat!$A$1:$DQ$1, 0)),0)</f>
        <v>1.5300464588737366E-2</v>
      </c>
      <c r="G86" s="102">
        <f>Tbl_Budget[[#This Row],[유사회사 평균 비율]]*$C$9</f>
        <v>5.3245616768806032</v>
      </c>
      <c r="H86" s="110"/>
      <c r="I86" s="104">
        <f>_xlfn.XLOOKUP(Tbl_Budget[[#This Row],[Assignment]],Tbl_Members[이름],Tbl_Members[사번],0)</f>
        <v>0</v>
      </c>
      <c r="J86" s="111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3"/>
      <c r="W86" s="114">
        <f>IF(Tbl_Budget[[#This Row],[해당]]=TRUE,Tbl_Budget[[#This Row],[Budget 합계]]-SUM(Tbl_Budget[[#This Row],[1]:[12]]),0)</f>
        <v>0</v>
      </c>
      <c r="X86" s="109">
        <f>SUM(Tbl_Budget[[#This Row],[10]:[12]])/$C$13</f>
        <v>0</v>
      </c>
    </row>
    <row r="87" spans="2:24" ht="21.6" customHeight="1" x14ac:dyDescent="0.25">
      <c r="B87" s="228" t="s">
        <v>217</v>
      </c>
      <c r="C87" s="229" t="s">
        <v>220</v>
      </c>
      <c r="D87" s="227" t="b">
        <v>0</v>
      </c>
      <c r="E87" s="100"/>
      <c r="F87" s="101" cm="1">
        <f t="array" ref="F87">IFERROR(INDEX(DB_tStat!$A$2:$DQ$111, _xlfn.XMATCH($F$20, DB_tStat!$A$2:$A$111, 0), _xlfn.XMATCH(Tbl_Budget[[#This Row],[Budget 관리단위]], DB_tStat!$A$1:$DQ$1, 0)),0)</f>
        <v>4.2793029861226978E-3</v>
      </c>
      <c r="G87" s="102">
        <f>Tbl_Budget[[#This Row],[유사회사 평균 비율]]*$C$9</f>
        <v>1.4891974391706988</v>
      </c>
      <c r="H87" s="110"/>
      <c r="I87" s="104">
        <f>_xlfn.XLOOKUP(Tbl_Budget[[#This Row],[Assignment]],Tbl_Members[이름],Tbl_Members[사번],0)</f>
        <v>0</v>
      </c>
      <c r="J87" s="111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3"/>
      <c r="W87" s="114">
        <f>IF(Tbl_Budget[[#This Row],[해당]]=TRUE,Tbl_Budget[[#This Row],[Budget 합계]]-SUM(Tbl_Budget[[#This Row],[1]:[12]]),0)</f>
        <v>0</v>
      </c>
      <c r="X87" s="109">
        <f>SUM(Tbl_Budget[[#This Row],[10]:[12]])/$C$13</f>
        <v>0</v>
      </c>
    </row>
    <row r="88" spans="2:24" ht="21.6" customHeight="1" x14ac:dyDescent="0.25">
      <c r="B88" s="228" t="s">
        <v>217</v>
      </c>
      <c r="C88" s="229" t="s">
        <v>221</v>
      </c>
      <c r="D88" s="227" t="b">
        <v>0</v>
      </c>
      <c r="E88" s="100"/>
      <c r="F88" s="101" cm="1">
        <f t="array" ref="F88">IFERROR(INDEX(DB_tStat!$A$2:$DQ$111, _xlfn.XMATCH($F$20, DB_tStat!$A$2:$A$111, 0), _xlfn.XMATCH(Tbl_Budget[[#This Row],[Budget 관리단위]], DB_tStat!$A$1:$DQ$1, 0)),0)</f>
        <v>4.9111787920909896E-3</v>
      </c>
      <c r="G88" s="102">
        <f>Tbl_Budget[[#This Row],[유사회사 평균 비율]]*$C$9</f>
        <v>1.7090902196476643</v>
      </c>
      <c r="H88" s="110"/>
      <c r="I88" s="104">
        <f>_xlfn.XLOOKUP(Tbl_Budget[[#This Row],[Assignment]],Tbl_Members[이름],Tbl_Members[사번],0)</f>
        <v>0</v>
      </c>
      <c r="J88" s="111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3"/>
      <c r="W88" s="114">
        <f>IF(Tbl_Budget[[#This Row],[해당]]=TRUE,Tbl_Budget[[#This Row],[Budget 합계]]-SUM(Tbl_Budget[[#This Row],[1]:[12]]),0)</f>
        <v>0</v>
      </c>
      <c r="X88" s="109">
        <f>SUM(Tbl_Budget[[#This Row],[10]:[12]])/$C$13</f>
        <v>0</v>
      </c>
    </row>
    <row r="89" spans="2:24" ht="21.6" customHeight="1" x14ac:dyDescent="0.25">
      <c r="B89" s="228" t="s">
        <v>222</v>
      </c>
      <c r="C89" s="229" t="s">
        <v>223</v>
      </c>
      <c r="D89" s="230" t="b">
        <f>'B_ET 기본정보'!$C$12&lt;&gt;"④ 의무없음"</f>
        <v>1</v>
      </c>
      <c r="E89" s="100"/>
      <c r="F89" s="101" cm="1">
        <f t="array" ref="F89">IFERROR(INDEX(DB_tStat!$A$2:$DQ$111, _xlfn.XMATCH($F$20, DB_tStat!$A$2:$A$111, 0), _xlfn.XMATCH(Tbl_Budget[[#This Row],[Budget 관리단위]], DB_tStat!$A$1:$DQ$1, 0)),0)</f>
        <v>3.3697502878963868E-3</v>
      </c>
      <c r="G89" s="102">
        <f>Tbl_Budget[[#This Row],[유사회사 평균 비율]]*$C$9</f>
        <v>1.1726731001879427</v>
      </c>
      <c r="H89" s="110"/>
      <c r="I89" s="104">
        <f>_xlfn.XLOOKUP(Tbl_Budget[[#This Row],[Assignment]],Tbl_Members[이름],Tbl_Members[사번],0)</f>
        <v>0</v>
      </c>
      <c r="J89" s="111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3"/>
      <c r="W89" s="114">
        <f>IF(Tbl_Budget[[#This Row],[해당]]=TRUE,Tbl_Budget[[#This Row],[Budget 합계]]-SUM(Tbl_Budget[[#This Row],[1]:[12]]),0)</f>
        <v>0</v>
      </c>
      <c r="X89" s="109">
        <f>SUM(Tbl_Budget[[#This Row],[10]:[12]])/$C$13</f>
        <v>0</v>
      </c>
    </row>
    <row r="90" spans="2:24" ht="21.6" customHeight="1" x14ac:dyDescent="0.25">
      <c r="B90" s="228" t="s">
        <v>222</v>
      </c>
      <c r="C90" s="229" t="s">
        <v>224</v>
      </c>
      <c r="D90" s="230" t="b">
        <f>'B_ET 기본정보'!$C$12="③ 내부회계검토"</f>
        <v>0</v>
      </c>
      <c r="E90" s="100"/>
      <c r="F90" s="101" cm="1">
        <f t="array" ref="F90">IFERROR(INDEX(DB_tStat!$A$2:$DQ$111, _xlfn.XMATCH($F$20, DB_tStat!$A$2:$A$111, 0), _xlfn.XMATCH(Tbl_Budget[[#This Row],[Budget 관리단위]], DB_tStat!$A$1:$DQ$1, 0)),0)</f>
        <v>0</v>
      </c>
      <c r="G90" s="102">
        <f>Tbl_Budget[[#This Row],[유사회사 평균 비율]]*$C$9</f>
        <v>0</v>
      </c>
      <c r="H90" s="110"/>
      <c r="I90" s="104">
        <f>_xlfn.XLOOKUP(Tbl_Budget[[#This Row],[Assignment]],Tbl_Members[이름],Tbl_Members[사번],0)</f>
        <v>0</v>
      </c>
      <c r="J90" s="111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3"/>
      <c r="W90" s="114">
        <f>IF(Tbl_Budget[[#This Row],[해당]]=TRUE,Tbl_Budget[[#This Row],[Budget 합계]]-SUM(Tbl_Budget[[#This Row],[1]:[12]]),0)</f>
        <v>0</v>
      </c>
      <c r="X90" s="109">
        <f>SUM(Tbl_Budget[[#This Row],[10]:[12]])/$C$13</f>
        <v>0</v>
      </c>
    </row>
    <row r="91" spans="2:24" ht="21.6" customHeight="1" x14ac:dyDescent="0.25">
      <c r="B91" s="228" t="s">
        <v>222</v>
      </c>
      <c r="C91" s="229" t="s">
        <v>225</v>
      </c>
      <c r="D91" s="230" t="b">
        <f>ISNUMBER(SEARCH("내부회계감사",'B_ET 기본정보'!$C$12))</f>
        <v>1</v>
      </c>
      <c r="E91" s="100"/>
      <c r="F91" s="101" cm="1">
        <f t="array" ref="F91">IFERROR(INDEX(DB_tStat!$A$2:$DQ$111, _xlfn.XMATCH($F$20, DB_tStat!$A$2:$A$111, 0), _xlfn.XMATCH(Tbl_Budget[[#This Row],[Budget 관리단위]], DB_tStat!$A$1:$DQ$1, 0)),0)</f>
        <v>4.340618081380942E-3</v>
      </c>
      <c r="G91" s="102">
        <f>Tbl_Budget[[#This Row],[유사회사 평균 비율]]*$C$9</f>
        <v>1.5105350923205678</v>
      </c>
      <c r="H91" s="110"/>
      <c r="I91" s="104">
        <f>_xlfn.XLOOKUP(Tbl_Budget[[#This Row],[Assignment]],Tbl_Members[이름],Tbl_Members[사번],0)</f>
        <v>0</v>
      </c>
      <c r="J91" s="111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3"/>
      <c r="W91" s="114">
        <f>IF(Tbl_Budget[[#This Row],[해당]]=TRUE,Tbl_Budget[[#This Row],[Budget 합계]]-SUM(Tbl_Budget[[#This Row],[1]:[12]]),0)</f>
        <v>0</v>
      </c>
      <c r="X91" s="109">
        <f>SUM(Tbl_Budget[[#This Row],[10]:[12]])/$C$13</f>
        <v>0</v>
      </c>
    </row>
    <row r="92" spans="2:24" ht="21.6" customHeight="1" x14ac:dyDescent="0.25">
      <c r="B92" s="228" t="s">
        <v>222</v>
      </c>
      <c r="C92" s="229" t="s">
        <v>226</v>
      </c>
      <c r="D92" s="230" t="b">
        <f>ISNUMBER(SEARCH("내부회계감사",'B_ET 기본정보'!$C$12))</f>
        <v>1</v>
      </c>
      <c r="E92" s="100"/>
      <c r="F92" s="101" cm="1">
        <f t="array" ref="F92">IFERROR(INDEX(DB_tStat!$A$2:$DQ$111, _xlfn.XMATCH($F$20, DB_tStat!$A$2:$A$111, 0), _xlfn.XMATCH(Tbl_Budget[[#This Row],[Budget 관리단위]], DB_tStat!$A$1:$DQ$1, 0)),0)</f>
        <v>1.0995056859579102E-2</v>
      </c>
      <c r="G92" s="102">
        <f>Tbl_Budget[[#This Row],[유사회사 평균 비율]]*$C$9</f>
        <v>3.8262797871335277</v>
      </c>
      <c r="H92" s="110"/>
      <c r="I92" s="104">
        <f>_xlfn.XLOOKUP(Tbl_Budget[[#This Row],[Assignment]],Tbl_Members[이름],Tbl_Members[사번],0)</f>
        <v>0</v>
      </c>
      <c r="J92" s="111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3"/>
      <c r="W92" s="114">
        <f>IF(Tbl_Budget[[#This Row],[해당]]=TRUE,Tbl_Budget[[#This Row],[Budget 합계]]-SUM(Tbl_Budget[[#This Row],[1]:[12]]),0)</f>
        <v>0</v>
      </c>
      <c r="X92" s="109">
        <f>SUM(Tbl_Budget[[#This Row],[10]:[12]])/$C$13</f>
        <v>0</v>
      </c>
    </row>
    <row r="93" spans="2:24" ht="21.6" customHeight="1" x14ac:dyDescent="0.25">
      <c r="B93" s="228" t="s">
        <v>222</v>
      </c>
      <c r="C93" s="229" t="s">
        <v>227</v>
      </c>
      <c r="D93" s="230" t="b">
        <f>ISNUMBER(SEARCH("내부회계감사",'B_ET 기본정보'!$C$12))</f>
        <v>1</v>
      </c>
      <c r="E93" s="100"/>
      <c r="F93" s="101" cm="1">
        <f t="array" ref="F93">IFERROR(INDEX(DB_tStat!$A$2:$DQ$111, _xlfn.XMATCH($F$20, DB_tStat!$A$2:$A$111, 0), _xlfn.XMATCH(Tbl_Budget[[#This Row],[Budget 관리단위]], DB_tStat!$A$1:$DQ$1, 0)),0)</f>
        <v>7.0193278527980211E-3</v>
      </c>
      <c r="G93" s="102">
        <f>Tbl_Budget[[#This Row],[유사회사 평균 비율]]*$C$9</f>
        <v>2.4427260927737113</v>
      </c>
      <c r="H93" s="110"/>
      <c r="I93" s="104">
        <f>_xlfn.XLOOKUP(Tbl_Budget[[#This Row],[Assignment]],Tbl_Members[이름],Tbl_Members[사번],0)</f>
        <v>0</v>
      </c>
      <c r="J93" s="111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3"/>
      <c r="W93" s="114">
        <f>IF(Tbl_Budget[[#This Row],[해당]]=TRUE,Tbl_Budget[[#This Row],[Budget 합계]]-SUM(Tbl_Budget[[#This Row],[1]:[12]]),0)</f>
        <v>0</v>
      </c>
      <c r="X93" s="109">
        <f>SUM(Tbl_Budget[[#This Row],[10]:[12]])/$C$13</f>
        <v>0</v>
      </c>
    </row>
    <row r="94" spans="2:24" ht="21.6" customHeight="1" x14ac:dyDescent="0.25">
      <c r="B94" s="228" t="s">
        <v>222</v>
      </c>
      <c r="C94" s="229" t="s">
        <v>228</v>
      </c>
      <c r="D94" s="230" t="b">
        <f>ISNUMBER(SEARCH("내부회계감사",'B_ET 기본정보'!$C$12))</f>
        <v>1</v>
      </c>
      <c r="E94" s="100"/>
      <c r="F94" s="101" cm="1">
        <f t="array" ref="F94">IFERROR(INDEX(DB_tStat!$A$2:$DQ$111, _xlfn.XMATCH($F$20, DB_tStat!$A$2:$A$111, 0), _xlfn.XMATCH(Tbl_Budget[[#This Row],[Budget 관리단위]], DB_tStat!$A$1:$DQ$1, 0)),0)</f>
        <v>5.4653986225490355E-3</v>
      </c>
      <c r="G94" s="102">
        <f>Tbl_Budget[[#This Row],[유사회사 평균 비율]]*$C$9</f>
        <v>1.9019587206470643</v>
      </c>
      <c r="H94" s="110"/>
      <c r="I94" s="104">
        <f>_xlfn.XLOOKUP(Tbl_Budget[[#This Row],[Assignment]],Tbl_Members[이름],Tbl_Members[사번],0)</f>
        <v>0</v>
      </c>
      <c r="J94" s="111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3"/>
      <c r="W94" s="114">
        <f>IF(Tbl_Budget[[#This Row],[해당]]=TRUE,Tbl_Budget[[#This Row],[Budget 합계]]-SUM(Tbl_Budget[[#This Row],[1]:[12]]),0)</f>
        <v>0</v>
      </c>
      <c r="X94" s="109">
        <f>SUM(Tbl_Budget[[#This Row],[10]:[12]])/$C$13</f>
        <v>0</v>
      </c>
    </row>
    <row r="95" spans="2:24" ht="21.6" customHeight="1" x14ac:dyDescent="0.25">
      <c r="B95" s="228" t="s">
        <v>222</v>
      </c>
      <c r="C95" s="229" t="s">
        <v>229</v>
      </c>
      <c r="D95" s="230" t="b">
        <f>ISNUMBER(SEARCH("내부회계감사",'B_ET 기본정보'!$C$12))</f>
        <v>1</v>
      </c>
      <c r="E95" s="100"/>
      <c r="F95" s="101" cm="1">
        <f t="array" ref="F95">IFERROR(INDEX(DB_tStat!$A$2:$DQ$111, _xlfn.XMATCH($F$20, DB_tStat!$A$2:$A$111, 0), _xlfn.XMATCH(Tbl_Budget[[#This Row],[Budget 관리단위]], DB_tStat!$A$1:$DQ$1, 0)),0)</f>
        <v>8.5820694351950999E-3</v>
      </c>
      <c r="G95" s="102">
        <f>Tbl_Budget[[#This Row],[유사회사 평균 비율]]*$C$9</f>
        <v>2.9865601634478947</v>
      </c>
      <c r="H95" s="110"/>
      <c r="I95" s="104">
        <f>_xlfn.XLOOKUP(Tbl_Budget[[#This Row],[Assignment]],Tbl_Members[이름],Tbl_Members[사번],0)</f>
        <v>0</v>
      </c>
      <c r="J95" s="111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3"/>
      <c r="W95" s="114">
        <f>IF(Tbl_Budget[[#This Row],[해당]]=TRUE,Tbl_Budget[[#This Row],[Budget 합계]]-SUM(Tbl_Budget[[#This Row],[1]:[12]]),0)</f>
        <v>0</v>
      </c>
      <c r="X95" s="109">
        <f>SUM(Tbl_Budget[[#This Row],[10]:[12]])/$C$13</f>
        <v>0</v>
      </c>
    </row>
    <row r="96" spans="2:24" ht="21.6" customHeight="1" x14ac:dyDescent="0.25">
      <c r="B96" s="228" t="s">
        <v>222</v>
      </c>
      <c r="C96" s="229" t="s">
        <v>230</v>
      </c>
      <c r="D96" s="230" t="b">
        <f>ISNUMBER(SEARCH("내부회계감사",'B_ET 기본정보'!$C$12))</f>
        <v>1</v>
      </c>
      <c r="E96" s="100"/>
      <c r="F96" s="101" cm="1">
        <f t="array" ref="F96">IFERROR(INDEX(DB_tStat!$A$2:$DQ$111, _xlfn.XMATCH($F$20, DB_tStat!$A$2:$A$111, 0), _xlfn.XMATCH(Tbl_Budget[[#This Row],[Budget 관리단위]], DB_tStat!$A$1:$DQ$1, 0)),0)</f>
        <v>5.0421213138120867E-3</v>
      </c>
      <c r="G96" s="102">
        <f>Tbl_Budget[[#This Row],[유사회사 평균 비율]]*$C$9</f>
        <v>1.7546582172066061</v>
      </c>
      <c r="H96" s="110"/>
      <c r="I96" s="104">
        <f>_xlfn.XLOOKUP(Tbl_Budget[[#This Row],[Assignment]],Tbl_Members[이름],Tbl_Members[사번],0)</f>
        <v>0</v>
      </c>
      <c r="J96" s="111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3"/>
      <c r="W96" s="114">
        <f>IF(Tbl_Budget[[#This Row],[해당]]=TRUE,Tbl_Budget[[#This Row],[Budget 합계]]-SUM(Tbl_Budget[[#This Row],[1]:[12]]),0)</f>
        <v>0</v>
      </c>
      <c r="X96" s="109">
        <f>SUM(Tbl_Budget[[#This Row],[10]:[12]])/$C$13</f>
        <v>0</v>
      </c>
    </row>
    <row r="97" spans="2:24" ht="21.6" customHeight="1" x14ac:dyDescent="0.25">
      <c r="B97" s="228" t="s">
        <v>222</v>
      </c>
      <c r="C97" s="229" t="s">
        <v>231</v>
      </c>
      <c r="D97" s="230" t="b">
        <f>ISNUMBER(SEARCH("내부회계감사",'B_ET 기본정보'!$C$12))</f>
        <v>1</v>
      </c>
      <c r="E97" s="100"/>
      <c r="F97" s="101" cm="1">
        <f t="array" ref="F97">IFERROR(INDEX(DB_tStat!$A$2:$DQ$111, _xlfn.XMATCH($F$20, DB_tStat!$A$2:$A$111, 0), _xlfn.XMATCH(Tbl_Budget[[#This Row],[Budget 관리단위]], DB_tStat!$A$1:$DQ$1, 0)),0)</f>
        <v>3.9043539420183541E-3</v>
      </c>
      <c r="G97" s="102">
        <f>Tbl_Budget[[#This Row],[유사회사 평균 비율]]*$C$9</f>
        <v>1.3587151718223873</v>
      </c>
      <c r="H97" s="110"/>
      <c r="I97" s="104">
        <f>_xlfn.XLOOKUP(Tbl_Budget[[#This Row],[Assignment]],Tbl_Members[이름],Tbl_Members[사번],0)</f>
        <v>0</v>
      </c>
      <c r="J97" s="111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3"/>
      <c r="W97" s="114">
        <f>IF(Tbl_Budget[[#This Row],[해당]]=TRUE,Tbl_Budget[[#This Row],[Budget 합계]]-SUM(Tbl_Budget[[#This Row],[1]:[12]]),0)</f>
        <v>0</v>
      </c>
      <c r="X97" s="109">
        <f>SUM(Tbl_Budget[[#This Row],[10]:[12]])/$C$13</f>
        <v>0</v>
      </c>
    </row>
    <row r="98" spans="2:24" ht="21.6" customHeight="1" x14ac:dyDescent="0.25">
      <c r="B98" s="231" t="s">
        <v>222</v>
      </c>
      <c r="C98" s="232" t="s">
        <v>232</v>
      </c>
      <c r="D98" s="230" t="b">
        <f>ISNUMBER(SEARCH("내부회계감사",'B_ET 기본정보'!$C$12))</f>
        <v>1</v>
      </c>
      <c r="E98" s="115"/>
      <c r="F98" s="101" cm="1">
        <f t="array" ref="F98">IFERROR(INDEX(DB_tStat!$A$2:$DQ$111, _xlfn.XMATCH($F$20, DB_tStat!$A$2:$A$111, 0), _xlfn.XMATCH(Tbl_Budget[[#This Row],[Budget 관리단위]], DB_tStat!$A$1:$DQ$1, 0)),0)</f>
        <v>4.0022916214601349E-3</v>
      </c>
      <c r="G98" s="116">
        <f>Tbl_Budget[[#This Row],[유사회사 평균 비율]]*$C$9</f>
        <v>1.392797484268127</v>
      </c>
      <c r="H98" s="117"/>
      <c r="I98" s="104">
        <f>_xlfn.XLOOKUP(Tbl_Budget[[#This Row],[Assignment]],Tbl_Members[이름],Tbl_Members[사번],0)</f>
        <v>0</v>
      </c>
      <c r="J98" s="118"/>
      <c r="K98" s="119"/>
      <c r="L98" s="119"/>
      <c r="M98" s="119"/>
      <c r="N98" s="119"/>
      <c r="O98" s="119"/>
      <c r="P98" s="119"/>
      <c r="Q98" s="119"/>
      <c r="R98" s="119"/>
      <c r="S98" s="119"/>
      <c r="T98" s="112"/>
      <c r="U98" s="112"/>
      <c r="V98" s="120"/>
      <c r="W98" s="114">
        <f>IF(Tbl_Budget[[#This Row],[해당]]=TRUE,Tbl_Budget[[#This Row],[Budget 합계]]-SUM(Tbl_Budget[[#This Row],[1]:[12]]),0)</f>
        <v>0</v>
      </c>
      <c r="X98" s="109">
        <f>SUM(Tbl_Budget[[#This Row],[10]:[12]])/$C$13</f>
        <v>0</v>
      </c>
    </row>
    <row r="99" spans="2:24" ht="21.6" customHeight="1" x14ac:dyDescent="0.25">
      <c r="B99" s="228" t="s">
        <v>222</v>
      </c>
      <c r="C99" s="229" t="s">
        <v>233</v>
      </c>
      <c r="D99" s="230" t="b">
        <f>ISNUMBER(SEARCH("내부회계감사",'B_ET 기본정보'!$C$12))</f>
        <v>1</v>
      </c>
      <c r="E99" s="100"/>
      <c r="F99" s="101" cm="1">
        <f t="array" ref="F99">IFERROR(INDEX(DB_tStat!$A$2:$DQ$111, _xlfn.XMATCH($F$20, DB_tStat!$A$2:$A$111, 0), _xlfn.XMATCH(Tbl_Budget[[#This Row],[Budget 관리단위]], DB_tStat!$A$1:$DQ$1, 0)),0)</f>
        <v>4.5965605586745645E-3</v>
      </c>
      <c r="G99" s="102">
        <f>Tbl_Budget[[#This Row],[유사회사 평균 비율]]*$C$9</f>
        <v>1.5996030744187484</v>
      </c>
      <c r="H99" s="110"/>
      <c r="I99" s="104">
        <f>_xlfn.XLOOKUP(Tbl_Budget[[#This Row],[Assignment]],Tbl_Members[이름],Tbl_Members[사번],0)</f>
        <v>0</v>
      </c>
      <c r="J99" s="111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3"/>
      <c r="W99" s="114">
        <f>IF(Tbl_Budget[[#This Row],[해당]]=TRUE,Tbl_Budget[[#This Row],[Budget 합계]]-SUM(Tbl_Budget[[#This Row],[1]:[12]]),0)</f>
        <v>0</v>
      </c>
      <c r="X99" s="109">
        <f>SUM(Tbl_Budget[[#This Row],[10]:[12]])/$C$13</f>
        <v>0</v>
      </c>
    </row>
    <row r="100" spans="2:24" ht="21.6" customHeight="1" x14ac:dyDescent="0.25">
      <c r="B100" s="228" t="s">
        <v>222</v>
      </c>
      <c r="C100" s="229" t="s">
        <v>234</v>
      </c>
      <c r="D100" s="230" t="b">
        <f>ISNUMBER(SEARCH("내부회계감사",'B_ET 기본정보'!$C$12))</f>
        <v>1</v>
      </c>
      <c r="E100" s="100"/>
      <c r="F100" s="101" cm="1">
        <f t="array" ref="F100">IFERROR(INDEX(DB_tStat!$A$2:$DQ$111, _xlfn.XMATCH($F$20, DB_tStat!$A$2:$A$111, 0), _xlfn.XMATCH(Tbl_Budget[[#This Row],[Budget 관리단위]], DB_tStat!$A$1:$DQ$1, 0)),0)</f>
        <v>2.0357674271653599E-3</v>
      </c>
      <c r="G100" s="102">
        <f>Tbl_Budget[[#This Row],[유사회사 평균 비율]]*$C$9</f>
        <v>0.70844706465354523</v>
      </c>
      <c r="H100" s="110"/>
      <c r="I100" s="104">
        <f>_xlfn.XLOOKUP(Tbl_Budget[[#This Row],[Assignment]],Tbl_Members[이름],Tbl_Members[사번],0)</f>
        <v>0</v>
      </c>
      <c r="J100" s="111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3"/>
      <c r="W100" s="114">
        <f>IF(Tbl_Budget[[#This Row],[해당]]=TRUE,Tbl_Budget[[#This Row],[Budget 합계]]-SUM(Tbl_Budget[[#This Row],[1]:[12]]),0)</f>
        <v>0</v>
      </c>
      <c r="X100" s="109">
        <f>SUM(Tbl_Budget[[#This Row],[10]:[12]])/$C$13</f>
        <v>0</v>
      </c>
    </row>
    <row r="101" spans="2:24" ht="21.6" customHeight="1" x14ac:dyDescent="0.25">
      <c r="B101" s="228" t="s">
        <v>222</v>
      </c>
      <c r="C101" s="229" t="s">
        <v>235</v>
      </c>
      <c r="D101" s="230" t="b">
        <f>ISNUMBER(SEARCH("내부회계감사",'B_ET 기본정보'!$C$12))</f>
        <v>1</v>
      </c>
      <c r="E101" s="100"/>
      <c r="F101" s="101" cm="1">
        <f t="array" ref="F101">IFERROR(INDEX(DB_tStat!$A$2:$DQ$111, _xlfn.XMATCH($F$20, DB_tStat!$A$2:$A$111, 0), _xlfn.XMATCH(Tbl_Budget[[#This Row],[Budget 관리단위]], DB_tStat!$A$1:$DQ$1, 0)),0)</f>
        <v>2.5209441101081286E-3</v>
      </c>
      <c r="G101" s="102">
        <f>Tbl_Budget[[#This Row],[유사회사 평균 비율]]*$C$9</f>
        <v>0.87728855031762876</v>
      </c>
      <c r="H101" s="110"/>
      <c r="I101" s="104">
        <f>_xlfn.XLOOKUP(Tbl_Budget[[#This Row],[Assignment]],Tbl_Members[이름],Tbl_Members[사번],0)</f>
        <v>0</v>
      </c>
      <c r="J101" s="111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3"/>
      <c r="W101" s="114">
        <f>IF(Tbl_Budget[[#This Row],[해당]]=TRUE,Tbl_Budget[[#This Row],[Budget 합계]]-SUM(Tbl_Budget[[#This Row],[1]:[12]]),0)</f>
        <v>0</v>
      </c>
      <c r="X101" s="109">
        <f>SUM(Tbl_Budget[[#This Row],[10]:[12]])/$C$13</f>
        <v>0</v>
      </c>
    </row>
    <row r="102" spans="2:24" ht="21.6" customHeight="1" x14ac:dyDescent="0.25">
      <c r="B102" s="228" t="s">
        <v>222</v>
      </c>
      <c r="C102" s="229" t="s">
        <v>236</v>
      </c>
      <c r="D102" s="230" t="b">
        <f>ISNUMBER(SEARCH("내부회계감사",'B_ET 기본정보'!$C$12))</f>
        <v>1</v>
      </c>
      <c r="E102" s="100"/>
      <c r="F102" s="101" cm="1">
        <f t="array" ref="F102">IFERROR(INDEX(DB_tStat!$A$2:$DQ$111, _xlfn.XMATCH($F$20, DB_tStat!$A$2:$A$111, 0), _xlfn.XMATCH(Tbl_Budget[[#This Row],[Budget 관리단위]], DB_tStat!$A$1:$DQ$1, 0)),0)</f>
        <v>2.8926564665283632E-3</v>
      </c>
      <c r="G102" s="102">
        <f>Tbl_Budget[[#This Row],[유사회사 평균 비율]]*$C$9</f>
        <v>1.0066444503518703</v>
      </c>
      <c r="H102" s="110"/>
      <c r="I102" s="104">
        <f>_xlfn.XLOOKUP(Tbl_Budget[[#This Row],[Assignment]],Tbl_Members[이름],Tbl_Members[사번],0)</f>
        <v>0</v>
      </c>
      <c r="J102" s="111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3"/>
      <c r="W102" s="114">
        <f>IF(Tbl_Budget[[#This Row],[해당]]=TRUE,Tbl_Budget[[#This Row],[Budget 합계]]-SUM(Tbl_Budget[[#This Row],[1]:[12]]),0)</f>
        <v>0</v>
      </c>
      <c r="X102" s="109">
        <f>SUM(Tbl_Budget[[#This Row],[10]:[12]])/$C$13</f>
        <v>0</v>
      </c>
    </row>
    <row r="103" spans="2:24" ht="21.6" customHeight="1" x14ac:dyDescent="0.25">
      <c r="B103" s="228" t="s">
        <v>222</v>
      </c>
      <c r="C103" s="229" t="s">
        <v>237</v>
      </c>
      <c r="D103" s="230" t="b">
        <f>ISNUMBER(SEARCH("내부회계감사",'B_ET 기본정보'!$C$12))</f>
        <v>1</v>
      </c>
      <c r="E103" s="100"/>
      <c r="F103" s="101" cm="1">
        <f t="array" ref="F103">IFERROR(INDEX(DB_tStat!$A$2:$DQ$111, _xlfn.XMATCH($F$20, DB_tStat!$A$2:$A$111, 0), _xlfn.XMATCH(Tbl_Budget[[#This Row],[Budget 관리단위]], DB_tStat!$A$1:$DQ$1, 0)),0)</f>
        <v>1.3685468189510013E-2</v>
      </c>
      <c r="G103" s="102">
        <f>Tbl_Budget[[#This Row],[유사회사 평균 비율]]*$C$9</f>
        <v>4.7625429299494844</v>
      </c>
      <c r="H103" s="110"/>
      <c r="I103" s="104">
        <f>_xlfn.XLOOKUP(Tbl_Budget[[#This Row],[Assignment]],Tbl_Members[이름],Tbl_Members[사번],0)</f>
        <v>0</v>
      </c>
      <c r="J103" s="111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3"/>
      <c r="W103" s="114">
        <f>IF(Tbl_Budget[[#This Row],[해당]]=TRUE,Tbl_Budget[[#This Row],[Budget 합계]]-SUM(Tbl_Budget[[#This Row],[1]:[12]]),0)</f>
        <v>0</v>
      </c>
      <c r="X103" s="109">
        <f>SUM(Tbl_Budget[[#This Row],[10]:[12]])/$C$13</f>
        <v>0</v>
      </c>
    </row>
    <row r="104" spans="2:24" ht="21.6" customHeight="1" x14ac:dyDescent="0.25">
      <c r="B104" s="228" t="s">
        <v>222</v>
      </c>
      <c r="C104" s="229" t="s">
        <v>238</v>
      </c>
      <c r="D104" s="230" t="b">
        <f>ISNUMBER(SEARCH("내부회계감사",'B_ET 기본정보'!$C$12))</f>
        <v>1</v>
      </c>
      <c r="E104" s="100"/>
      <c r="F104" s="101" cm="1">
        <f t="array" ref="F104">IFERROR(INDEX(DB_tStat!$A$2:$DQ$111, _xlfn.XMATCH($F$20, DB_tStat!$A$2:$A$111, 0), _xlfn.XMATCH(Tbl_Budget[[#This Row],[Budget 관리단위]], DB_tStat!$A$1:$DQ$1, 0)),0)</f>
        <v>7.5560246643462947E-3</v>
      </c>
      <c r="G104" s="102">
        <f>Tbl_Budget[[#This Row],[유사회사 평균 비율]]*$C$9</f>
        <v>2.6294965831925108</v>
      </c>
      <c r="H104" s="110"/>
      <c r="I104" s="104">
        <f>_xlfn.XLOOKUP(Tbl_Budget[[#This Row],[Assignment]],Tbl_Members[이름],Tbl_Members[사번],0)</f>
        <v>0</v>
      </c>
      <c r="J104" s="111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3"/>
      <c r="W104" s="114">
        <f>IF(Tbl_Budget[[#This Row],[해당]]=TRUE,Tbl_Budget[[#This Row],[Budget 합계]]-SUM(Tbl_Budget[[#This Row],[1]:[12]]),0)</f>
        <v>0</v>
      </c>
      <c r="X104" s="109">
        <f>SUM(Tbl_Budget[[#This Row],[10]:[12]])/$C$13</f>
        <v>0</v>
      </c>
    </row>
    <row r="105" spans="2:24" ht="21.6" customHeight="1" x14ac:dyDescent="0.25">
      <c r="B105" s="228" t="s">
        <v>222</v>
      </c>
      <c r="C105" s="229" t="s">
        <v>239</v>
      </c>
      <c r="D105" s="230" t="b">
        <f>ISNUMBER(SEARCH("내부회계감사",'B_ET 기본정보'!$C$12))</f>
        <v>1</v>
      </c>
      <c r="E105" s="100"/>
      <c r="F105" s="101" cm="1">
        <f t="array" ref="F105">IFERROR(INDEX(DB_tStat!$A$2:$DQ$111, _xlfn.XMATCH($F$20, DB_tStat!$A$2:$A$111, 0), _xlfn.XMATCH(Tbl_Budget[[#This Row],[Budget 관리단위]], DB_tStat!$A$1:$DQ$1, 0)),0)</f>
        <v>5.8024482756180301E-3</v>
      </c>
      <c r="G105" s="102">
        <f>Tbl_Budget[[#This Row],[유사회사 평균 비율]]*$C$9</f>
        <v>2.0192519999150744</v>
      </c>
      <c r="H105" s="110"/>
      <c r="I105" s="104">
        <f>_xlfn.XLOOKUP(Tbl_Budget[[#This Row],[Assignment]],Tbl_Members[이름],Tbl_Members[사번],0)</f>
        <v>0</v>
      </c>
      <c r="J105" s="111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3"/>
      <c r="W105" s="114">
        <f>IF(Tbl_Budget[[#This Row],[해당]]=TRUE,Tbl_Budget[[#This Row],[Budget 합계]]-SUM(Tbl_Budget[[#This Row],[1]:[12]]),0)</f>
        <v>0</v>
      </c>
      <c r="X105" s="109">
        <f>SUM(Tbl_Budget[[#This Row],[10]:[12]])/$C$13</f>
        <v>0</v>
      </c>
    </row>
    <row r="106" spans="2:24" ht="21.6" customHeight="1" x14ac:dyDescent="0.25">
      <c r="B106" s="228" t="s">
        <v>222</v>
      </c>
      <c r="C106" s="229" t="s">
        <v>240</v>
      </c>
      <c r="D106" s="230" t="b">
        <f>ISNUMBER(SEARCH("내부회계감사",'B_ET 기본정보'!$C$12))</f>
        <v>1</v>
      </c>
      <c r="E106" s="100"/>
      <c r="F106" s="101" cm="1">
        <f t="array" ref="F106">IFERROR(INDEX(DB_tStat!$A$2:$DQ$111, _xlfn.XMATCH($F$20, DB_tStat!$A$2:$A$111, 0), _xlfn.XMATCH(Tbl_Budget[[#This Row],[Budget 관리단위]], DB_tStat!$A$1:$DQ$1, 0)),0)</f>
        <v>8.8646057711031651E-3</v>
      </c>
      <c r="G106" s="102">
        <f>Tbl_Budget[[#This Row],[유사회사 평균 비율]]*$C$9</f>
        <v>3.0848828083439015</v>
      </c>
      <c r="H106" s="110"/>
      <c r="I106" s="104">
        <f>_xlfn.XLOOKUP(Tbl_Budget[[#This Row],[Assignment]],Tbl_Members[이름],Tbl_Members[사번],0)</f>
        <v>0</v>
      </c>
      <c r="J106" s="111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3"/>
      <c r="W106" s="114">
        <f>IF(Tbl_Budget[[#This Row],[해당]]=TRUE,Tbl_Budget[[#This Row],[Budget 합계]]-SUM(Tbl_Budget[[#This Row],[1]:[12]]),0)</f>
        <v>0</v>
      </c>
      <c r="X106" s="109">
        <f>SUM(Tbl_Budget[[#This Row],[10]:[12]])/$C$13</f>
        <v>0</v>
      </c>
    </row>
    <row r="107" spans="2:24" ht="21.6" customHeight="1" x14ac:dyDescent="0.25">
      <c r="B107" s="228" t="s">
        <v>222</v>
      </c>
      <c r="C107" s="229" t="s">
        <v>241</v>
      </c>
      <c r="D107" s="230" t="b">
        <f>ISNUMBER(SEARCH("내부회계감사",'B_ET 기본정보'!$C$12))</f>
        <v>1</v>
      </c>
      <c r="E107" s="100"/>
      <c r="F107" s="101" cm="1">
        <f t="array" ref="F107">IFERROR(INDEX(DB_tStat!$A$2:$DQ$111, _xlfn.XMATCH($F$20, DB_tStat!$A$2:$A$111, 0), _xlfn.XMATCH(Tbl_Budget[[#This Row],[Budget 관리단위]], DB_tStat!$A$1:$DQ$1, 0)),0)</f>
        <v>5.2052075703555058E-3</v>
      </c>
      <c r="G107" s="102">
        <f>Tbl_Budget[[#This Row],[유사회사 평균 비율]]*$C$9</f>
        <v>1.811412234483716</v>
      </c>
      <c r="H107" s="110"/>
      <c r="I107" s="104">
        <f>_xlfn.XLOOKUP(Tbl_Budget[[#This Row],[Assignment]],Tbl_Members[이름],Tbl_Members[사번],0)</f>
        <v>0</v>
      </c>
      <c r="J107" s="111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3"/>
      <c r="W107" s="114">
        <f>IF(Tbl_Budget[[#This Row],[해당]]=TRUE,Tbl_Budget[[#This Row],[Budget 합계]]-SUM(Tbl_Budget[[#This Row],[1]:[12]]),0)</f>
        <v>0</v>
      </c>
      <c r="X107" s="109">
        <f>SUM(Tbl_Budget[[#This Row],[10]:[12]])/$C$13</f>
        <v>0</v>
      </c>
    </row>
    <row r="108" spans="2:24" ht="21.6" customHeight="1" x14ac:dyDescent="0.25">
      <c r="B108" s="228" t="s">
        <v>222</v>
      </c>
      <c r="C108" s="229" t="s">
        <v>242</v>
      </c>
      <c r="D108" s="230" t="b">
        <f>ISNUMBER(SEARCH("내부회계감사",'B_ET 기본정보'!$C$12))</f>
        <v>1</v>
      </c>
      <c r="E108" s="100"/>
      <c r="F108" s="101" cm="1">
        <f t="array" ref="F108">IFERROR(INDEX(DB_tStat!$A$2:$DQ$111, _xlfn.XMATCH($F$20, DB_tStat!$A$2:$A$111, 0), _xlfn.XMATCH(Tbl_Budget[[#This Row],[Budget 관리단위]], DB_tStat!$A$1:$DQ$1, 0)),0)</f>
        <v>4.3066342956149493E-3</v>
      </c>
      <c r="G108" s="102">
        <f>Tbl_Budget[[#This Row],[유사회사 평균 비율]]*$C$9</f>
        <v>1.4987087348740025</v>
      </c>
      <c r="H108" s="110"/>
      <c r="I108" s="104">
        <f>_xlfn.XLOOKUP(Tbl_Budget[[#This Row],[Assignment]],Tbl_Members[이름],Tbl_Members[사번],0)</f>
        <v>0</v>
      </c>
      <c r="J108" s="111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3"/>
      <c r="W108" s="114">
        <f>IF(Tbl_Budget[[#This Row],[해당]]=TRUE,Tbl_Budget[[#This Row],[Budget 합계]]-SUM(Tbl_Budget[[#This Row],[1]:[12]]),0)</f>
        <v>0</v>
      </c>
      <c r="X108" s="109">
        <f>SUM(Tbl_Budget[[#This Row],[10]:[12]])/$C$13</f>
        <v>0</v>
      </c>
    </row>
    <row r="109" spans="2:24" ht="21.6" customHeight="1" x14ac:dyDescent="0.25">
      <c r="B109" s="228" t="s">
        <v>222</v>
      </c>
      <c r="C109" s="229" t="s">
        <v>243</v>
      </c>
      <c r="D109" s="230" t="b">
        <f>ISNUMBER(SEARCH("내부회계감사",'B_ET 기본정보'!$C$12))</f>
        <v>1</v>
      </c>
      <c r="E109" s="100"/>
      <c r="F109" s="101" cm="1">
        <f t="array" ref="F109">IFERROR(INDEX(DB_tStat!$A$2:$DQ$111, _xlfn.XMATCH($F$20, DB_tStat!$A$2:$A$111, 0), _xlfn.XMATCH(Tbl_Budget[[#This Row],[Budget 관리단위]], DB_tStat!$A$1:$DQ$1, 0)),0)</f>
        <v>4.5569749742468448E-3</v>
      </c>
      <c r="G109" s="102">
        <f>Tbl_Budget[[#This Row],[유사회사 평균 비율]]*$C$9</f>
        <v>1.5858272910379019</v>
      </c>
      <c r="H109" s="110"/>
      <c r="I109" s="104">
        <f>_xlfn.XLOOKUP(Tbl_Budget[[#This Row],[Assignment]],Tbl_Members[이름],Tbl_Members[사번],0)</f>
        <v>0</v>
      </c>
      <c r="J109" s="111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3"/>
      <c r="W109" s="114">
        <f>IF(Tbl_Budget[[#This Row],[해당]]=TRUE,Tbl_Budget[[#This Row],[Budget 합계]]-SUM(Tbl_Budget[[#This Row],[1]:[12]]),0)</f>
        <v>0</v>
      </c>
      <c r="X109" s="109">
        <f>SUM(Tbl_Budget[[#This Row],[10]:[12]])/$C$13</f>
        <v>0</v>
      </c>
    </row>
    <row r="110" spans="2:24" ht="21.6" customHeight="1" x14ac:dyDescent="0.25">
      <c r="B110" s="228" t="s">
        <v>222</v>
      </c>
      <c r="C110" s="229" t="s">
        <v>244</v>
      </c>
      <c r="D110" s="230" t="b">
        <f>ISNUMBER(SEARCH("내부회계감사",'B_ET 기본정보'!$C$12))</f>
        <v>1</v>
      </c>
      <c r="E110" s="100"/>
      <c r="F110" s="101" cm="1">
        <f t="array" ref="F110">IFERROR(INDEX(DB_tStat!$A$2:$DQ$111, _xlfn.XMATCH($F$20, DB_tStat!$A$2:$A$111, 0), _xlfn.XMATCH(Tbl_Budget[[#This Row],[Budget 관리단위]], DB_tStat!$A$1:$DQ$1, 0)),0)</f>
        <v>5.2166404629877304E-3</v>
      </c>
      <c r="G110" s="102">
        <f>Tbl_Budget[[#This Row],[유사회사 평균 비율]]*$C$9</f>
        <v>1.8153908811197301</v>
      </c>
      <c r="H110" s="110"/>
      <c r="I110" s="104">
        <f>_xlfn.XLOOKUP(Tbl_Budget[[#This Row],[Assignment]],Tbl_Members[이름],Tbl_Members[사번],0)</f>
        <v>0</v>
      </c>
      <c r="J110" s="111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3"/>
      <c r="W110" s="114">
        <f>IF(Tbl_Budget[[#This Row],[해당]]=TRUE,Tbl_Budget[[#This Row],[Budget 합계]]-SUM(Tbl_Budget[[#This Row],[1]:[12]]),0)</f>
        <v>0</v>
      </c>
      <c r="X110" s="109">
        <f>SUM(Tbl_Budget[[#This Row],[10]:[12]])/$C$13</f>
        <v>0</v>
      </c>
    </row>
    <row r="111" spans="2:24" ht="21.6" customHeight="1" x14ac:dyDescent="0.25">
      <c r="B111" s="228" t="s">
        <v>222</v>
      </c>
      <c r="C111" s="229" t="s">
        <v>245</v>
      </c>
      <c r="D111" s="230" t="b">
        <f>ISNUMBER(SEARCH("내부회계감사",'B_ET 기본정보'!$C$12))</f>
        <v>1</v>
      </c>
      <c r="E111" s="100"/>
      <c r="F111" s="101" cm="1">
        <f t="array" ref="F111">IFERROR(INDEX(DB_tStat!$A$2:$DQ$111, _xlfn.XMATCH($F$20, DB_tStat!$A$2:$A$111, 0), _xlfn.XMATCH(Tbl_Budget[[#This Row],[Budget 관리단위]], DB_tStat!$A$1:$DQ$1, 0)),0)</f>
        <v>2.0376227265874931E-3</v>
      </c>
      <c r="G111" s="102">
        <f>Tbl_Budget[[#This Row],[유사회사 평균 비율]]*$C$9</f>
        <v>0.70909270885244757</v>
      </c>
      <c r="H111" s="110"/>
      <c r="I111" s="104">
        <f>_xlfn.XLOOKUP(Tbl_Budget[[#This Row],[Assignment]],Tbl_Members[이름],Tbl_Members[사번],0)</f>
        <v>0</v>
      </c>
      <c r="J111" s="111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3"/>
      <c r="W111" s="114">
        <f>IF(Tbl_Budget[[#This Row],[해당]]=TRUE,Tbl_Budget[[#This Row],[Budget 합계]]-SUM(Tbl_Budget[[#This Row],[1]:[12]]),0)</f>
        <v>0</v>
      </c>
      <c r="X111" s="109">
        <f>SUM(Tbl_Budget[[#This Row],[10]:[12]])/$C$13</f>
        <v>0</v>
      </c>
    </row>
    <row r="112" spans="2:24" ht="21.6" customHeight="1" x14ac:dyDescent="0.25">
      <c r="B112" s="228" t="s">
        <v>222</v>
      </c>
      <c r="C112" s="229" t="s">
        <v>246</v>
      </c>
      <c r="D112" s="230" t="b">
        <f>ISNUMBER(SEARCH("내부회계감사",'B_ET 기본정보'!$C$12))</f>
        <v>1</v>
      </c>
      <c r="E112" s="100"/>
      <c r="F112" s="101" cm="1">
        <f t="array" ref="F112">IFERROR(INDEX(DB_tStat!$A$2:$DQ$111, _xlfn.XMATCH($F$20, DB_tStat!$A$2:$A$111, 0), _xlfn.XMATCH(Tbl_Budget[[#This Row],[Budget 관리단위]], DB_tStat!$A$1:$DQ$1, 0)),0)</f>
        <v>1.8556447998543963E-3</v>
      </c>
      <c r="G112" s="102">
        <f>Tbl_Budget[[#This Row],[유사회사 평균 비율]]*$C$9</f>
        <v>0.64576439034932986</v>
      </c>
      <c r="H112" s="110"/>
      <c r="I112" s="104">
        <f>_xlfn.XLOOKUP(Tbl_Budget[[#This Row],[Assignment]],Tbl_Members[이름],Tbl_Members[사번],0)</f>
        <v>0</v>
      </c>
      <c r="J112" s="111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3"/>
      <c r="W112" s="114">
        <f>IF(Tbl_Budget[[#This Row],[해당]]=TRUE,Tbl_Budget[[#This Row],[Budget 합계]]-SUM(Tbl_Budget[[#This Row],[1]:[12]]),0)</f>
        <v>0</v>
      </c>
      <c r="X112" s="109">
        <f>SUM(Tbl_Budget[[#This Row],[10]:[12]])/$C$13</f>
        <v>0</v>
      </c>
    </row>
    <row r="113" spans="2:24" x14ac:dyDescent="0.25">
      <c r="B113" s="231" t="s">
        <v>247</v>
      </c>
      <c r="C113" s="232" t="s">
        <v>247</v>
      </c>
      <c r="D113" s="230" t="b">
        <f>ISNUMBER(SEARCH("내부회계감사",'B_ET 기본정보'!$C$12))</f>
        <v>1</v>
      </c>
      <c r="E113" s="115"/>
      <c r="F113" s="101" cm="1">
        <f t="array" ref="F113">IFERROR(INDEX(DB_tStat!$A$2:$DQ$111, _xlfn.XMATCH($F$20, DB_tStat!$A$2:$A$111, 0), _xlfn.XMATCH(Tbl_Budget[[#This Row],[Budget 관리단위]], DB_tStat!$A$1:$DQ$1, 0)),0)</f>
        <v>0</v>
      </c>
      <c r="G113" s="102">
        <f>Tbl_Budget[[#This Row],[유사회사 평균 비율]]*$C$9</f>
        <v>0</v>
      </c>
      <c r="H113" s="110"/>
      <c r="I113" s="104">
        <f>_xlfn.XLOOKUP(Tbl_Budget[[#This Row],[Assignment]],Tbl_Members[이름],Tbl_Members[사번],0)</f>
        <v>0</v>
      </c>
      <c r="J113" s="111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3"/>
      <c r="W113" s="114">
        <f>IF(Tbl_Budget[[#This Row],[해당]]=TRUE,Tbl_Budget[[#This Row],[Budget 합계]]-SUM(Tbl_Budget[[#This Row],[1]:[12]]),0)</f>
        <v>0</v>
      </c>
      <c r="X113" s="109">
        <f>SUM(Tbl_Budget[[#This Row],[10]:[12]])/$C$13</f>
        <v>0</v>
      </c>
    </row>
    <row r="114" spans="2:24" ht="14.25" thickBot="1" x14ac:dyDescent="0.3">
      <c r="B114" s="233" t="s">
        <v>248</v>
      </c>
      <c r="C114" s="234" t="s">
        <v>249</v>
      </c>
      <c r="D114" s="235" t="b">
        <v>0</v>
      </c>
      <c r="E114" s="115"/>
      <c r="F114" s="101" cm="1">
        <f t="array" ref="F114">IFERROR(INDEX(DB_tStat!$A$2:$DQ$111, _xlfn.XMATCH($F$20, DB_tStat!$A$2:$A$111, 0), _xlfn.XMATCH(Tbl_Budget[[#This Row],[Budget 관리단위]], DB_tStat!$A$1:$DQ$1, 0)),0)</f>
        <v>0</v>
      </c>
      <c r="G114" s="102">
        <f>Tbl_Budget[[#This Row],[유사회사 평균 비율]]*$C$9</f>
        <v>0</v>
      </c>
      <c r="H114" s="121"/>
      <c r="I114" s="104">
        <f>_xlfn.XLOOKUP(Tbl_Budget[[#This Row],[Assignment]],Tbl_Members[이름],Tbl_Members[사번],0)</f>
        <v>0</v>
      </c>
      <c r="J114" s="122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4"/>
      <c r="W114" s="114">
        <f>IF(Tbl_Budget[[#This Row],[해당]]=TRUE,Tbl_Budget[[#This Row],[Budget 합계]]-SUM(Tbl_Budget[[#This Row],[1]:[12]]),0)</f>
        <v>0</v>
      </c>
      <c r="X114" s="109">
        <f>SUM(Tbl_Budget[[#This Row],[10]:[12]])/$C$13</f>
        <v>0</v>
      </c>
    </row>
    <row r="115" spans="2:24" ht="14.25" thickTop="1" x14ac:dyDescent="0.25"/>
  </sheetData>
  <sheetProtection formatCells="0" formatColumns="0" formatRows="0" insertRows="0" deleteRows="0" sort="0" autoFilter="0" pivotTables="0"/>
  <phoneticPr fontId="4" type="noConversion"/>
  <conditionalFormatting sqref="B23:C114">
    <cfRule type="containsBlanks" dxfId="4" priority="4">
      <formula>LEN(TRIM(B23))=0</formula>
    </cfRule>
  </conditionalFormatting>
  <conditionalFormatting sqref="C15:C17">
    <cfRule type="cellIs" dxfId="3" priority="2" operator="notEqual">
      <formula>0</formula>
    </cfRule>
  </conditionalFormatting>
  <conditionalFormatting sqref="C19">
    <cfRule type="cellIs" dxfId="2" priority="1" operator="notEqual">
      <formula>"작성완료"</formula>
    </cfRule>
  </conditionalFormatting>
  <conditionalFormatting sqref="C114">
    <cfRule type="duplicateValues" dxfId="1" priority="5"/>
  </conditionalFormatting>
  <conditionalFormatting sqref="E23:V114">
    <cfRule type="expression" dxfId="0" priority="3">
      <formula>NOT($D23)</formula>
    </cfRule>
  </conditionalFormatting>
  <dataValidations count="6">
    <dataValidation allowBlank="1" showInputMessage="1" showErrorMessage="1" sqref="C18" xr:uid="{BDBEBCF4-4703-4648-966B-89B21D4D3346}"/>
    <dataValidation type="list" allowBlank="1" showInputMessage="1" showErrorMessage="1" sqref="C19" xr:uid="{ACB2A81B-86AB-41D4-A5CA-8287133FC1BF}">
      <formula1>"작성완료,진행중,작업전"</formula1>
    </dataValidation>
    <dataValidation allowBlank="1" showInputMessage="1" showErrorMessage="1" prompt="Spacebar로 선택가능_x000a_(다중 선택 가능)" sqref="D21" xr:uid="{B8BC890E-AF2F-48A0-A497-232ABD4B8E37}"/>
    <dataValidation type="list" allowBlank="1" showInputMessage="1" showErrorMessage="1" sqref="H23:H114" xr:uid="{A798F8F8-3D5D-444F-B22E-4E1D834C45EB}">
      <formula1>List_Members</formula1>
    </dataValidation>
    <dataValidation type="list" allowBlank="1" showInputMessage="1" showErrorMessage="1" sqref="C23:C114" xr:uid="{C967749A-DEE5-4AA1-AA99-073332513E5B}">
      <formula1>INDIRECT("List_"&amp;SUBSTITUTE(SUBSTITUTE(SUBSTITUTE(B23," ",""),"/",""),"-",""))</formula1>
    </dataValidation>
    <dataValidation type="list" allowBlank="1" showInputMessage="1" showErrorMessage="1" sqref="B23:B114" xr:uid="{DB266936-2AEF-41CC-A496-AA7B88AED453}">
      <formula1>List_대분류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521C-643C-4430-A3A9-0E682FDDC9E2}">
  <sheetPr codeName="Sheet6">
    <tabColor rgb="FFFFC000"/>
  </sheetPr>
  <dimension ref="A1:AT484"/>
  <sheetViews>
    <sheetView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ColWidth="8.75" defaultRowHeight="16.5" x14ac:dyDescent="0.3"/>
  <cols>
    <col min="1" max="2" width="14.75" style="3" customWidth="1"/>
    <col min="3" max="3" width="14.375" style="3" customWidth="1"/>
    <col min="4" max="4" width="24.75" style="3" customWidth="1"/>
    <col min="5" max="5" width="10.625" style="3" customWidth="1"/>
    <col min="6" max="7" width="8.75" style="3"/>
    <col min="8" max="8" width="14.625" style="3" customWidth="1"/>
    <col min="9" max="16384" width="8.75" style="3"/>
  </cols>
  <sheetData>
    <row r="1" spans="1:46" ht="33" customHeight="1" thickBot="1" x14ac:dyDescent="0.35">
      <c r="A1" s="3" t="str">
        <f>'B_ET 기본정보'!C20</f>
        <v>15916-01-012</v>
      </c>
      <c r="B1" s="3" t="str">
        <f>'B_ET 기본정보'!C21</f>
        <v>(주)에뛰드/2025년 회계감사</v>
      </c>
      <c r="C1" s="125"/>
      <c r="D1" s="126">
        <f>IFERROR(('D_2606 budget template'!C4+'D_2606 budget template'!C14)/('D_2606 budget template'!C13-'D_2606 budget template'!C14),0)</f>
        <v>0.22383720930232559</v>
      </c>
      <c r="E1" s="236">
        <f>'D_2606 budget template'!C3-SUMIFS(Tbl_Budget[Budget 합계],Tbl_Budget[Budget 관리단위],"외국어 보고서",Tbl_Budget[해당],TRUE)</f>
        <v>500</v>
      </c>
      <c r="F1" s="127" t="s">
        <v>250</v>
      </c>
      <c r="G1" s="128">
        <f>E1-K4</f>
        <v>0</v>
      </c>
      <c r="H1" s="129">
        <f>'D_2606 budget template'!C13+'D_2606 budget template'!C4-SUM(K12:K484)-SUMIFS(Tbl_Budget[Budget 합계],Tbl_Budget[Budget 관리단위],"외국어 보고서",Tbl_Budget[해당],TRUE)</f>
        <v>0</v>
      </c>
      <c r="K1" s="3" t="s">
        <v>251</v>
      </c>
      <c r="L1" s="130">
        <v>1</v>
      </c>
      <c r="M1" s="130">
        <v>2</v>
      </c>
      <c r="N1" s="130">
        <v>3</v>
      </c>
      <c r="O1" s="130">
        <v>4</v>
      </c>
      <c r="P1" s="130">
        <v>5</v>
      </c>
      <c r="Q1" s="130">
        <v>6</v>
      </c>
      <c r="R1" s="130">
        <v>7</v>
      </c>
      <c r="S1" s="130">
        <v>8</v>
      </c>
      <c r="T1" s="130">
        <v>9</v>
      </c>
      <c r="U1" s="130">
        <v>10</v>
      </c>
      <c r="V1" s="130">
        <v>11</v>
      </c>
      <c r="W1" s="130">
        <v>12</v>
      </c>
      <c r="X1" s="130">
        <v>39</v>
      </c>
      <c r="Y1" s="130">
        <v>40</v>
      </c>
      <c r="Z1" s="130">
        <v>41</v>
      </c>
      <c r="AA1" s="130">
        <v>42</v>
      </c>
      <c r="AB1" s="130">
        <v>43</v>
      </c>
      <c r="AC1" s="130">
        <v>44</v>
      </c>
      <c r="AD1" s="130">
        <v>45</v>
      </c>
      <c r="AE1" s="130">
        <v>46</v>
      </c>
      <c r="AF1" s="130">
        <v>47</v>
      </c>
      <c r="AG1" s="130">
        <v>48</v>
      </c>
      <c r="AH1" s="130">
        <v>49</v>
      </c>
      <c r="AI1" s="130">
        <v>50</v>
      </c>
      <c r="AJ1" s="130">
        <v>51</v>
      </c>
      <c r="AK1" s="130">
        <v>52</v>
      </c>
      <c r="AL1" s="130">
        <v>53</v>
      </c>
      <c r="AM1" s="130">
        <v>54</v>
      </c>
      <c r="AN1" s="130">
        <v>55</v>
      </c>
      <c r="AO1" s="130">
        <v>56</v>
      </c>
      <c r="AP1" s="130">
        <v>57</v>
      </c>
      <c r="AQ1" s="130">
        <v>58</v>
      </c>
      <c r="AR1" s="130">
        <v>59</v>
      </c>
      <c r="AS1" s="130">
        <v>60</v>
      </c>
      <c r="AT1" s="130">
        <v>61</v>
      </c>
    </row>
    <row r="2" spans="1:46" ht="16.5" customHeight="1" x14ac:dyDescent="0.3">
      <c r="A2" s="245" t="s">
        <v>252</v>
      </c>
      <c r="B2" s="245" t="s">
        <v>253</v>
      </c>
      <c r="C2" s="245" t="s">
        <v>254</v>
      </c>
      <c r="D2" s="245" t="s">
        <v>255</v>
      </c>
      <c r="E2" s="245" t="s">
        <v>256</v>
      </c>
      <c r="F2" s="245" t="s">
        <v>257</v>
      </c>
      <c r="G2" s="246" t="s">
        <v>67</v>
      </c>
      <c r="H2" s="245" t="s">
        <v>258</v>
      </c>
      <c r="I2" s="245" t="s">
        <v>259</v>
      </c>
      <c r="J2" s="247" t="s">
        <v>260</v>
      </c>
      <c r="K2" s="245" t="s">
        <v>261</v>
      </c>
      <c r="L2" s="131" t="str">
        <f>TEXT('D_2606 budget template'!K21,"YYYY/MM")</f>
        <v>2025/04</v>
      </c>
      <c r="M2" s="131" t="str">
        <f>TEXT('D_2606 budget template'!L21,"YYYY/MM")</f>
        <v>2025/05</v>
      </c>
      <c r="N2" s="131" t="str">
        <f>TEXT('D_2606 budget template'!M21,"YYYY/MM")</f>
        <v>2025/06</v>
      </c>
      <c r="O2" s="131" t="str">
        <f>TEXT('D_2606 budget template'!N21,"YYYY/MM")</f>
        <v>2025/07</v>
      </c>
      <c r="P2" s="131" t="str">
        <f>TEXT('D_2606 budget template'!O21,"YYYY/MM")</f>
        <v>2025/08</v>
      </c>
      <c r="Q2" s="131" t="str">
        <f>TEXT('D_2606 budget template'!P21,"YYYY/MM")</f>
        <v>2025/09</v>
      </c>
      <c r="R2" s="131" t="str">
        <f>TEXT('D_2606 budget template'!Q21,"YYYY/MM")</f>
        <v>2025/10</v>
      </c>
      <c r="S2" s="131" t="str">
        <f>TEXT('D_2606 budget template'!R21,"YYYY/MM")</f>
        <v>2025/11</v>
      </c>
      <c r="T2" s="131" t="str">
        <f>TEXT('D_2606 budget template'!S21,"YYYY/MM")</f>
        <v>2025/12</v>
      </c>
      <c r="U2" s="131" t="str">
        <f>TEXT('D_2606 budget template'!T21,"YYYY/MM")</f>
        <v>2026/01</v>
      </c>
      <c r="V2" s="131" t="str">
        <f>TEXT('D_2606 budget template'!U21,"YYYY/MM")</f>
        <v>2026/02</v>
      </c>
      <c r="W2" s="131" t="str">
        <f>TEXT('D_2606 budget template'!V21,"YYYY/MM")</f>
        <v>2026/03</v>
      </c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2"/>
    </row>
    <row r="3" spans="1:46" x14ac:dyDescent="0.3">
      <c r="A3" s="245" t="s">
        <v>262</v>
      </c>
      <c r="B3" s="245" t="s">
        <v>262</v>
      </c>
      <c r="C3" s="245" t="s">
        <v>262</v>
      </c>
      <c r="D3" s="245" t="s">
        <v>262</v>
      </c>
      <c r="E3" s="245" t="s">
        <v>262</v>
      </c>
      <c r="F3" s="245" t="s">
        <v>262</v>
      </c>
      <c r="G3" s="245" t="s">
        <v>262</v>
      </c>
      <c r="H3" s="245" t="s">
        <v>262</v>
      </c>
      <c r="I3" s="245" t="s">
        <v>262</v>
      </c>
      <c r="J3" s="245" t="s">
        <v>262</v>
      </c>
      <c r="K3" s="245" t="s">
        <v>262</v>
      </c>
      <c r="L3" s="131" t="str">
        <f>TEXT(NETWORKDAYS(EOMONTH(L2,-1)+1,EOMONTH(L2,0)),"##0")&amp;" days"</f>
        <v>22 days</v>
      </c>
      <c r="M3" s="131" t="str">
        <f t="shared" ref="M3:W3" si="0">TEXT(NETWORKDAYS(EOMONTH(M2,-1)+1,EOMONTH(M2,0)),"##0")&amp;" days"</f>
        <v>22 days</v>
      </c>
      <c r="N3" s="131" t="str">
        <f t="shared" si="0"/>
        <v>21 days</v>
      </c>
      <c r="O3" s="131" t="str">
        <f t="shared" si="0"/>
        <v>23 days</v>
      </c>
      <c r="P3" s="131" t="str">
        <f t="shared" si="0"/>
        <v>21 days</v>
      </c>
      <c r="Q3" s="131" t="str">
        <f t="shared" si="0"/>
        <v>22 days</v>
      </c>
      <c r="R3" s="131" t="str">
        <f t="shared" si="0"/>
        <v>23 days</v>
      </c>
      <c r="S3" s="131" t="str">
        <f t="shared" si="0"/>
        <v>20 days</v>
      </c>
      <c r="T3" s="131" t="str">
        <f t="shared" si="0"/>
        <v>23 days</v>
      </c>
      <c r="U3" s="131" t="str">
        <f t="shared" si="0"/>
        <v>22 days</v>
      </c>
      <c r="V3" s="131" t="str">
        <f t="shared" si="0"/>
        <v>20 days</v>
      </c>
      <c r="W3" s="131" t="str">
        <f t="shared" si="0"/>
        <v>22 days</v>
      </c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3"/>
    </row>
    <row r="4" spans="1:46" x14ac:dyDescent="0.3">
      <c r="A4" s="134" t="s">
        <v>263</v>
      </c>
      <c r="B4" s="135" t="s">
        <v>264</v>
      </c>
      <c r="C4" s="136" t="s">
        <v>265</v>
      </c>
      <c r="D4" s="137" t="s">
        <v>266</v>
      </c>
      <c r="E4" s="136" t="s">
        <v>267</v>
      </c>
      <c r="F4" s="135" t="s">
        <v>264</v>
      </c>
      <c r="G4" s="135" t="s">
        <v>264</v>
      </c>
      <c r="H4" s="135" t="s">
        <v>264</v>
      </c>
      <c r="I4" s="138">
        <f>IF(K4=0, 0, J4/K4)</f>
        <v>0</v>
      </c>
      <c r="J4" s="139">
        <f t="shared" ref="J4:AT4" si="1">SUM(J5:J484)</f>
        <v>0</v>
      </c>
      <c r="K4" s="140">
        <f t="shared" si="1"/>
        <v>500</v>
      </c>
      <c r="L4" s="141">
        <f t="shared" si="1"/>
        <v>0</v>
      </c>
      <c r="M4" s="141">
        <f t="shared" si="1"/>
        <v>0</v>
      </c>
      <c r="N4" s="141">
        <f t="shared" si="1"/>
        <v>65</v>
      </c>
      <c r="O4" s="141">
        <f t="shared" si="1"/>
        <v>0</v>
      </c>
      <c r="P4" s="141">
        <f t="shared" si="1"/>
        <v>0</v>
      </c>
      <c r="Q4" s="141">
        <f t="shared" si="1"/>
        <v>41</v>
      </c>
      <c r="R4" s="141">
        <f t="shared" si="1"/>
        <v>0</v>
      </c>
      <c r="S4" s="141">
        <f t="shared" si="1"/>
        <v>0</v>
      </c>
      <c r="T4" s="141">
        <f t="shared" si="1"/>
        <v>118</v>
      </c>
      <c r="U4" s="141">
        <f t="shared" si="1"/>
        <v>173</v>
      </c>
      <c r="V4" s="141">
        <f t="shared" si="1"/>
        <v>24</v>
      </c>
      <c r="W4" s="141">
        <f t="shared" si="1"/>
        <v>79</v>
      </c>
      <c r="X4" s="141">
        <f t="shared" si="1"/>
        <v>0</v>
      </c>
      <c r="Y4" s="141">
        <f t="shared" si="1"/>
        <v>0</v>
      </c>
      <c r="Z4" s="141">
        <f t="shared" si="1"/>
        <v>0</v>
      </c>
      <c r="AA4" s="141">
        <f t="shared" si="1"/>
        <v>0</v>
      </c>
      <c r="AB4" s="141">
        <f t="shared" si="1"/>
        <v>0</v>
      </c>
      <c r="AC4" s="141">
        <f t="shared" si="1"/>
        <v>0</v>
      </c>
      <c r="AD4" s="141">
        <f t="shared" si="1"/>
        <v>0</v>
      </c>
      <c r="AE4" s="141">
        <f t="shared" si="1"/>
        <v>0</v>
      </c>
      <c r="AF4" s="141">
        <f t="shared" si="1"/>
        <v>0</v>
      </c>
      <c r="AG4" s="141">
        <f t="shared" si="1"/>
        <v>0</v>
      </c>
      <c r="AH4" s="141">
        <f t="shared" si="1"/>
        <v>0</v>
      </c>
      <c r="AI4" s="141">
        <f t="shared" si="1"/>
        <v>0</v>
      </c>
      <c r="AJ4" s="141">
        <f t="shared" si="1"/>
        <v>0</v>
      </c>
      <c r="AK4" s="141">
        <f t="shared" si="1"/>
        <v>0</v>
      </c>
      <c r="AL4" s="141">
        <f t="shared" si="1"/>
        <v>0</v>
      </c>
      <c r="AM4" s="141">
        <f t="shared" si="1"/>
        <v>0</v>
      </c>
      <c r="AN4" s="141">
        <f t="shared" si="1"/>
        <v>0</v>
      </c>
      <c r="AO4" s="141">
        <f t="shared" si="1"/>
        <v>0</v>
      </c>
      <c r="AP4" s="141">
        <f t="shared" si="1"/>
        <v>0</v>
      </c>
      <c r="AQ4" s="141">
        <f t="shared" si="1"/>
        <v>0</v>
      </c>
      <c r="AR4" s="141">
        <f t="shared" si="1"/>
        <v>0</v>
      </c>
      <c r="AS4" s="141">
        <f t="shared" si="1"/>
        <v>0</v>
      </c>
      <c r="AT4" s="142">
        <f t="shared" si="1"/>
        <v>0</v>
      </c>
    </row>
    <row r="5" spans="1:46" x14ac:dyDescent="0.3">
      <c r="A5" s="143" t="str">
        <f>$A$1</f>
        <v>15916-01-012</v>
      </c>
      <c r="B5" s="144" t="str">
        <f>$B$1</f>
        <v>(주)에뛰드/2025년 회계감사</v>
      </c>
      <c r="C5" s="145" t="s">
        <v>268</v>
      </c>
      <c r="D5" s="146" t="s">
        <v>269</v>
      </c>
      <c r="E5" s="147" t="s">
        <v>270</v>
      </c>
      <c r="F5" s="144"/>
      <c r="G5" s="144">
        <f>'B_ET 기본정보'!D23</f>
        <v>170661</v>
      </c>
      <c r="H5" s="144"/>
      <c r="I5" s="148"/>
      <c r="J5" s="149">
        <f>I5*K5</f>
        <v>0</v>
      </c>
      <c r="K5" s="150">
        <f>SUM(L5:AT5)</f>
        <v>20</v>
      </c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>
        <f>'B_ET 기본정보'!C31</f>
        <v>20</v>
      </c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51"/>
      <c r="AP5" s="151"/>
      <c r="AQ5" s="151"/>
      <c r="AR5" s="151"/>
      <c r="AS5" s="151"/>
      <c r="AT5" s="152"/>
    </row>
    <row r="6" spans="1:46" x14ac:dyDescent="0.3">
      <c r="A6" s="143" t="str">
        <f t="shared" ref="A6:A15" si="2">$A$1</f>
        <v>15916-01-012</v>
      </c>
      <c r="B6" s="144" t="str">
        <f t="shared" ref="B6:B15" si="3">$B$1</f>
        <v>(주)에뛰드/2025년 회계감사</v>
      </c>
      <c r="C6" s="153" t="s">
        <v>268</v>
      </c>
      <c r="D6" s="146" t="s">
        <v>269</v>
      </c>
      <c r="E6" s="147" t="s">
        <v>270</v>
      </c>
      <c r="F6" s="144"/>
      <c r="G6" s="144">
        <f>'B_ET 기본정보'!D24</f>
        <v>280570</v>
      </c>
      <c r="H6" s="144"/>
      <c r="I6" s="148"/>
      <c r="J6" s="149">
        <f>I6*K6</f>
        <v>0</v>
      </c>
      <c r="K6" s="150">
        <f>SUM(L6:AT6)</f>
        <v>55</v>
      </c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>
        <f>'B_ET 기본정보'!C32+H1</f>
        <v>55</v>
      </c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2"/>
    </row>
    <row r="7" spans="1:46" x14ac:dyDescent="0.3">
      <c r="A7" s="143" t="str">
        <f t="shared" si="2"/>
        <v>15916-01-012</v>
      </c>
      <c r="B7" s="144" t="str">
        <f t="shared" si="3"/>
        <v>(주)에뛰드/2025년 회계감사</v>
      </c>
      <c r="C7" s="145" t="s">
        <v>271</v>
      </c>
      <c r="D7" s="146" t="s">
        <v>53</v>
      </c>
      <c r="E7" s="147" t="s">
        <v>272</v>
      </c>
      <c r="F7" s="144"/>
      <c r="G7" s="144"/>
      <c r="H7" s="144" t="s">
        <v>273</v>
      </c>
      <c r="I7" s="148"/>
      <c r="J7" s="149">
        <f t="shared" ref="J7:J14" si="4">I7*K7</f>
        <v>0</v>
      </c>
      <c r="K7" s="150">
        <f t="shared" ref="K7:K8" si="5">SUM(L7:AT7)</f>
        <v>0</v>
      </c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>
        <f>'B_ET 기본정보'!C29</f>
        <v>0</v>
      </c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1"/>
      <c r="AT7" s="152"/>
    </row>
    <row r="8" spans="1:46" x14ac:dyDescent="0.3">
      <c r="A8" s="143" t="str">
        <f t="shared" si="2"/>
        <v>15916-01-012</v>
      </c>
      <c r="B8" s="144" t="str">
        <f t="shared" si="3"/>
        <v>(주)에뛰드/2025년 회계감사</v>
      </c>
      <c r="C8" s="145" t="s">
        <v>271</v>
      </c>
      <c r="D8" s="146" t="s">
        <v>55</v>
      </c>
      <c r="E8" s="147" t="s">
        <v>272</v>
      </c>
      <c r="F8" s="144"/>
      <c r="G8" s="144"/>
      <c r="H8" s="144" t="s">
        <v>274</v>
      </c>
      <c r="I8" s="148"/>
      <c r="J8" s="149">
        <f t="shared" si="4"/>
        <v>0</v>
      </c>
      <c r="K8" s="150">
        <f t="shared" si="5"/>
        <v>0</v>
      </c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>
        <f>'B_ET 기본정보'!C30</f>
        <v>0</v>
      </c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1"/>
      <c r="AT8" s="152"/>
    </row>
    <row r="9" spans="1:46" x14ac:dyDescent="0.3">
      <c r="A9" s="143" t="str">
        <f t="shared" si="2"/>
        <v>15916-01-012</v>
      </c>
      <c r="B9" s="144" t="str">
        <f t="shared" si="3"/>
        <v>(주)에뛰드/2025년 회계감사</v>
      </c>
      <c r="C9" s="145" t="s">
        <v>271</v>
      </c>
      <c r="D9" s="146" t="s">
        <v>60</v>
      </c>
      <c r="E9" s="147" t="s">
        <v>272</v>
      </c>
      <c r="F9" s="144"/>
      <c r="G9" s="144"/>
      <c r="H9" s="144" t="s">
        <v>275</v>
      </c>
      <c r="I9" s="148"/>
      <c r="J9" s="149">
        <f t="shared" si="4"/>
        <v>0</v>
      </c>
      <c r="K9" s="150">
        <f t="shared" ref="K9" si="6">SUM(L9:AT9)</f>
        <v>0</v>
      </c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>
        <f>'B_ET 기본정보'!C33+'D_2606 budget template'!C11</f>
        <v>0</v>
      </c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2"/>
    </row>
    <row r="10" spans="1:46" x14ac:dyDescent="0.3">
      <c r="A10" s="143" t="str">
        <f t="shared" si="2"/>
        <v>15916-01-012</v>
      </c>
      <c r="B10" s="144" t="str">
        <f t="shared" si="3"/>
        <v>(주)에뛰드/2025년 회계감사</v>
      </c>
      <c r="C10" s="145" t="s">
        <v>271</v>
      </c>
      <c r="D10" s="146" t="s">
        <v>84</v>
      </c>
      <c r="E10" s="147" t="s">
        <v>272</v>
      </c>
      <c r="F10" s="144"/>
      <c r="G10" s="144"/>
      <c r="H10" s="144" t="s">
        <v>275</v>
      </c>
      <c r="I10" s="148"/>
      <c r="J10" s="149">
        <f t="shared" si="4"/>
        <v>0</v>
      </c>
      <c r="K10" s="150">
        <f t="shared" ref="K10:K11" si="7">SUM(L10:AT10)</f>
        <v>0</v>
      </c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>
        <f>'D_2606 budget template'!C10</f>
        <v>0</v>
      </c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2"/>
    </row>
    <row r="11" spans="1:46" x14ac:dyDescent="0.3">
      <c r="A11" s="143" t="str">
        <f t="shared" si="2"/>
        <v>15916-01-012</v>
      </c>
      <c r="B11" s="144" t="str">
        <f t="shared" si="3"/>
        <v>(주)에뛰드/2025년 회계감사</v>
      </c>
      <c r="C11" s="145" t="s">
        <v>271</v>
      </c>
      <c r="D11" s="146" t="s">
        <v>88</v>
      </c>
      <c r="E11" s="147" t="s">
        <v>272</v>
      </c>
      <c r="F11" s="144"/>
      <c r="G11" s="144"/>
      <c r="H11" s="144" t="s">
        <v>275</v>
      </c>
      <c r="I11" s="148"/>
      <c r="J11" s="149">
        <f t="shared" si="4"/>
        <v>0</v>
      </c>
      <c r="K11" s="150">
        <f t="shared" si="7"/>
        <v>4</v>
      </c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>
        <f>'D_2606 budget template'!C12</f>
        <v>4</v>
      </c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2"/>
    </row>
    <row r="12" spans="1:46" x14ac:dyDescent="0.3">
      <c r="A12" s="143" t="str">
        <f t="shared" si="2"/>
        <v>15916-01-012</v>
      </c>
      <c r="B12" s="144" t="str">
        <f t="shared" si="3"/>
        <v>(주)에뛰드/2025년 회계감사</v>
      </c>
      <c r="C12" s="145" t="s">
        <v>271</v>
      </c>
      <c r="D12" s="146" t="s">
        <v>47</v>
      </c>
      <c r="E12" s="147" t="s">
        <v>270</v>
      </c>
      <c r="F12" s="144"/>
      <c r="G12" s="144"/>
      <c r="H12" s="144" t="s">
        <v>276</v>
      </c>
      <c r="I12" s="148"/>
      <c r="J12" s="149">
        <f t="shared" si="4"/>
        <v>0</v>
      </c>
      <c r="K12" s="150">
        <f t="shared" ref="K12:K14" si="8">SUM(L12:AT12)</f>
        <v>0</v>
      </c>
      <c r="L12" s="151">
        <f>IFERROR(ROUND(SUMIFS(Tbl_Budget[1],Tbl_Budget[사번], "*TBD_Manager*",Tbl_Budget[해당],TRUE,Tbl_Budget[Budget 관리단위],"&lt;&gt;외국어 보고서")*(1+$D$1),),0)</f>
        <v>0</v>
      </c>
      <c r="M12" s="151">
        <f>IFERROR(ROUND(SUMIFS(Tbl_Budget[2],Tbl_Budget[사번], "*TBD_Manager*",Tbl_Budget[해당],TRUE,Tbl_Budget[Budget 관리단위],"&lt;&gt;외국어 보고서")*(1+$D$1),),0)</f>
        <v>0</v>
      </c>
      <c r="N12" s="151">
        <f>IFERROR(ROUND(SUMIFS(Tbl_Budget[3],Tbl_Budget[사번], "*TBD_Manager*",Tbl_Budget[해당],TRUE,Tbl_Budget[Budget 관리단위],"&lt;&gt;외국어 보고서")*(1+$D$1),),0)</f>
        <v>0</v>
      </c>
      <c r="O12" s="151">
        <f>IFERROR(ROUND(SUMIFS(Tbl_Budget[4],Tbl_Budget[사번], "*TBD_Manager*",Tbl_Budget[해당],TRUE,Tbl_Budget[Budget 관리단위],"&lt;&gt;외국어 보고서")*(1+$D$1),),0)</f>
        <v>0</v>
      </c>
      <c r="P12" s="151">
        <f>IFERROR(ROUND(SUMIFS(Tbl_Budget[5],Tbl_Budget[사번], "*TBD_Manager*",Tbl_Budget[해당],TRUE,Tbl_Budget[Budget 관리단위],"&lt;&gt;외국어 보고서")*(1+$D$1),),0)</f>
        <v>0</v>
      </c>
      <c r="Q12" s="151">
        <f>IFERROR(ROUND(SUMIFS(Tbl_Budget[6],Tbl_Budget[사번], "*TBD_Manager*",Tbl_Budget[해당],TRUE,Tbl_Budget[Budget 관리단위],"&lt;&gt;외국어 보고서")*(1+$D$1),),0)</f>
        <v>0</v>
      </c>
      <c r="R12" s="151">
        <f>IFERROR(ROUND(SUMIFS(Tbl_Budget[7],Tbl_Budget[사번], "*TBD_Manager*",Tbl_Budget[해당],TRUE,Tbl_Budget[Budget 관리단위],"&lt;&gt;외국어 보고서")*(1+$D$1),),0)</f>
        <v>0</v>
      </c>
      <c r="S12" s="151">
        <f>IFERROR(ROUND(SUMIFS(Tbl_Budget[8],Tbl_Budget[사번], "*TBD_Manager*",Tbl_Budget[해당],TRUE,Tbl_Budget[Budget 관리단위],"&lt;&gt;외국어 보고서")*(1+$D$1),),0)</f>
        <v>0</v>
      </c>
      <c r="T12" s="151">
        <f>IFERROR(ROUND(SUMIFS(Tbl_Budget[9],Tbl_Budget[사번], "*TBD_Manager*",Tbl_Budget[해당],TRUE,Tbl_Budget[Budget 관리단위],"&lt;&gt;외국어 보고서")*(1+$D$1),),0)</f>
        <v>0</v>
      </c>
      <c r="U12" s="151">
        <f>IFERROR(ROUND(SUMIFS(Tbl_Budget[10],Tbl_Budget[사번], "*TBD_Manager*",Tbl_Budget[해당],TRUE,Tbl_Budget[Budget 관리단위],"&lt;&gt;외국어 보고서")*(1+$D$1),),0)</f>
        <v>0</v>
      </c>
      <c r="V12" s="151">
        <f>IFERROR(ROUND(SUMIFS(Tbl_Budget[11],Tbl_Budget[사번], "*TBD_Manager*",Tbl_Budget[해당],TRUE,Tbl_Budget[Budget 관리단위],"&lt;&gt;외국어 보고서")*(1+$D$1),),0)</f>
        <v>0</v>
      </c>
      <c r="W12" s="151">
        <f>IFERROR(ROUND(SUMIFS(Tbl_Budget[12],Tbl_Budget[사번], "*TBD_Manager*",Tbl_Budget[해당],TRUE,Tbl_Budget[Budget 관리단위],"&lt;&gt;외국어 보고서")*(1+$D$1),),0)</f>
        <v>0</v>
      </c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2"/>
    </row>
    <row r="13" spans="1:46" x14ac:dyDescent="0.3">
      <c r="A13" s="143" t="str">
        <f t="shared" si="2"/>
        <v>15916-01-012</v>
      </c>
      <c r="B13" s="144" t="str">
        <f t="shared" si="3"/>
        <v>(주)에뛰드/2025년 회계감사</v>
      </c>
      <c r="C13" s="145" t="s">
        <v>271</v>
      </c>
      <c r="D13" s="146" t="s">
        <v>47</v>
      </c>
      <c r="E13" s="147" t="s">
        <v>270</v>
      </c>
      <c r="F13" s="144"/>
      <c r="G13" s="144"/>
      <c r="H13" s="144" t="s">
        <v>277</v>
      </c>
      <c r="I13" s="148"/>
      <c r="J13" s="149">
        <f t="shared" si="4"/>
        <v>0</v>
      </c>
      <c r="K13" s="150">
        <f t="shared" si="8"/>
        <v>0</v>
      </c>
      <c r="L13" s="151">
        <f>IFERROR(ROUND(SUMIFS(Tbl_Budget[1],Tbl_Budget[사번], "*TBD_Senior-Associate*",Tbl_Budget[해당],TRUE,Tbl_Budget[Budget 관리단위],"&lt;&gt;외국어 보고서")*(1+$D$1),),0)</f>
        <v>0</v>
      </c>
      <c r="M13" s="151">
        <f>IFERROR(ROUND(SUMIFS(Tbl_Budget[2],Tbl_Budget[사번], "*TBD_Senior-Associate*",Tbl_Budget[해당],TRUE,Tbl_Budget[Budget 관리단위],"&lt;&gt;외국어 보고서")*(1+$D$1),),0)</f>
        <v>0</v>
      </c>
      <c r="N13" s="151">
        <f>IFERROR(ROUND(SUMIFS(Tbl_Budget[3],Tbl_Budget[사번], "*TBD_Senior-Associate*",Tbl_Budget[해당],TRUE,Tbl_Budget[Budget 관리단위],"&lt;&gt;외국어 보고서")*(1+$D$1),),0)</f>
        <v>0</v>
      </c>
      <c r="O13" s="151">
        <f>IFERROR(ROUND(SUMIFS(Tbl_Budget[4],Tbl_Budget[사번], "*TBD_Senior-Associate*",Tbl_Budget[해당],TRUE,Tbl_Budget[Budget 관리단위],"&lt;&gt;외국어 보고서")*(1+$D$1),),0)</f>
        <v>0</v>
      </c>
      <c r="P13" s="151">
        <f>IFERROR(ROUND(SUMIFS(Tbl_Budget[5],Tbl_Budget[사번], "*TBD_Senior-Associate*",Tbl_Budget[해당],TRUE,Tbl_Budget[Budget 관리단위],"&lt;&gt;외국어 보고서")*(1+$D$1),),0)</f>
        <v>0</v>
      </c>
      <c r="Q13" s="151">
        <f>IFERROR(ROUND(SUMIFS(Tbl_Budget[6],Tbl_Budget[사번], "*TBD_Senior-Associate*",Tbl_Budget[해당],TRUE,Tbl_Budget[Budget 관리단위],"&lt;&gt;외국어 보고서")*(1+$D$1),),0)</f>
        <v>0</v>
      </c>
      <c r="R13" s="151">
        <f>IFERROR(ROUND(SUMIFS(Tbl_Budget[7],Tbl_Budget[사번], "*TBD_Senior-Associate*",Tbl_Budget[해당],TRUE,Tbl_Budget[Budget 관리단위],"&lt;&gt;외국어 보고서")*(1+$D$1),),0)</f>
        <v>0</v>
      </c>
      <c r="S13" s="151">
        <f>IFERROR(ROUND(SUMIFS(Tbl_Budget[8],Tbl_Budget[사번], "*TBD_Senior-Associate*",Tbl_Budget[해당],TRUE,Tbl_Budget[Budget 관리단위],"&lt;&gt;외국어 보고서")*(1+$D$1),),0)</f>
        <v>0</v>
      </c>
      <c r="T13" s="151">
        <f>IFERROR(ROUND(SUMIFS(Tbl_Budget[9],Tbl_Budget[사번], "*TBD_Senior-Associate*",Tbl_Budget[해당],TRUE,Tbl_Budget[Budget 관리단위],"&lt;&gt;외국어 보고서")*(1+$D$1),),0)</f>
        <v>0</v>
      </c>
      <c r="U13" s="151">
        <f>IFERROR(ROUND(SUMIFS(Tbl_Budget[10],Tbl_Budget[사번], "*TBD_Senior-Associate*",Tbl_Budget[해당],TRUE,Tbl_Budget[Budget 관리단위],"&lt;&gt;외국어 보고서")*(1+$D$1),),0)</f>
        <v>0</v>
      </c>
      <c r="V13" s="151">
        <f>IFERROR(ROUND(SUMIFS(Tbl_Budget[11],Tbl_Budget[사번], "*TBD_Senior-Associate*",Tbl_Budget[해당],TRUE,Tbl_Budget[Budget 관리단위],"&lt;&gt;외국어 보고서")*(1+$D$1),),0)</f>
        <v>0</v>
      </c>
      <c r="W13" s="151">
        <f>IFERROR(ROUND(SUMIFS(Tbl_Budget[12],Tbl_Budget[사번], "*TBD_Senior-Associate*",Tbl_Budget[해당],TRUE,Tbl_Budget[Budget 관리단위],"&lt;&gt;외국어 보고서")*(1+$D$1),),0)</f>
        <v>0</v>
      </c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2"/>
    </row>
    <row r="14" spans="1:46" x14ac:dyDescent="0.3">
      <c r="A14" s="143" t="str">
        <f t="shared" si="2"/>
        <v>15916-01-012</v>
      </c>
      <c r="B14" s="144" t="str">
        <f t="shared" si="3"/>
        <v>(주)에뛰드/2025년 회계감사</v>
      </c>
      <c r="C14" s="145" t="s">
        <v>271</v>
      </c>
      <c r="D14" s="146" t="s">
        <v>47</v>
      </c>
      <c r="E14" s="147" t="s">
        <v>270</v>
      </c>
      <c r="F14" s="144"/>
      <c r="G14" s="144"/>
      <c r="H14" s="144" t="s">
        <v>278</v>
      </c>
      <c r="I14" s="148"/>
      <c r="J14" s="149">
        <f t="shared" si="4"/>
        <v>0</v>
      </c>
      <c r="K14" s="150">
        <f t="shared" si="8"/>
        <v>0</v>
      </c>
      <c r="L14" s="151">
        <f>IFERROR(ROUND(SUMIFS(Tbl_Budget[1],Tbl_Budget[사번], "*TBD_Associate*",Tbl_Budget[해당],TRUE,Tbl_Budget[Budget 관리단위],"&lt;&gt;외국어 보고서")*(1+$D$1),),0)</f>
        <v>0</v>
      </c>
      <c r="M14" s="151">
        <f>IFERROR(ROUND(SUMIFS(Tbl_Budget[2],Tbl_Budget[사번], "*TBD_Associate*",Tbl_Budget[해당],TRUE,Tbl_Budget[Budget 관리단위],"&lt;&gt;외국어 보고서")*(1+$D$1),),0)</f>
        <v>0</v>
      </c>
      <c r="N14" s="151">
        <f>IFERROR(ROUND(SUMIFS(Tbl_Budget[3],Tbl_Budget[사번], "*TBD_Associate*",Tbl_Budget[해당],TRUE,Tbl_Budget[Budget 관리단위],"&lt;&gt;외국어 보고서")*(1+$D$1),),0)</f>
        <v>0</v>
      </c>
      <c r="O14" s="151">
        <f>IFERROR(ROUND(SUMIFS(Tbl_Budget[4],Tbl_Budget[사번], "*TBD_Associate*",Tbl_Budget[해당],TRUE,Tbl_Budget[Budget 관리단위],"&lt;&gt;외국어 보고서")*(1+$D$1),),0)</f>
        <v>0</v>
      </c>
      <c r="P14" s="151">
        <f>IFERROR(ROUND(SUMIFS(Tbl_Budget[5],Tbl_Budget[사번], "*TBD_Associate*",Tbl_Budget[해당],TRUE,Tbl_Budget[Budget 관리단위],"&lt;&gt;외국어 보고서")*(1+$D$1),),0)</f>
        <v>0</v>
      </c>
      <c r="Q14" s="151">
        <f>IFERROR(ROUND(SUMIFS(Tbl_Budget[6],Tbl_Budget[사번], "*TBD_Associate*",Tbl_Budget[해당],TRUE,Tbl_Budget[Budget 관리단위],"&lt;&gt;외국어 보고서")*(1+$D$1),),0)</f>
        <v>0</v>
      </c>
      <c r="R14" s="151">
        <f>IFERROR(ROUND(SUMIFS(Tbl_Budget[7],Tbl_Budget[사번], "*TBD_Associate*",Tbl_Budget[해당],TRUE,Tbl_Budget[Budget 관리단위],"&lt;&gt;외국어 보고서")*(1+$D$1),),0)</f>
        <v>0</v>
      </c>
      <c r="S14" s="151">
        <f>IFERROR(ROUND(SUMIFS(Tbl_Budget[8],Tbl_Budget[사번], "*TBD_Associate*",Tbl_Budget[해당],TRUE,Tbl_Budget[Budget 관리단위],"&lt;&gt;외국어 보고서")*(1+$D$1),),0)</f>
        <v>0</v>
      </c>
      <c r="T14" s="151">
        <f>IFERROR(ROUND(SUMIFS(Tbl_Budget[9],Tbl_Budget[사번], "*TBD_Associate*",Tbl_Budget[해당],TRUE,Tbl_Budget[Budget 관리단위],"&lt;&gt;외국어 보고서")*(1+$D$1),),0)</f>
        <v>0</v>
      </c>
      <c r="U14" s="151">
        <f>IFERROR(ROUND(SUMIFS(Tbl_Budget[10],Tbl_Budget[사번], "*TBD_Associate*",Tbl_Budget[해당],TRUE,Tbl_Budget[Budget 관리단위],"&lt;&gt;외국어 보고서")*(1+$D$1),),0)</f>
        <v>0</v>
      </c>
      <c r="V14" s="151">
        <f>IFERROR(ROUND(SUMIFS(Tbl_Budget[11],Tbl_Budget[사번], "*TBD_Associate*",Tbl_Budget[해당],TRUE,Tbl_Budget[Budget 관리단위],"&lt;&gt;외국어 보고서")*(1+$D$1),),0)</f>
        <v>0</v>
      </c>
      <c r="W14" s="151">
        <f>IFERROR(ROUND(SUMIFS(Tbl_Budget[12],Tbl_Budget[사번], "*TBD_Associate*",Tbl_Budget[해당],TRUE,Tbl_Budget[Budget 관리단위],"&lt;&gt;외국어 보고서")*(1+$D$1),),0)</f>
        <v>0</v>
      </c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2"/>
    </row>
    <row r="15" spans="1:46" x14ac:dyDescent="0.3">
      <c r="A15" s="143" t="str">
        <f t="shared" si="2"/>
        <v>15916-01-012</v>
      </c>
      <c r="B15" s="144" t="str">
        <f t="shared" si="3"/>
        <v>(주)에뛰드/2025년 회계감사</v>
      </c>
      <c r="C15" s="145" t="s">
        <v>271</v>
      </c>
      <c r="D15" s="146" t="s">
        <v>81</v>
      </c>
      <c r="E15" s="147" t="s">
        <v>270</v>
      </c>
      <c r="F15" s="144"/>
      <c r="G15" s="144"/>
      <c r="H15" s="144" t="s">
        <v>278</v>
      </c>
      <c r="I15" s="148"/>
      <c r="J15" s="149">
        <f>I15*K15</f>
        <v>0</v>
      </c>
      <c r="K15" s="150">
        <f>SUM(L15:AT15)</f>
        <v>0</v>
      </c>
      <c r="L15" s="151">
        <f>IFERROR(ROUND(SUMIFS(Tbl_Budget[1],Tbl_Budget[사번], "*New comer*",Tbl_Budget[해당],TRUE,Tbl_Budget[Budget 관리단위],"&lt;&gt;외국어 보고서")*(1+$D$1),),0)</f>
        <v>0</v>
      </c>
      <c r="M15" s="151">
        <f>IFERROR(ROUND(SUMIFS(Tbl_Budget[2],Tbl_Budget[사번], "*New comer*",Tbl_Budget[해당],TRUE,Tbl_Budget[Budget 관리단위],"&lt;&gt;외국어 보고서")*(1+$D$1),),0)</f>
        <v>0</v>
      </c>
      <c r="N15" s="151">
        <f>IFERROR(ROUND(SUMIFS(Tbl_Budget[3],Tbl_Budget[사번], "*New comer*",Tbl_Budget[해당],TRUE,Tbl_Budget[Budget 관리단위],"&lt;&gt;외국어 보고서")*(1+$D$1),),0)</f>
        <v>0</v>
      </c>
      <c r="O15" s="151">
        <f>IFERROR(ROUND(SUMIFS(Tbl_Budget[4],Tbl_Budget[사번], "*New comer*",Tbl_Budget[해당],TRUE,Tbl_Budget[Budget 관리단위],"&lt;&gt;외국어 보고서")*(1+$D$1),),0)</f>
        <v>0</v>
      </c>
      <c r="P15" s="151">
        <f>IFERROR(ROUND(SUMIFS(Tbl_Budget[5],Tbl_Budget[사번], "*New comer*",Tbl_Budget[해당],TRUE,Tbl_Budget[Budget 관리단위],"&lt;&gt;외국어 보고서")*(1+$D$1),),0)</f>
        <v>0</v>
      </c>
      <c r="Q15" s="151">
        <f>IFERROR(ROUND(SUMIFS(Tbl_Budget[6],Tbl_Budget[사번], "*New comer*",Tbl_Budget[해당],TRUE,Tbl_Budget[Budget 관리단위],"&lt;&gt;외국어 보고서")*(1+$D$1),),0)</f>
        <v>0</v>
      </c>
      <c r="R15" s="151">
        <f>IFERROR(ROUND(SUMIFS(Tbl_Budget[7],Tbl_Budget[사번], "*New comer*",Tbl_Budget[해당],TRUE,Tbl_Budget[Budget 관리단위],"&lt;&gt;외국어 보고서")*(1+$D$1),),0)</f>
        <v>0</v>
      </c>
      <c r="S15" s="151">
        <f>IFERROR(ROUND(SUMIFS(Tbl_Budget[8],Tbl_Budget[사번], "*New comer*",Tbl_Budget[해당],TRUE,Tbl_Budget[Budget 관리단위],"&lt;&gt;외국어 보고서")*(1+$D$1),),0)</f>
        <v>0</v>
      </c>
      <c r="T15" s="151">
        <f>IFERROR(ROUND(SUMIFS(Tbl_Budget[9],Tbl_Budget[사번], "*New comer*",Tbl_Budget[해당],TRUE,Tbl_Budget[Budget 관리단위],"&lt;&gt;외국어 보고서")*(1+$D$1),),0)</f>
        <v>0</v>
      </c>
      <c r="U15" s="151">
        <f>IFERROR(ROUND(SUMIFS(Tbl_Budget[10],Tbl_Budget[사번], "*New comer*",Tbl_Budget[해당],TRUE,Tbl_Budget[Budget 관리단위],"&lt;&gt;외국어 보고서")*(1+$D$1),),0)</f>
        <v>0</v>
      </c>
      <c r="V15" s="151">
        <f>IFERROR(ROUND(SUMIFS(Tbl_Budget[11],Tbl_Budget[사번], "*New comer*",Tbl_Budget[해당],TRUE,Tbl_Budget[Budget 관리단위],"&lt;&gt;외국어 보고서")*(1+$D$1),),0)</f>
        <v>0</v>
      </c>
      <c r="W15" s="151">
        <f>IFERROR(ROUND(SUMIFS(Tbl_Budget[12],Tbl_Budget[사번], "*New comer*",Tbl_Budget[해당],TRUE,Tbl_Budget[Budget 관리단위],"&lt;&gt;외국어 보고서")*(1+$D$1),),0)</f>
        <v>0</v>
      </c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2"/>
    </row>
    <row r="16" spans="1:46" x14ac:dyDescent="0.3">
      <c r="A16" s="143" t="str" cm="1">
        <f t="array" ref="A16:A19">_xlfn.MAKEARRAY(ROWS(_xlfn.ANCHORARRAY(D16)), 1, _xlfn.LAMBDA(_xlpm.r,_xlpm.c, A1))</f>
        <v>15916-01-012</v>
      </c>
      <c r="B16" s="144" t="str" cm="1">
        <f t="array" ref="B16:B19">_xlfn.MAKEARRAY(ROWS(_xlfn.ANCHORARRAY(D16)), 1, _xlfn.LAMBDA(_xlpm.r,_xlpm.c, B1))</f>
        <v>(주)에뛰드/2025년 회계감사</v>
      </c>
      <c r="C16" s="145" t="str" cm="1">
        <f t="array" ref="C16:C19">_xlfn.MAKEARRAY(ROWS(_xlfn.ANCHORARRAY(D16)), 1, _xlfn.LAMBDA(_xlpm.r,_xlpm.c, "N"))</f>
        <v>N</v>
      </c>
      <c r="D16" s="146" t="str" cm="1">
        <f t="array" ref="D16:D19">_xlfn.MAKEARRAY(
    COUNTA(
      _xlfn._xlws.FILTER(
        Tbl_Members[사번],
        LEN(Tbl_Members[사번])=6
      )
    ),
    1,
    _xlfn.LAMBDA(_xlpm.r,_xlpm.c, "재무제표기말감사")
  )</f>
        <v>재무제표기말감사</v>
      </c>
      <c r="E16" s="144" t="str" cm="1">
        <f t="array" ref="E16:E19">_xlfn.MAKEARRAY(ROWS(_xlfn.ANCHORARRAY(D16)), 1, _xlfn.LAMBDA(_xlpm.r,_xlpm.c, "Field"))</f>
        <v>Field</v>
      </c>
      <c r="F16" s="144"/>
      <c r="G16" s="144" cm="1">
        <f t="array" ref="G16:G19">_xlfn._xlws.FILTER(
    Tbl_Members[사번],
    LEN(Tbl_Members[사번])=6
  )</f>
        <v>260666</v>
      </c>
      <c r="H16" s="144"/>
      <c r="I16" s="148"/>
      <c r="J16" s="149">
        <f t="shared" ref="J16:J79" si="9">I16*K16</f>
        <v>0</v>
      </c>
      <c r="K16" s="150">
        <f t="shared" ref="K16:K79" si="10">SUM(L16:AT16)</f>
        <v>1</v>
      </c>
      <c r="L16" s="151" cm="1">
        <f t="array" ref="L16:L19">IFERROR(ROUND(SUMIFS(Tbl_Budget[1],Tbl_Budget[사번],_xlfn.ANCHORARRAY($G$16),Tbl_Budget[해당],TRUE,Tbl_Budget[Budget 관리단위],"&lt;&gt;외국어 보고서")*(1+$D$1),),0)</f>
        <v>0</v>
      </c>
      <c r="M16" s="151" cm="1">
        <f t="array" ref="M16:M19">IFERROR(ROUND(SUMIFS(Tbl_Budget[2],Tbl_Budget[사번],_xlfn.ANCHORARRAY($G$16),Tbl_Budget[해당],TRUE,Tbl_Budget[Budget 관리단위],"&lt;&gt;외국어 보고서")*(1+$D$1),),0)</f>
        <v>0</v>
      </c>
      <c r="N16" s="151" cm="1">
        <f t="array" ref="N16:N19">IFERROR(ROUND(SUMIFS(Tbl_Budget[3],Tbl_Budget[사번],_xlfn.ANCHORARRAY($G$16),Tbl_Budget[해당],TRUE,Tbl_Budget[Budget 관리단위],"&lt;&gt;외국어 보고서")*(1+$D$1),),0)</f>
        <v>1</v>
      </c>
      <c r="O16" s="151" cm="1">
        <f t="array" ref="O16:O19">IFERROR(ROUND(SUMIFS(Tbl_Budget[4],Tbl_Budget[사번],_xlfn.ANCHORARRAY($G$16),Tbl_Budget[해당],TRUE,Tbl_Budget[Budget 관리단위],"&lt;&gt;외국어 보고서")*(1+$D$1),),0)</f>
        <v>0</v>
      </c>
      <c r="P16" s="151" cm="1">
        <f t="array" ref="P16:P19">IFERROR(ROUND(SUMIFS(Tbl_Budget[5],Tbl_Budget[사번],_xlfn.ANCHORARRAY($G$16),Tbl_Budget[해당],TRUE,Tbl_Budget[Budget 관리단위],"&lt;&gt;외국어 보고서")*(1+$D$1),),0)</f>
        <v>0</v>
      </c>
      <c r="Q16" s="151" cm="1">
        <f t="array" ref="Q16:Q19">IFERROR(ROUND(SUMIFS(Tbl_Budget[6],Tbl_Budget[사번],_xlfn.ANCHORARRAY($G$16),Tbl_Budget[해당],TRUE,Tbl_Budget[Budget 관리단위],"&lt;&gt;외국어 보고서")*(1+$D$1),),0)</f>
        <v>0</v>
      </c>
      <c r="R16" s="151" cm="1">
        <f t="array" ref="R16:R19">IFERROR(ROUND(SUMIFS(Tbl_Budget[7],Tbl_Budget[사번],_xlfn.ANCHORARRAY($G$16),Tbl_Budget[해당],TRUE,Tbl_Budget[Budget 관리단위],"&lt;&gt;외국어 보고서")*(1+$D$1),),0)</f>
        <v>0</v>
      </c>
      <c r="S16" s="151" cm="1">
        <f t="array" ref="S16:S19">IFERROR(ROUND(SUMIFS(Tbl_Budget[8],Tbl_Budget[사번],_xlfn.ANCHORARRAY($G$16),Tbl_Budget[해당],TRUE,Tbl_Budget[Budget 관리단위],"&lt;&gt;외국어 보고서")*(1+$D$1),),0)</f>
        <v>0</v>
      </c>
      <c r="T16" s="151" cm="1">
        <f t="array" ref="T16:T19">IFERROR(ROUND(SUMIFS(Tbl_Budget[9],Tbl_Budget[사번],_xlfn.ANCHORARRAY($G$16),Tbl_Budget[해당],TRUE,Tbl_Budget[Budget 관리단위],"&lt;&gt;외국어 보고서")*(1+$D$1),),0)</f>
        <v>0</v>
      </c>
      <c r="U16" s="151" cm="1">
        <f t="array" ref="U16:U19">IFERROR(ROUND(SUMIFS(Tbl_Budget[10],Tbl_Budget[사번],_xlfn.ANCHORARRAY($G$16),Tbl_Budget[해당],TRUE,Tbl_Budget[Budget 관리단위],"&lt;&gt;외국어 보고서")*(1+$D$1),),0)</f>
        <v>0</v>
      </c>
      <c r="V16" s="151" cm="1">
        <f t="array" ref="V16:V19">IFERROR(ROUND(SUMIFS(Tbl_Budget[11],Tbl_Budget[사번],_xlfn.ANCHORARRAY($G$16),Tbl_Budget[해당],TRUE,Tbl_Budget[Budget 관리단위],"&lt;&gt;외국어 보고서")*(1+$D$1),),0)</f>
        <v>0</v>
      </c>
      <c r="W16" s="151" cm="1">
        <f t="array" ref="W16:W19">IFERROR(ROUND(SUMIFS(Tbl_Budget[12],Tbl_Budget[사번],_xlfn.ANCHORARRAY($G$16),Tbl_Budget[해당],TRUE,Tbl_Budget[Budget 관리단위],"&lt;&gt;외국어 보고서")*(1+$D$1),),0)</f>
        <v>0</v>
      </c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2"/>
    </row>
    <row r="17" spans="1:46" x14ac:dyDescent="0.3">
      <c r="A17" s="143" t="str">
        <v>15916-01-012</v>
      </c>
      <c r="B17" s="144" t="str">
        <v>(주)에뛰드/2025년 회계감사</v>
      </c>
      <c r="C17" s="145" t="str">
        <v>N</v>
      </c>
      <c r="D17" s="146" t="str">
        <v>재무제표기말감사</v>
      </c>
      <c r="E17" s="144" t="str">
        <v>Field</v>
      </c>
      <c r="F17" s="144"/>
      <c r="G17" s="144">
        <v>310625</v>
      </c>
      <c r="H17" s="144"/>
      <c r="I17" s="148"/>
      <c r="J17" s="149">
        <f t="shared" si="9"/>
        <v>0</v>
      </c>
      <c r="K17" s="150">
        <f t="shared" si="10"/>
        <v>156</v>
      </c>
      <c r="L17" s="151">
        <v>0</v>
      </c>
      <c r="M17" s="151">
        <v>0</v>
      </c>
      <c r="N17" s="151">
        <v>31</v>
      </c>
      <c r="O17" s="151">
        <v>0</v>
      </c>
      <c r="P17" s="151">
        <v>0</v>
      </c>
      <c r="Q17" s="151">
        <v>15</v>
      </c>
      <c r="R17" s="151">
        <v>0</v>
      </c>
      <c r="S17" s="151">
        <v>0</v>
      </c>
      <c r="T17" s="151">
        <v>38</v>
      </c>
      <c r="U17" s="151">
        <v>48</v>
      </c>
      <c r="V17" s="151">
        <v>24</v>
      </c>
      <c r="W17" s="151">
        <v>0</v>
      </c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2"/>
    </row>
    <row r="18" spans="1:46" x14ac:dyDescent="0.3">
      <c r="A18" s="143" t="str">
        <v>15916-01-012</v>
      </c>
      <c r="B18" s="144" t="str">
        <v>(주)에뛰드/2025년 회계감사</v>
      </c>
      <c r="C18" s="145" t="str">
        <v>N</v>
      </c>
      <c r="D18" s="146" t="str">
        <v>재무제표기말감사</v>
      </c>
      <c r="E18" s="144" t="str">
        <v>Field</v>
      </c>
      <c r="F18" s="144"/>
      <c r="G18" s="144">
        <v>330590</v>
      </c>
      <c r="H18" s="144"/>
      <c r="I18" s="148"/>
      <c r="J18" s="149">
        <f t="shared" si="9"/>
        <v>0</v>
      </c>
      <c r="K18" s="150">
        <f t="shared" si="10"/>
        <v>132</v>
      </c>
      <c r="L18" s="151">
        <v>0</v>
      </c>
      <c r="M18" s="151">
        <v>0</v>
      </c>
      <c r="N18" s="151">
        <v>10</v>
      </c>
      <c r="O18" s="151">
        <v>0</v>
      </c>
      <c r="P18" s="151">
        <v>0</v>
      </c>
      <c r="Q18" s="151">
        <v>13</v>
      </c>
      <c r="R18" s="151">
        <v>0</v>
      </c>
      <c r="S18" s="151">
        <v>0</v>
      </c>
      <c r="T18" s="151">
        <v>48</v>
      </c>
      <c r="U18" s="151">
        <v>61</v>
      </c>
      <c r="V18" s="151">
        <v>0</v>
      </c>
      <c r="W18" s="151">
        <v>0</v>
      </c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2"/>
    </row>
    <row r="19" spans="1:46" x14ac:dyDescent="0.3">
      <c r="A19" s="143" t="str">
        <v>15916-01-012</v>
      </c>
      <c r="B19" s="144" t="str">
        <v>(주)에뛰드/2025년 회계감사</v>
      </c>
      <c r="C19" s="145" t="str">
        <v>N</v>
      </c>
      <c r="D19" s="146" t="str">
        <v>재무제표기말감사</v>
      </c>
      <c r="E19" s="144" t="str">
        <v>Field</v>
      </c>
      <c r="F19" s="144"/>
      <c r="G19" s="144">
        <v>340644</v>
      </c>
      <c r="H19" s="144"/>
      <c r="I19" s="148"/>
      <c r="J19" s="149">
        <f t="shared" si="9"/>
        <v>0</v>
      </c>
      <c r="K19" s="150">
        <f t="shared" si="10"/>
        <v>132</v>
      </c>
      <c r="L19" s="151">
        <v>0</v>
      </c>
      <c r="M19" s="151">
        <v>0</v>
      </c>
      <c r="N19" s="151">
        <v>23</v>
      </c>
      <c r="O19" s="151">
        <v>0</v>
      </c>
      <c r="P19" s="151">
        <v>0</v>
      </c>
      <c r="Q19" s="151">
        <v>13</v>
      </c>
      <c r="R19" s="151">
        <v>0</v>
      </c>
      <c r="S19" s="151">
        <v>0</v>
      </c>
      <c r="T19" s="151">
        <v>32</v>
      </c>
      <c r="U19" s="151">
        <v>64</v>
      </c>
      <c r="V19" s="151">
        <v>0</v>
      </c>
      <c r="W19" s="151">
        <v>0</v>
      </c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2"/>
    </row>
    <row r="20" spans="1:46" x14ac:dyDescent="0.3">
      <c r="A20" s="143"/>
      <c r="B20" s="144"/>
      <c r="C20" s="145"/>
      <c r="D20" s="146"/>
      <c r="E20" s="144"/>
      <c r="F20" s="144"/>
      <c r="G20" s="144"/>
      <c r="H20" s="144"/>
      <c r="I20" s="148"/>
      <c r="J20" s="149">
        <f t="shared" si="9"/>
        <v>0</v>
      </c>
      <c r="K20" s="150">
        <f t="shared" si="10"/>
        <v>0</v>
      </c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2"/>
    </row>
    <row r="21" spans="1:46" x14ac:dyDescent="0.3">
      <c r="A21" s="143"/>
      <c r="B21" s="144"/>
      <c r="C21" s="145"/>
      <c r="D21" s="146"/>
      <c r="E21" s="144"/>
      <c r="F21" s="144"/>
      <c r="G21" s="144"/>
      <c r="H21" s="144"/>
      <c r="I21" s="148"/>
      <c r="J21" s="149">
        <f t="shared" si="9"/>
        <v>0</v>
      </c>
      <c r="K21" s="150">
        <f t="shared" si="10"/>
        <v>0</v>
      </c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2"/>
    </row>
    <row r="22" spans="1:46" x14ac:dyDescent="0.3">
      <c r="A22" s="143"/>
      <c r="B22" s="144"/>
      <c r="C22" s="145"/>
      <c r="D22" s="146"/>
      <c r="E22" s="144"/>
      <c r="F22" s="144"/>
      <c r="G22" s="144"/>
      <c r="H22" s="144"/>
      <c r="I22" s="148"/>
      <c r="J22" s="149">
        <f t="shared" si="9"/>
        <v>0</v>
      </c>
      <c r="K22" s="150">
        <f t="shared" si="10"/>
        <v>0</v>
      </c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2"/>
    </row>
    <row r="23" spans="1:46" x14ac:dyDescent="0.3">
      <c r="A23" s="143"/>
      <c r="B23" s="144"/>
      <c r="C23" s="145"/>
      <c r="D23" s="146"/>
      <c r="E23" s="144"/>
      <c r="F23" s="144"/>
      <c r="G23" s="144"/>
      <c r="H23" s="144"/>
      <c r="I23" s="148"/>
      <c r="J23" s="149">
        <f t="shared" si="9"/>
        <v>0</v>
      </c>
      <c r="K23" s="150">
        <f t="shared" si="10"/>
        <v>0</v>
      </c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2"/>
    </row>
    <row r="24" spans="1:46" x14ac:dyDescent="0.3">
      <c r="A24" s="143"/>
      <c r="B24" s="144"/>
      <c r="C24" s="145"/>
      <c r="D24" s="146"/>
      <c r="E24" s="144"/>
      <c r="F24" s="144"/>
      <c r="G24" s="144"/>
      <c r="H24" s="144"/>
      <c r="I24" s="148"/>
      <c r="J24" s="149">
        <f t="shared" si="9"/>
        <v>0</v>
      </c>
      <c r="K24" s="150">
        <f t="shared" si="10"/>
        <v>0</v>
      </c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2"/>
    </row>
    <row r="25" spans="1:46" x14ac:dyDescent="0.3">
      <c r="A25" s="143"/>
      <c r="B25" s="144"/>
      <c r="C25" s="145"/>
      <c r="D25" s="146"/>
      <c r="E25" s="144"/>
      <c r="F25" s="144"/>
      <c r="G25" s="144"/>
      <c r="H25" s="144"/>
      <c r="I25" s="148"/>
      <c r="J25" s="149">
        <f t="shared" si="9"/>
        <v>0</v>
      </c>
      <c r="K25" s="150">
        <f t="shared" si="10"/>
        <v>0</v>
      </c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2"/>
    </row>
    <row r="26" spans="1:46" x14ac:dyDescent="0.3">
      <c r="A26" s="143"/>
      <c r="B26" s="144"/>
      <c r="C26" s="145"/>
      <c r="D26" s="146"/>
      <c r="E26" s="144"/>
      <c r="F26" s="144"/>
      <c r="G26" s="144"/>
      <c r="H26" s="144"/>
      <c r="I26" s="148"/>
      <c r="J26" s="149">
        <f t="shared" si="9"/>
        <v>0</v>
      </c>
      <c r="K26" s="150">
        <f t="shared" si="10"/>
        <v>0</v>
      </c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2"/>
    </row>
    <row r="27" spans="1:46" x14ac:dyDescent="0.3">
      <c r="A27" s="143"/>
      <c r="B27" s="144"/>
      <c r="C27" s="145"/>
      <c r="D27" s="146"/>
      <c r="E27" s="144"/>
      <c r="F27" s="144"/>
      <c r="G27" s="144"/>
      <c r="H27" s="144"/>
      <c r="I27" s="148"/>
      <c r="J27" s="149">
        <f t="shared" si="9"/>
        <v>0</v>
      </c>
      <c r="K27" s="150">
        <f t="shared" si="10"/>
        <v>0</v>
      </c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2"/>
    </row>
    <row r="28" spans="1:46" x14ac:dyDescent="0.3">
      <c r="A28" s="143"/>
      <c r="B28" s="144"/>
      <c r="C28" s="145"/>
      <c r="D28" s="146"/>
      <c r="E28" s="144"/>
      <c r="F28" s="144"/>
      <c r="G28" s="144"/>
      <c r="H28" s="144"/>
      <c r="I28" s="148"/>
      <c r="J28" s="149">
        <f t="shared" si="9"/>
        <v>0</v>
      </c>
      <c r="K28" s="150">
        <f t="shared" si="10"/>
        <v>0</v>
      </c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2"/>
    </row>
    <row r="29" spans="1:46" x14ac:dyDescent="0.3">
      <c r="A29" s="143"/>
      <c r="B29" s="144"/>
      <c r="C29" s="145"/>
      <c r="D29" s="146"/>
      <c r="E29" s="144"/>
      <c r="F29" s="144"/>
      <c r="G29" s="144"/>
      <c r="H29" s="144"/>
      <c r="I29" s="148"/>
      <c r="J29" s="149">
        <f t="shared" si="9"/>
        <v>0</v>
      </c>
      <c r="K29" s="150">
        <f t="shared" si="10"/>
        <v>0</v>
      </c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2"/>
    </row>
    <row r="30" spans="1:46" x14ac:dyDescent="0.3">
      <c r="A30" s="143"/>
      <c r="B30" s="144"/>
      <c r="C30" s="145"/>
      <c r="D30" s="146"/>
      <c r="E30" s="144"/>
      <c r="F30" s="144"/>
      <c r="G30" s="144"/>
      <c r="H30" s="144"/>
      <c r="I30" s="148"/>
      <c r="J30" s="149">
        <f t="shared" si="9"/>
        <v>0</v>
      </c>
      <c r="K30" s="150">
        <f t="shared" si="10"/>
        <v>0</v>
      </c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2"/>
    </row>
    <row r="31" spans="1:46" x14ac:dyDescent="0.3">
      <c r="A31" s="143"/>
      <c r="B31" s="144"/>
      <c r="C31" s="145"/>
      <c r="D31" s="146"/>
      <c r="E31" s="144"/>
      <c r="F31" s="144"/>
      <c r="G31" s="144"/>
      <c r="H31" s="144"/>
      <c r="I31" s="148"/>
      <c r="J31" s="149">
        <f t="shared" si="9"/>
        <v>0</v>
      </c>
      <c r="K31" s="150">
        <f t="shared" si="10"/>
        <v>0</v>
      </c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2"/>
    </row>
    <row r="32" spans="1:46" x14ac:dyDescent="0.3">
      <c r="A32" s="143"/>
      <c r="B32" s="144"/>
      <c r="C32" s="145"/>
      <c r="D32" s="146"/>
      <c r="E32" s="144"/>
      <c r="F32" s="144"/>
      <c r="G32" s="144"/>
      <c r="H32" s="144"/>
      <c r="I32" s="148"/>
      <c r="J32" s="149">
        <f t="shared" si="9"/>
        <v>0</v>
      </c>
      <c r="K32" s="150">
        <f t="shared" si="10"/>
        <v>0</v>
      </c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2"/>
    </row>
    <row r="33" spans="1:46" x14ac:dyDescent="0.3">
      <c r="A33" s="143"/>
      <c r="B33" s="144"/>
      <c r="C33" s="145"/>
      <c r="D33" s="146"/>
      <c r="E33" s="144"/>
      <c r="F33" s="144"/>
      <c r="G33" s="144"/>
      <c r="H33" s="144"/>
      <c r="I33" s="148"/>
      <c r="J33" s="149">
        <f t="shared" si="9"/>
        <v>0</v>
      </c>
      <c r="K33" s="150">
        <f t="shared" si="10"/>
        <v>0</v>
      </c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2"/>
    </row>
    <row r="34" spans="1:46" x14ac:dyDescent="0.3">
      <c r="A34" s="143"/>
      <c r="B34" s="144"/>
      <c r="C34" s="145"/>
      <c r="D34" s="146"/>
      <c r="E34" s="144"/>
      <c r="F34" s="144"/>
      <c r="G34" s="144"/>
      <c r="H34" s="144"/>
      <c r="I34" s="148"/>
      <c r="J34" s="149">
        <f t="shared" si="9"/>
        <v>0</v>
      </c>
      <c r="K34" s="150">
        <f t="shared" si="10"/>
        <v>0</v>
      </c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2"/>
    </row>
    <row r="35" spans="1:46" x14ac:dyDescent="0.3">
      <c r="A35" s="143"/>
      <c r="B35" s="144"/>
      <c r="C35" s="145"/>
      <c r="D35" s="146"/>
      <c r="E35" s="144"/>
      <c r="F35" s="144"/>
      <c r="G35" s="144"/>
      <c r="H35" s="144"/>
      <c r="I35" s="148"/>
      <c r="J35" s="149">
        <f t="shared" si="9"/>
        <v>0</v>
      </c>
      <c r="K35" s="150">
        <f t="shared" si="10"/>
        <v>0</v>
      </c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2"/>
    </row>
    <row r="36" spans="1:46" x14ac:dyDescent="0.3">
      <c r="A36" s="143"/>
      <c r="B36" s="144"/>
      <c r="C36" s="145"/>
      <c r="D36" s="146"/>
      <c r="E36" s="144"/>
      <c r="F36" s="144"/>
      <c r="G36" s="144"/>
      <c r="H36" s="144"/>
      <c r="I36" s="148"/>
      <c r="J36" s="149">
        <f t="shared" si="9"/>
        <v>0</v>
      </c>
      <c r="K36" s="150">
        <f t="shared" si="10"/>
        <v>0</v>
      </c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2"/>
    </row>
    <row r="37" spans="1:46" x14ac:dyDescent="0.3">
      <c r="A37" s="143"/>
      <c r="B37" s="144"/>
      <c r="C37" s="145"/>
      <c r="D37" s="146"/>
      <c r="E37" s="144"/>
      <c r="F37" s="144"/>
      <c r="G37" s="144"/>
      <c r="H37" s="144"/>
      <c r="I37" s="148"/>
      <c r="J37" s="149">
        <f t="shared" si="9"/>
        <v>0</v>
      </c>
      <c r="K37" s="150">
        <f t="shared" si="10"/>
        <v>0</v>
      </c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2"/>
    </row>
    <row r="38" spans="1:46" x14ac:dyDescent="0.3">
      <c r="A38" s="143"/>
      <c r="B38" s="144"/>
      <c r="C38" s="145"/>
      <c r="D38" s="146"/>
      <c r="E38" s="144"/>
      <c r="F38" s="144"/>
      <c r="G38" s="144"/>
      <c r="H38" s="144"/>
      <c r="I38" s="148"/>
      <c r="J38" s="149">
        <f t="shared" si="9"/>
        <v>0</v>
      </c>
      <c r="K38" s="150">
        <f t="shared" si="10"/>
        <v>0</v>
      </c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2"/>
    </row>
    <row r="39" spans="1:46" x14ac:dyDescent="0.3">
      <c r="A39" s="143"/>
      <c r="B39" s="144"/>
      <c r="C39" s="145"/>
      <c r="D39" s="146"/>
      <c r="E39" s="144"/>
      <c r="F39" s="144"/>
      <c r="G39" s="144"/>
      <c r="H39" s="144"/>
      <c r="I39" s="148"/>
      <c r="J39" s="149">
        <f t="shared" si="9"/>
        <v>0</v>
      </c>
      <c r="K39" s="150">
        <f t="shared" si="10"/>
        <v>0</v>
      </c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2"/>
    </row>
    <row r="40" spans="1:46" x14ac:dyDescent="0.3">
      <c r="A40" s="143"/>
      <c r="B40" s="144"/>
      <c r="C40" s="145"/>
      <c r="D40" s="146"/>
      <c r="E40" s="144"/>
      <c r="F40" s="144"/>
      <c r="G40" s="144"/>
      <c r="H40" s="144"/>
      <c r="I40" s="148"/>
      <c r="J40" s="149">
        <f t="shared" si="9"/>
        <v>0</v>
      </c>
      <c r="K40" s="150">
        <f t="shared" si="10"/>
        <v>0</v>
      </c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2"/>
    </row>
    <row r="41" spans="1:46" x14ac:dyDescent="0.3">
      <c r="A41" s="143"/>
      <c r="B41" s="144"/>
      <c r="C41" s="145"/>
      <c r="D41" s="146"/>
      <c r="E41" s="144"/>
      <c r="F41" s="144"/>
      <c r="G41" s="144"/>
      <c r="H41" s="144"/>
      <c r="I41" s="148"/>
      <c r="J41" s="149">
        <f t="shared" si="9"/>
        <v>0</v>
      </c>
      <c r="K41" s="150">
        <f t="shared" si="10"/>
        <v>0</v>
      </c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2"/>
    </row>
    <row r="42" spans="1:46" x14ac:dyDescent="0.3">
      <c r="A42" s="143"/>
      <c r="B42" s="144"/>
      <c r="C42" s="145"/>
      <c r="D42" s="146"/>
      <c r="E42" s="144"/>
      <c r="F42" s="144"/>
      <c r="G42" s="144"/>
      <c r="H42" s="144"/>
      <c r="I42" s="148"/>
      <c r="J42" s="149">
        <f t="shared" si="9"/>
        <v>0</v>
      </c>
      <c r="K42" s="150">
        <f t="shared" si="10"/>
        <v>0</v>
      </c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2"/>
    </row>
    <row r="43" spans="1:46" x14ac:dyDescent="0.3">
      <c r="A43" s="143"/>
      <c r="B43" s="144"/>
      <c r="C43" s="145"/>
      <c r="D43" s="146"/>
      <c r="E43" s="144"/>
      <c r="F43" s="144"/>
      <c r="G43" s="144"/>
      <c r="H43" s="144"/>
      <c r="I43" s="148"/>
      <c r="J43" s="149">
        <f t="shared" si="9"/>
        <v>0</v>
      </c>
      <c r="K43" s="150">
        <f t="shared" si="10"/>
        <v>0</v>
      </c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2"/>
    </row>
    <row r="44" spans="1:46" x14ac:dyDescent="0.3">
      <c r="A44" s="143"/>
      <c r="B44" s="144"/>
      <c r="C44" s="145"/>
      <c r="D44" s="146"/>
      <c r="E44" s="144"/>
      <c r="F44" s="144"/>
      <c r="G44" s="144"/>
      <c r="H44" s="144"/>
      <c r="I44" s="148"/>
      <c r="J44" s="149">
        <f t="shared" si="9"/>
        <v>0</v>
      </c>
      <c r="K44" s="150">
        <f t="shared" si="10"/>
        <v>0</v>
      </c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2"/>
    </row>
    <row r="45" spans="1:46" x14ac:dyDescent="0.3">
      <c r="A45" s="143"/>
      <c r="B45" s="144"/>
      <c r="C45" s="145"/>
      <c r="D45" s="146"/>
      <c r="E45" s="144"/>
      <c r="F45" s="144"/>
      <c r="G45" s="144"/>
      <c r="H45" s="144"/>
      <c r="I45" s="148"/>
      <c r="J45" s="149">
        <f t="shared" si="9"/>
        <v>0</v>
      </c>
      <c r="K45" s="150">
        <f t="shared" si="10"/>
        <v>0</v>
      </c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2"/>
    </row>
    <row r="46" spans="1:46" x14ac:dyDescent="0.3">
      <c r="A46" s="143"/>
      <c r="B46" s="144"/>
      <c r="C46" s="145"/>
      <c r="D46" s="146"/>
      <c r="E46" s="144"/>
      <c r="F46" s="144"/>
      <c r="G46" s="144"/>
      <c r="H46" s="144"/>
      <c r="I46" s="148"/>
      <c r="J46" s="149">
        <f t="shared" si="9"/>
        <v>0</v>
      </c>
      <c r="K46" s="150">
        <f t="shared" si="10"/>
        <v>0</v>
      </c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2"/>
    </row>
    <row r="47" spans="1:46" x14ac:dyDescent="0.3">
      <c r="A47" s="143"/>
      <c r="B47" s="144"/>
      <c r="C47" s="145"/>
      <c r="D47" s="146"/>
      <c r="E47" s="144"/>
      <c r="F47" s="144"/>
      <c r="G47" s="144"/>
      <c r="H47" s="144"/>
      <c r="I47" s="148"/>
      <c r="J47" s="149">
        <f t="shared" si="9"/>
        <v>0</v>
      </c>
      <c r="K47" s="150">
        <f t="shared" si="10"/>
        <v>0</v>
      </c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2"/>
    </row>
    <row r="48" spans="1:46" x14ac:dyDescent="0.3">
      <c r="A48" s="143"/>
      <c r="B48" s="144"/>
      <c r="C48" s="145"/>
      <c r="D48" s="146"/>
      <c r="E48" s="144"/>
      <c r="F48" s="144"/>
      <c r="G48" s="144"/>
      <c r="H48" s="144"/>
      <c r="I48" s="148"/>
      <c r="J48" s="149">
        <f t="shared" si="9"/>
        <v>0</v>
      </c>
      <c r="K48" s="150">
        <f t="shared" si="10"/>
        <v>0</v>
      </c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2"/>
    </row>
    <row r="49" spans="1:46" x14ac:dyDescent="0.3">
      <c r="A49" s="143"/>
      <c r="B49" s="144"/>
      <c r="C49" s="145"/>
      <c r="D49" s="146"/>
      <c r="E49" s="144"/>
      <c r="F49" s="144"/>
      <c r="G49" s="144"/>
      <c r="H49" s="144"/>
      <c r="I49" s="148"/>
      <c r="J49" s="149">
        <f t="shared" si="9"/>
        <v>0</v>
      </c>
      <c r="K49" s="150">
        <f t="shared" si="10"/>
        <v>0</v>
      </c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2"/>
    </row>
    <row r="50" spans="1:46" x14ac:dyDescent="0.3">
      <c r="A50" s="143"/>
      <c r="B50" s="144"/>
      <c r="C50" s="145"/>
      <c r="D50" s="146"/>
      <c r="E50" s="144"/>
      <c r="F50" s="144"/>
      <c r="G50" s="144"/>
      <c r="H50" s="144"/>
      <c r="I50" s="148"/>
      <c r="J50" s="149">
        <f t="shared" si="9"/>
        <v>0</v>
      </c>
      <c r="K50" s="150">
        <f t="shared" si="10"/>
        <v>0</v>
      </c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2"/>
    </row>
    <row r="51" spans="1:46" x14ac:dyDescent="0.3">
      <c r="A51" s="143"/>
      <c r="B51" s="144"/>
      <c r="C51" s="145"/>
      <c r="D51" s="146"/>
      <c r="E51" s="144"/>
      <c r="F51" s="144"/>
      <c r="G51" s="144"/>
      <c r="H51" s="144"/>
      <c r="I51" s="148"/>
      <c r="J51" s="149">
        <f t="shared" si="9"/>
        <v>0</v>
      </c>
      <c r="K51" s="150">
        <f t="shared" si="10"/>
        <v>0</v>
      </c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2"/>
    </row>
    <row r="52" spans="1:46" x14ac:dyDescent="0.3">
      <c r="A52" s="143"/>
      <c r="B52" s="144"/>
      <c r="C52" s="145"/>
      <c r="D52" s="146"/>
      <c r="E52" s="144"/>
      <c r="F52" s="144"/>
      <c r="G52" s="144"/>
      <c r="H52" s="144"/>
      <c r="I52" s="148"/>
      <c r="J52" s="149">
        <f t="shared" si="9"/>
        <v>0</v>
      </c>
      <c r="K52" s="150">
        <f t="shared" si="10"/>
        <v>0</v>
      </c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2"/>
    </row>
    <row r="53" spans="1:46" x14ac:dyDescent="0.3">
      <c r="A53" s="143"/>
      <c r="B53" s="144"/>
      <c r="C53" s="145"/>
      <c r="D53" s="146"/>
      <c r="E53" s="144"/>
      <c r="F53" s="144"/>
      <c r="G53" s="144"/>
      <c r="H53" s="144"/>
      <c r="I53" s="148"/>
      <c r="J53" s="149">
        <f t="shared" si="9"/>
        <v>0</v>
      </c>
      <c r="K53" s="150">
        <f t="shared" si="10"/>
        <v>0</v>
      </c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2"/>
    </row>
    <row r="54" spans="1:46" x14ac:dyDescent="0.3">
      <c r="A54" s="143"/>
      <c r="B54" s="144"/>
      <c r="C54" s="145"/>
      <c r="D54" s="146"/>
      <c r="E54" s="144"/>
      <c r="F54" s="144"/>
      <c r="G54" s="144"/>
      <c r="H54" s="144"/>
      <c r="I54" s="148"/>
      <c r="J54" s="149">
        <f t="shared" si="9"/>
        <v>0</v>
      </c>
      <c r="K54" s="150">
        <f t="shared" si="10"/>
        <v>0</v>
      </c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2"/>
    </row>
    <row r="55" spans="1:46" x14ac:dyDescent="0.3">
      <c r="A55" s="143"/>
      <c r="B55" s="144"/>
      <c r="C55" s="145"/>
      <c r="D55" s="146"/>
      <c r="E55" s="144"/>
      <c r="F55" s="144"/>
      <c r="G55" s="144"/>
      <c r="H55" s="144"/>
      <c r="I55" s="148"/>
      <c r="J55" s="149">
        <f t="shared" si="9"/>
        <v>0</v>
      </c>
      <c r="K55" s="150">
        <f t="shared" si="10"/>
        <v>0</v>
      </c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2"/>
    </row>
    <row r="56" spans="1:46" x14ac:dyDescent="0.3">
      <c r="A56" s="143"/>
      <c r="B56" s="144"/>
      <c r="C56" s="145"/>
      <c r="D56" s="146"/>
      <c r="E56" s="144"/>
      <c r="F56" s="144"/>
      <c r="G56" s="144"/>
      <c r="H56" s="144"/>
      <c r="I56" s="148"/>
      <c r="J56" s="149">
        <f t="shared" si="9"/>
        <v>0</v>
      </c>
      <c r="K56" s="150">
        <f t="shared" si="10"/>
        <v>0</v>
      </c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2"/>
    </row>
    <row r="57" spans="1:46" x14ac:dyDescent="0.3">
      <c r="A57" s="143"/>
      <c r="B57" s="144"/>
      <c r="C57" s="145"/>
      <c r="D57" s="146"/>
      <c r="E57" s="144"/>
      <c r="F57" s="144"/>
      <c r="G57" s="144"/>
      <c r="H57" s="144"/>
      <c r="I57" s="148"/>
      <c r="J57" s="149">
        <f t="shared" si="9"/>
        <v>0</v>
      </c>
      <c r="K57" s="150">
        <f t="shared" si="10"/>
        <v>0</v>
      </c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  <c r="AS57" s="151"/>
      <c r="AT57" s="152"/>
    </row>
    <row r="58" spans="1:46" x14ac:dyDescent="0.3">
      <c r="A58" s="143"/>
      <c r="B58" s="144"/>
      <c r="C58" s="145"/>
      <c r="D58" s="146"/>
      <c r="E58" s="144"/>
      <c r="F58" s="144"/>
      <c r="G58" s="144"/>
      <c r="H58" s="144"/>
      <c r="I58" s="148"/>
      <c r="J58" s="149">
        <f t="shared" si="9"/>
        <v>0</v>
      </c>
      <c r="K58" s="150">
        <f t="shared" si="10"/>
        <v>0</v>
      </c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2"/>
    </row>
    <row r="59" spans="1:46" x14ac:dyDescent="0.3">
      <c r="A59" s="143"/>
      <c r="B59" s="144"/>
      <c r="C59" s="145"/>
      <c r="D59" s="146"/>
      <c r="E59" s="144"/>
      <c r="F59" s="144"/>
      <c r="G59" s="144"/>
      <c r="H59" s="144"/>
      <c r="I59" s="148"/>
      <c r="J59" s="149">
        <f t="shared" si="9"/>
        <v>0</v>
      </c>
      <c r="K59" s="150">
        <f t="shared" si="10"/>
        <v>0</v>
      </c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AT59" s="152"/>
    </row>
    <row r="60" spans="1:46" x14ac:dyDescent="0.3">
      <c r="A60" s="143"/>
      <c r="B60" s="144"/>
      <c r="C60" s="145"/>
      <c r="D60" s="146"/>
      <c r="E60" s="144"/>
      <c r="F60" s="144"/>
      <c r="G60" s="144"/>
      <c r="H60" s="144"/>
      <c r="I60" s="148"/>
      <c r="J60" s="149">
        <f t="shared" si="9"/>
        <v>0</v>
      </c>
      <c r="K60" s="150">
        <f t="shared" si="10"/>
        <v>0</v>
      </c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2"/>
    </row>
    <row r="61" spans="1:46" x14ac:dyDescent="0.3">
      <c r="A61" s="143"/>
      <c r="B61" s="144"/>
      <c r="C61" s="145"/>
      <c r="D61" s="146"/>
      <c r="E61" s="144"/>
      <c r="F61" s="144"/>
      <c r="G61" s="144"/>
      <c r="H61" s="144"/>
      <c r="I61" s="148"/>
      <c r="J61" s="149">
        <f t="shared" si="9"/>
        <v>0</v>
      </c>
      <c r="K61" s="150">
        <f t="shared" si="10"/>
        <v>0</v>
      </c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2"/>
    </row>
    <row r="62" spans="1:46" x14ac:dyDescent="0.3">
      <c r="A62" s="143"/>
      <c r="B62" s="144"/>
      <c r="C62" s="145"/>
      <c r="D62" s="146"/>
      <c r="E62" s="144"/>
      <c r="F62" s="144"/>
      <c r="G62" s="144"/>
      <c r="H62" s="144"/>
      <c r="I62" s="148"/>
      <c r="J62" s="149">
        <f t="shared" si="9"/>
        <v>0</v>
      </c>
      <c r="K62" s="150">
        <f t="shared" si="10"/>
        <v>0</v>
      </c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2"/>
    </row>
    <row r="63" spans="1:46" x14ac:dyDescent="0.3">
      <c r="A63" s="143"/>
      <c r="B63" s="144"/>
      <c r="C63" s="145"/>
      <c r="D63" s="146"/>
      <c r="E63" s="144"/>
      <c r="F63" s="144"/>
      <c r="G63" s="144"/>
      <c r="H63" s="144"/>
      <c r="I63" s="148"/>
      <c r="J63" s="149">
        <f t="shared" si="9"/>
        <v>0</v>
      </c>
      <c r="K63" s="150">
        <f t="shared" si="10"/>
        <v>0</v>
      </c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AT63" s="152"/>
    </row>
    <row r="64" spans="1:46" x14ac:dyDescent="0.3">
      <c r="A64" s="143"/>
      <c r="B64" s="144"/>
      <c r="C64" s="145"/>
      <c r="D64" s="146"/>
      <c r="E64" s="144"/>
      <c r="F64" s="144"/>
      <c r="G64" s="144"/>
      <c r="H64" s="144"/>
      <c r="I64" s="148"/>
      <c r="J64" s="149">
        <f t="shared" si="9"/>
        <v>0</v>
      </c>
      <c r="K64" s="150">
        <f t="shared" si="10"/>
        <v>0</v>
      </c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2"/>
    </row>
    <row r="65" spans="1:46" x14ac:dyDescent="0.3">
      <c r="A65" s="143"/>
      <c r="B65" s="144"/>
      <c r="C65" s="145"/>
      <c r="D65" s="146"/>
      <c r="E65" s="144"/>
      <c r="F65" s="144"/>
      <c r="G65" s="144"/>
      <c r="H65" s="144"/>
      <c r="I65" s="148"/>
      <c r="J65" s="149">
        <f t="shared" si="9"/>
        <v>0</v>
      </c>
      <c r="K65" s="150">
        <f t="shared" si="10"/>
        <v>0</v>
      </c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1"/>
      <c r="AR65" s="151"/>
      <c r="AS65" s="151"/>
      <c r="AT65" s="152"/>
    </row>
    <row r="66" spans="1:46" x14ac:dyDescent="0.3">
      <c r="A66" s="143"/>
      <c r="B66" s="144"/>
      <c r="C66" s="145"/>
      <c r="D66" s="146"/>
      <c r="E66" s="144"/>
      <c r="F66" s="144"/>
      <c r="G66" s="144"/>
      <c r="H66" s="144"/>
      <c r="I66" s="148"/>
      <c r="J66" s="149">
        <f t="shared" si="9"/>
        <v>0</v>
      </c>
      <c r="K66" s="150">
        <f t="shared" si="10"/>
        <v>0</v>
      </c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2"/>
    </row>
    <row r="67" spans="1:46" x14ac:dyDescent="0.3">
      <c r="A67" s="143"/>
      <c r="B67" s="144"/>
      <c r="C67" s="145"/>
      <c r="D67" s="146"/>
      <c r="E67" s="144"/>
      <c r="F67" s="144"/>
      <c r="G67" s="144"/>
      <c r="H67" s="144"/>
      <c r="I67" s="148"/>
      <c r="J67" s="149">
        <f t="shared" si="9"/>
        <v>0</v>
      </c>
      <c r="K67" s="150">
        <f t="shared" si="10"/>
        <v>0</v>
      </c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2"/>
    </row>
    <row r="68" spans="1:46" x14ac:dyDescent="0.3">
      <c r="A68" s="143"/>
      <c r="B68" s="144"/>
      <c r="C68" s="145"/>
      <c r="D68" s="146"/>
      <c r="E68" s="144"/>
      <c r="F68" s="144"/>
      <c r="G68" s="144"/>
      <c r="H68" s="144"/>
      <c r="I68" s="148"/>
      <c r="J68" s="149">
        <f t="shared" si="9"/>
        <v>0</v>
      </c>
      <c r="K68" s="150">
        <f t="shared" si="10"/>
        <v>0</v>
      </c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  <c r="AQ68" s="151"/>
      <c r="AR68" s="151"/>
      <c r="AS68" s="151"/>
      <c r="AT68" s="152"/>
    </row>
    <row r="69" spans="1:46" x14ac:dyDescent="0.3">
      <c r="A69" s="143"/>
      <c r="B69" s="144"/>
      <c r="C69" s="145"/>
      <c r="D69" s="146"/>
      <c r="E69" s="144"/>
      <c r="F69" s="144"/>
      <c r="G69" s="144"/>
      <c r="H69" s="144"/>
      <c r="I69" s="148"/>
      <c r="J69" s="149">
        <f t="shared" si="9"/>
        <v>0</v>
      </c>
      <c r="K69" s="150">
        <f t="shared" si="10"/>
        <v>0</v>
      </c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  <c r="AT69" s="152"/>
    </row>
    <row r="70" spans="1:46" x14ac:dyDescent="0.3">
      <c r="A70" s="143"/>
      <c r="B70" s="144"/>
      <c r="C70" s="145"/>
      <c r="D70" s="146"/>
      <c r="E70" s="144"/>
      <c r="F70" s="144"/>
      <c r="G70" s="144"/>
      <c r="H70" s="144"/>
      <c r="I70" s="148"/>
      <c r="J70" s="149">
        <f t="shared" si="9"/>
        <v>0</v>
      </c>
      <c r="K70" s="150">
        <f t="shared" si="10"/>
        <v>0</v>
      </c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2"/>
    </row>
    <row r="71" spans="1:46" x14ac:dyDescent="0.3">
      <c r="A71" s="143"/>
      <c r="B71" s="144"/>
      <c r="C71" s="145"/>
      <c r="D71" s="146"/>
      <c r="E71" s="144"/>
      <c r="F71" s="144"/>
      <c r="G71" s="144"/>
      <c r="H71" s="144"/>
      <c r="I71" s="148"/>
      <c r="J71" s="149">
        <f t="shared" si="9"/>
        <v>0</v>
      </c>
      <c r="K71" s="150">
        <f t="shared" si="10"/>
        <v>0</v>
      </c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/>
      <c r="AS71" s="151"/>
      <c r="AT71" s="152"/>
    </row>
    <row r="72" spans="1:46" x14ac:dyDescent="0.3">
      <c r="A72" s="143"/>
      <c r="B72" s="144"/>
      <c r="C72" s="145"/>
      <c r="D72" s="146"/>
      <c r="E72" s="144"/>
      <c r="F72" s="144"/>
      <c r="G72" s="144"/>
      <c r="H72" s="144"/>
      <c r="I72" s="148"/>
      <c r="J72" s="149">
        <f t="shared" si="9"/>
        <v>0</v>
      </c>
      <c r="K72" s="150">
        <f t="shared" si="10"/>
        <v>0</v>
      </c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2"/>
    </row>
    <row r="73" spans="1:46" x14ac:dyDescent="0.3">
      <c r="A73" s="143"/>
      <c r="B73" s="144"/>
      <c r="C73" s="145"/>
      <c r="D73" s="146"/>
      <c r="E73" s="144"/>
      <c r="F73" s="144"/>
      <c r="G73" s="144"/>
      <c r="H73" s="144"/>
      <c r="I73" s="148"/>
      <c r="J73" s="149">
        <f t="shared" si="9"/>
        <v>0</v>
      </c>
      <c r="K73" s="150">
        <f t="shared" si="10"/>
        <v>0</v>
      </c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  <c r="AR73" s="151"/>
      <c r="AS73" s="151"/>
      <c r="AT73" s="152"/>
    </row>
    <row r="74" spans="1:46" x14ac:dyDescent="0.3">
      <c r="A74" s="143"/>
      <c r="B74" s="144"/>
      <c r="C74" s="145"/>
      <c r="D74" s="146"/>
      <c r="E74" s="144"/>
      <c r="F74" s="144"/>
      <c r="G74" s="144"/>
      <c r="H74" s="144"/>
      <c r="I74" s="148"/>
      <c r="J74" s="149">
        <f t="shared" si="9"/>
        <v>0</v>
      </c>
      <c r="K74" s="150">
        <f t="shared" si="10"/>
        <v>0</v>
      </c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  <c r="AR74" s="151"/>
      <c r="AS74" s="151"/>
      <c r="AT74" s="152"/>
    </row>
    <row r="75" spans="1:46" x14ac:dyDescent="0.3">
      <c r="A75" s="143"/>
      <c r="B75" s="144"/>
      <c r="C75" s="145"/>
      <c r="D75" s="146"/>
      <c r="E75" s="144"/>
      <c r="F75" s="144"/>
      <c r="G75" s="144"/>
      <c r="H75" s="144"/>
      <c r="I75" s="148"/>
      <c r="J75" s="149">
        <f t="shared" si="9"/>
        <v>0</v>
      </c>
      <c r="K75" s="150">
        <f t="shared" si="10"/>
        <v>0</v>
      </c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  <c r="AI75" s="151"/>
      <c r="AJ75" s="151"/>
      <c r="AK75" s="151"/>
      <c r="AL75" s="151"/>
      <c r="AM75" s="151"/>
      <c r="AN75" s="151"/>
      <c r="AO75" s="151"/>
      <c r="AP75" s="151"/>
      <c r="AQ75" s="151"/>
      <c r="AR75" s="151"/>
      <c r="AS75" s="151"/>
      <c r="AT75" s="152"/>
    </row>
    <row r="76" spans="1:46" x14ac:dyDescent="0.3">
      <c r="A76" s="143"/>
      <c r="B76" s="144"/>
      <c r="C76" s="145"/>
      <c r="D76" s="146"/>
      <c r="E76" s="144"/>
      <c r="F76" s="144"/>
      <c r="G76" s="144"/>
      <c r="H76" s="144"/>
      <c r="I76" s="148"/>
      <c r="J76" s="149">
        <f t="shared" si="9"/>
        <v>0</v>
      </c>
      <c r="K76" s="150">
        <f t="shared" si="10"/>
        <v>0</v>
      </c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2"/>
    </row>
    <row r="77" spans="1:46" x14ac:dyDescent="0.3">
      <c r="A77" s="143"/>
      <c r="B77" s="144"/>
      <c r="C77" s="145"/>
      <c r="D77" s="146"/>
      <c r="E77" s="144"/>
      <c r="F77" s="144"/>
      <c r="G77" s="144"/>
      <c r="H77" s="144"/>
      <c r="I77" s="148"/>
      <c r="J77" s="149">
        <f t="shared" si="9"/>
        <v>0</v>
      </c>
      <c r="K77" s="150">
        <f t="shared" si="10"/>
        <v>0</v>
      </c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  <c r="AJ77" s="151"/>
      <c r="AK77" s="151"/>
      <c r="AL77" s="151"/>
      <c r="AM77" s="151"/>
      <c r="AN77" s="151"/>
      <c r="AO77" s="151"/>
      <c r="AP77" s="151"/>
      <c r="AQ77" s="151"/>
      <c r="AR77" s="151"/>
      <c r="AS77" s="151"/>
      <c r="AT77" s="152"/>
    </row>
    <row r="78" spans="1:46" x14ac:dyDescent="0.3">
      <c r="A78" s="143"/>
      <c r="B78" s="144"/>
      <c r="C78" s="145"/>
      <c r="D78" s="146"/>
      <c r="E78" s="144"/>
      <c r="F78" s="144"/>
      <c r="G78" s="144"/>
      <c r="H78" s="144"/>
      <c r="I78" s="148"/>
      <c r="J78" s="149">
        <f t="shared" si="9"/>
        <v>0</v>
      </c>
      <c r="K78" s="150">
        <f t="shared" si="10"/>
        <v>0</v>
      </c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  <c r="AR78" s="151"/>
      <c r="AS78" s="151"/>
      <c r="AT78" s="152"/>
    </row>
    <row r="79" spans="1:46" x14ac:dyDescent="0.3">
      <c r="A79" s="143"/>
      <c r="B79" s="144"/>
      <c r="C79" s="145"/>
      <c r="D79" s="146"/>
      <c r="E79" s="144"/>
      <c r="F79" s="144"/>
      <c r="G79" s="144"/>
      <c r="H79" s="144"/>
      <c r="I79" s="148"/>
      <c r="J79" s="149">
        <f t="shared" si="9"/>
        <v>0</v>
      </c>
      <c r="K79" s="150">
        <f t="shared" si="10"/>
        <v>0</v>
      </c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  <c r="AC79" s="151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2"/>
    </row>
    <row r="80" spans="1:46" x14ac:dyDescent="0.3">
      <c r="A80" s="143"/>
      <c r="B80" s="144"/>
      <c r="C80" s="145"/>
      <c r="D80" s="146"/>
      <c r="E80" s="144"/>
      <c r="F80" s="144"/>
      <c r="G80" s="144"/>
      <c r="H80" s="144"/>
      <c r="I80" s="148"/>
      <c r="J80" s="149">
        <f t="shared" ref="J80:J143" si="11">I80*K80</f>
        <v>0</v>
      </c>
      <c r="K80" s="150">
        <f t="shared" ref="K80:K143" si="12">SUM(L80:AT80)</f>
        <v>0</v>
      </c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2"/>
    </row>
    <row r="81" spans="1:46" x14ac:dyDescent="0.3">
      <c r="A81" s="143"/>
      <c r="B81" s="144"/>
      <c r="C81" s="145"/>
      <c r="D81" s="146"/>
      <c r="E81" s="144"/>
      <c r="F81" s="144"/>
      <c r="G81" s="144"/>
      <c r="H81" s="144"/>
      <c r="I81" s="148"/>
      <c r="J81" s="149">
        <f t="shared" si="11"/>
        <v>0</v>
      </c>
      <c r="K81" s="150">
        <f t="shared" si="12"/>
        <v>0</v>
      </c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2"/>
    </row>
    <row r="82" spans="1:46" x14ac:dyDescent="0.3">
      <c r="A82" s="143"/>
      <c r="B82" s="144"/>
      <c r="C82" s="145"/>
      <c r="D82" s="146"/>
      <c r="E82" s="144"/>
      <c r="F82" s="144"/>
      <c r="G82" s="144"/>
      <c r="H82" s="144"/>
      <c r="I82" s="148"/>
      <c r="J82" s="149">
        <f t="shared" si="11"/>
        <v>0</v>
      </c>
      <c r="K82" s="150">
        <f t="shared" si="12"/>
        <v>0</v>
      </c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  <c r="AJ82" s="151"/>
      <c r="AK82" s="151"/>
      <c r="AL82" s="151"/>
      <c r="AM82" s="151"/>
      <c r="AN82" s="151"/>
      <c r="AO82" s="151"/>
      <c r="AP82" s="151"/>
      <c r="AQ82" s="151"/>
      <c r="AR82" s="151"/>
      <c r="AS82" s="151"/>
      <c r="AT82" s="152"/>
    </row>
    <row r="83" spans="1:46" x14ac:dyDescent="0.3">
      <c r="A83" s="143"/>
      <c r="B83" s="144"/>
      <c r="C83" s="145"/>
      <c r="D83" s="146"/>
      <c r="E83" s="144"/>
      <c r="F83" s="144"/>
      <c r="G83" s="144"/>
      <c r="H83" s="144"/>
      <c r="I83" s="148"/>
      <c r="J83" s="149">
        <f t="shared" si="11"/>
        <v>0</v>
      </c>
      <c r="K83" s="150">
        <f t="shared" si="12"/>
        <v>0</v>
      </c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  <c r="AC83" s="151"/>
      <c r="AD83" s="151"/>
      <c r="AE83" s="151"/>
      <c r="AF83" s="151"/>
      <c r="AG83" s="151"/>
      <c r="AH83" s="151"/>
      <c r="AI83" s="151"/>
      <c r="AJ83" s="151"/>
      <c r="AK83" s="151"/>
      <c r="AL83" s="151"/>
      <c r="AM83" s="151"/>
      <c r="AN83" s="151"/>
      <c r="AO83" s="151"/>
      <c r="AP83" s="151"/>
      <c r="AQ83" s="151"/>
      <c r="AR83" s="151"/>
      <c r="AS83" s="151"/>
      <c r="AT83" s="152"/>
    </row>
    <row r="84" spans="1:46" x14ac:dyDescent="0.3">
      <c r="A84" s="143"/>
      <c r="B84" s="144"/>
      <c r="C84" s="145"/>
      <c r="D84" s="146"/>
      <c r="E84" s="144"/>
      <c r="F84" s="144"/>
      <c r="G84" s="144"/>
      <c r="H84" s="144"/>
      <c r="I84" s="148"/>
      <c r="J84" s="149">
        <f t="shared" si="11"/>
        <v>0</v>
      </c>
      <c r="K84" s="150">
        <f t="shared" si="12"/>
        <v>0</v>
      </c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  <c r="AF84" s="151"/>
      <c r="AG84" s="151"/>
      <c r="AH84" s="151"/>
      <c r="AI84" s="151"/>
      <c r="AJ84" s="151"/>
      <c r="AK84" s="151"/>
      <c r="AL84" s="151"/>
      <c r="AM84" s="151"/>
      <c r="AN84" s="151"/>
      <c r="AO84" s="151"/>
      <c r="AP84" s="151"/>
      <c r="AQ84" s="151"/>
      <c r="AR84" s="151"/>
      <c r="AS84" s="151"/>
      <c r="AT84" s="152"/>
    </row>
    <row r="85" spans="1:46" x14ac:dyDescent="0.3">
      <c r="A85" s="143"/>
      <c r="B85" s="144"/>
      <c r="C85" s="145"/>
      <c r="D85" s="146"/>
      <c r="E85" s="144"/>
      <c r="F85" s="144"/>
      <c r="G85" s="144"/>
      <c r="H85" s="144"/>
      <c r="I85" s="148"/>
      <c r="J85" s="149">
        <f t="shared" si="11"/>
        <v>0</v>
      </c>
      <c r="K85" s="150">
        <f t="shared" si="12"/>
        <v>0</v>
      </c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  <c r="AC85" s="151"/>
      <c r="AD85" s="151"/>
      <c r="AE85" s="151"/>
      <c r="AF85" s="151"/>
      <c r="AG85" s="151"/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2"/>
    </row>
    <row r="86" spans="1:46" x14ac:dyDescent="0.3">
      <c r="A86" s="143"/>
      <c r="B86" s="144"/>
      <c r="C86" s="145"/>
      <c r="D86" s="146"/>
      <c r="E86" s="144"/>
      <c r="F86" s="144"/>
      <c r="G86" s="144"/>
      <c r="H86" s="144"/>
      <c r="I86" s="148"/>
      <c r="J86" s="149">
        <f t="shared" si="11"/>
        <v>0</v>
      </c>
      <c r="K86" s="150">
        <f t="shared" si="12"/>
        <v>0</v>
      </c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  <c r="AC86" s="151"/>
      <c r="AD86" s="151"/>
      <c r="AE86" s="151"/>
      <c r="AF86" s="151"/>
      <c r="AG86" s="151"/>
      <c r="AH86" s="151"/>
      <c r="AI86" s="151"/>
      <c r="AJ86" s="151"/>
      <c r="AK86" s="151"/>
      <c r="AL86" s="151"/>
      <c r="AM86" s="151"/>
      <c r="AN86" s="151"/>
      <c r="AO86" s="151"/>
      <c r="AP86" s="151"/>
      <c r="AQ86" s="151"/>
      <c r="AR86" s="151"/>
      <c r="AS86" s="151"/>
      <c r="AT86" s="152"/>
    </row>
    <row r="87" spans="1:46" x14ac:dyDescent="0.3">
      <c r="A87" s="143"/>
      <c r="B87" s="144"/>
      <c r="C87" s="145"/>
      <c r="D87" s="146"/>
      <c r="E87" s="144"/>
      <c r="F87" s="144"/>
      <c r="G87" s="144"/>
      <c r="H87" s="144"/>
      <c r="I87" s="148"/>
      <c r="J87" s="149">
        <f t="shared" si="11"/>
        <v>0</v>
      </c>
      <c r="K87" s="150">
        <f t="shared" si="12"/>
        <v>0</v>
      </c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  <c r="AB87" s="151"/>
      <c r="AC87" s="151"/>
      <c r="AD87" s="151"/>
      <c r="AE87" s="151"/>
      <c r="AF87" s="151"/>
      <c r="AG87" s="151"/>
      <c r="AH87" s="151"/>
      <c r="AI87" s="151"/>
      <c r="AJ87" s="151"/>
      <c r="AK87" s="151"/>
      <c r="AL87" s="151"/>
      <c r="AM87" s="151"/>
      <c r="AN87" s="151"/>
      <c r="AO87" s="151"/>
      <c r="AP87" s="151"/>
      <c r="AQ87" s="151"/>
      <c r="AR87" s="151"/>
      <c r="AS87" s="151"/>
      <c r="AT87" s="152"/>
    </row>
    <row r="88" spans="1:46" x14ac:dyDescent="0.3">
      <c r="A88" s="143"/>
      <c r="B88" s="144"/>
      <c r="C88" s="145"/>
      <c r="D88" s="146"/>
      <c r="E88" s="144"/>
      <c r="F88" s="144"/>
      <c r="G88" s="144"/>
      <c r="H88" s="144"/>
      <c r="I88" s="148"/>
      <c r="J88" s="149">
        <f t="shared" si="11"/>
        <v>0</v>
      </c>
      <c r="K88" s="150">
        <f t="shared" si="12"/>
        <v>0</v>
      </c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  <c r="AC88" s="151"/>
      <c r="AD88" s="151"/>
      <c r="AE88" s="151"/>
      <c r="AF88" s="151"/>
      <c r="AG88" s="151"/>
      <c r="AH88" s="151"/>
      <c r="AI88" s="151"/>
      <c r="AJ88" s="151"/>
      <c r="AK88" s="151"/>
      <c r="AL88" s="151"/>
      <c r="AM88" s="151"/>
      <c r="AN88" s="151"/>
      <c r="AO88" s="151"/>
      <c r="AP88" s="151"/>
      <c r="AQ88" s="151"/>
      <c r="AR88" s="151"/>
      <c r="AS88" s="151"/>
      <c r="AT88" s="152"/>
    </row>
    <row r="89" spans="1:46" x14ac:dyDescent="0.3">
      <c r="A89" s="143"/>
      <c r="B89" s="144"/>
      <c r="C89" s="145"/>
      <c r="D89" s="146"/>
      <c r="E89" s="144"/>
      <c r="F89" s="144"/>
      <c r="G89" s="144"/>
      <c r="H89" s="144"/>
      <c r="I89" s="148"/>
      <c r="J89" s="149">
        <f t="shared" si="11"/>
        <v>0</v>
      </c>
      <c r="K89" s="150">
        <f t="shared" si="12"/>
        <v>0</v>
      </c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  <c r="AK89" s="151"/>
      <c r="AL89" s="151"/>
      <c r="AM89" s="151"/>
      <c r="AN89" s="151"/>
      <c r="AO89" s="151"/>
      <c r="AP89" s="151"/>
      <c r="AQ89" s="151"/>
      <c r="AR89" s="151"/>
      <c r="AS89" s="151"/>
      <c r="AT89" s="152"/>
    </row>
    <row r="90" spans="1:46" x14ac:dyDescent="0.3">
      <c r="A90" s="143"/>
      <c r="B90" s="144"/>
      <c r="C90" s="145"/>
      <c r="D90" s="146"/>
      <c r="E90" s="144"/>
      <c r="F90" s="144"/>
      <c r="G90" s="144"/>
      <c r="H90" s="144"/>
      <c r="I90" s="148"/>
      <c r="J90" s="149">
        <f t="shared" si="11"/>
        <v>0</v>
      </c>
      <c r="K90" s="150">
        <f t="shared" si="12"/>
        <v>0</v>
      </c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1"/>
      <c r="AJ90" s="151"/>
      <c r="AK90" s="151"/>
      <c r="AL90" s="151"/>
      <c r="AM90" s="151"/>
      <c r="AN90" s="151"/>
      <c r="AO90" s="151"/>
      <c r="AP90" s="151"/>
      <c r="AQ90" s="151"/>
      <c r="AR90" s="151"/>
      <c r="AS90" s="151"/>
      <c r="AT90" s="152"/>
    </row>
    <row r="91" spans="1:46" x14ac:dyDescent="0.3">
      <c r="A91" s="143"/>
      <c r="B91" s="144"/>
      <c r="C91" s="145"/>
      <c r="D91" s="146"/>
      <c r="E91" s="144"/>
      <c r="F91" s="144"/>
      <c r="G91" s="144"/>
      <c r="H91" s="144"/>
      <c r="I91" s="148"/>
      <c r="J91" s="149">
        <f t="shared" si="11"/>
        <v>0</v>
      </c>
      <c r="K91" s="150">
        <f t="shared" si="12"/>
        <v>0</v>
      </c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  <c r="AH91" s="151"/>
      <c r="AI91" s="151"/>
      <c r="AJ91" s="151"/>
      <c r="AK91" s="151"/>
      <c r="AL91" s="151"/>
      <c r="AM91" s="151"/>
      <c r="AN91" s="151"/>
      <c r="AO91" s="151"/>
      <c r="AP91" s="151"/>
      <c r="AQ91" s="151"/>
      <c r="AR91" s="151"/>
      <c r="AS91" s="151"/>
      <c r="AT91" s="152"/>
    </row>
    <row r="92" spans="1:46" x14ac:dyDescent="0.3">
      <c r="A92" s="143"/>
      <c r="B92" s="144"/>
      <c r="C92" s="145"/>
      <c r="D92" s="146"/>
      <c r="E92" s="144"/>
      <c r="F92" s="144"/>
      <c r="G92" s="144"/>
      <c r="H92" s="144"/>
      <c r="I92" s="148"/>
      <c r="J92" s="149">
        <f t="shared" si="11"/>
        <v>0</v>
      </c>
      <c r="K92" s="150">
        <f t="shared" si="12"/>
        <v>0</v>
      </c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  <c r="AB92" s="151"/>
      <c r="AC92" s="151"/>
      <c r="AD92" s="151"/>
      <c r="AE92" s="151"/>
      <c r="AF92" s="151"/>
      <c r="AG92" s="151"/>
      <c r="AH92" s="151"/>
      <c r="AI92" s="151"/>
      <c r="AJ92" s="151"/>
      <c r="AK92" s="151"/>
      <c r="AL92" s="151"/>
      <c r="AM92" s="151"/>
      <c r="AN92" s="151"/>
      <c r="AO92" s="151"/>
      <c r="AP92" s="151"/>
      <c r="AQ92" s="151"/>
      <c r="AR92" s="151"/>
      <c r="AS92" s="151"/>
      <c r="AT92" s="152"/>
    </row>
    <row r="93" spans="1:46" x14ac:dyDescent="0.3">
      <c r="A93" s="143"/>
      <c r="B93" s="144"/>
      <c r="C93" s="145"/>
      <c r="D93" s="146"/>
      <c r="E93" s="144"/>
      <c r="F93" s="144"/>
      <c r="G93" s="144"/>
      <c r="H93" s="144"/>
      <c r="I93" s="148"/>
      <c r="J93" s="149">
        <f t="shared" si="11"/>
        <v>0</v>
      </c>
      <c r="K93" s="150">
        <f t="shared" si="12"/>
        <v>0</v>
      </c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  <c r="AD93" s="151"/>
      <c r="AE93" s="151"/>
      <c r="AF93" s="151"/>
      <c r="AG93" s="151"/>
      <c r="AH93" s="151"/>
      <c r="AI93" s="151"/>
      <c r="AJ93" s="151"/>
      <c r="AK93" s="151"/>
      <c r="AL93" s="151"/>
      <c r="AM93" s="151"/>
      <c r="AN93" s="151"/>
      <c r="AO93" s="151"/>
      <c r="AP93" s="151"/>
      <c r="AQ93" s="151"/>
      <c r="AR93" s="151"/>
      <c r="AS93" s="151"/>
      <c r="AT93" s="152"/>
    </row>
    <row r="94" spans="1:46" x14ac:dyDescent="0.3">
      <c r="A94" s="143"/>
      <c r="B94" s="144"/>
      <c r="C94" s="145"/>
      <c r="D94" s="146"/>
      <c r="E94" s="144"/>
      <c r="F94" s="144"/>
      <c r="G94" s="144"/>
      <c r="H94" s="144"/>
      <c r="I94" s="148"/>
      <c r="J94" s="149">
        <f t="shared" si="11"/>
        <v>0</v>
      </c>
      <c r="K94" s="150">
        <f t="shared" si="12"/>
        <v>0</v>
      </c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1"/>
      <c r="AM94" s="151"/>
      <c r="AN94" s="151"/>
      <c r="AO94" s="151"/>
      <c r="AP94" s="151"/>
      <c r="AQ94" s="151"/>
      <c r="AR94" s="151"/>
      <c r="AS94" s="151"/>
      <c r="AT94" s="152"/>
    </row>
    <row r="95" spans="1:46" x14ac:dyDescent="0.3">
      <c r="A95" s="143"/>
      <c r="B95" s="144"/>
      <c r="C95" s="145"/>
      <c r="D95" s="146"/>
      <c r="E95" s="144"/>
      <c r="F95" s="144"/>
      <c r="G95" s="144"/>
      <c r="H95" s="144"/>
      <c r="I95" s="148"/>
      <c r="J95" s="149">
        <f t="shared" si="11"/>
        <v>0</v>
      </c>
      <c r="K95" s="150">
        <f t="shared" si="12"/>
        <v>0</v>
      </c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51"/>
      <c r="AE95" s="151"/>
      <c r="AF95" s="151"/>
      <c r="AG95" s="151"/>
      <c r="AH95" s="151"/>
      <c r="AI95" s="151"/>
      <c r="AJ95" s="151"/>
      <c r="AK95" s="151"/>
      <c r="AL95" s="151"/>
      <c r="AM95" s="151"/>
      <c r="AN95" s="151"/>
      <c r="AO95" s="151"/>
      <c r="AP95" s="151"/>
      <c r="AQ95" s="151"/>
      <c r="AR95" s="151"/>
      <c r="AS95" s="151"/>
      <c r="AT95" s="152"/>
    </row>
    <row r="96" spans="1:46" x14ac:dyDescent="0.3">
      <c r="A96" s="143"/>
      <c r="B96" s="144"/>
      <c r="C96" s="145"/>
      <c r="D96" s="146"/>
      <c r="E96" s="144"/>
      <c r="F96" s="144"/>
      <c r="G96" s="144"/>
      <c r="H96" s="144"/>
      <c r="I96" s="148"/>
      <c r="J96" s="149">
        <f t="shared" si="11"/>
        <v>0</v>
      </c>
      <c r="K96" s="150">
        <f t="shared" si="12"/>
        <v>0</v>
      </c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  <c r="AB96" s="151"/>
      <c r="AC96" s="151"/>
      <c r="AD96" s="151"/>
      <c r="AE96" s="151"/>
      <c r="AF96" s="151"/>
      <c r="AG96" s="151"/>
      <c r="AH96" s="151"/>
      <c r="AI96" s="151"/>
      <c r="AJ96" s="151"/>
      <c r="AK96" s="151"/>
      <c r="AL96" s="151"/>
      <c r="AM96" s="151"/>
      <c r="AN96" s="151"/>
      <c r="AO96" s="151"/>
      <c r="AP96" s="151"/>
      <c r="AQ96" s="151"/>
      <c r="AR96" s="151"/>
      <c r="AS96" s="151"/>
      <c r="AT96" s="152"/>
    </row>
    <row r="97" spans="1:46" x14ac:dyDescent="0.3">
      <c r="A97" s="143"/>
      <c r="B97" s="144"/>
      <c r="C97" s="145"/>
      <c r="D97" s="146"/>
      <c r="E97" s="144"/>
      <c r="F97" s="144"/>
      <c r="G97" s="144"/>
      <c r="H97" s="144"/>
      <c r="I97" s="148"/>
      <c r="J97" s="149">
        <f t="shared" si="11"/>
        <v>0</v>
      </c>
      <c r="K97" s="150">
        <f t="shared" si="12"/>
        <v>0</v>
      </c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  <c r="AC97" s="151"/>
      <c r="AD97" s="151"/>
      <c r="AE97" s="151"/>
      <c r="AF97" s="151"/>
      <c r="AG97" s="151"/>
      <c r="AH97" s="151"/>
      <c r="AI97" s="151"/>
      <c r="AJ97" s="151"/>
      <c r="AK97" s="151"/>
      <c r="AL97" s="151"/>
      <c r="AM97" s="151"/>
      <c r="AN97" s="151"/>
      <c r="AO97" s="151"/>
      <c r="AP97" s="151"/>
      <c r="AQ97" s="151"/>
      <c r="AR97" s="151"/>
      <c r="AS97" s="151"/>
      <c r="AT97" s="152"/>
    </row>
    <row r="98" spans="1:46" x14ac:dyDescent="0.3">
      <c r="A98" s="143"/>
      <c r="B98" s="144"/>
      <c r="C98" s="145"/>
      <c r="D98" s="146"/>
      <c r="E98" s="144"/>
      <c r="F98" s="144"/>
      <c r="G98" s="144"/>
      <c r="H98" s="144"/>
      <c r="I98" s="148"/>
      <c r="J98" s="149">
        <f t="shared" si="11"/>
        <v>0</v>
      </c>
      <c r="K98" s="150">
        <f t="shared" si="12"/>
        <v>0</v>
      </c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51"/>
      <c r="AN98" s="151"/>
      <c r="AO98" s="151"/>
      <c r="AP98" s="151"/>
      <c r="AQ98" s="151"/>
      <c r="AR98" s="151"/>
      <c r="AS98" s="151"/>
      <c r="AT98" s="152"/>
    </row>
    <row r="99" spans="1:46" x14ac:dyDescent="0.3">
      <c r="A99" s="143"/>
      <c r="B99" s="144"/>
      <c r="C99" s="145"/>
      <c r="D99" s="146"/>
      <c r="E99" s="144"/>
      <c r="F99" s="144"/>
      <c r="G99" s="144"/>
      <c r="H99" s="144"/>
      <c r="I99" s="148"/>
      <c r="J99" s="149">
        <f t="shared" si="11"/>
        <v>0</v>
      </c>
      <c r="K99" s="150">
        <f t="shared" si="12"/>
        <v>0</v>
      </c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2"/>
    </row>
    <row r="100" spans="1:46" x14ac:dyDescent="0.3">
      <c r="A100" s="143"/>
      <c r="B100" s="144"/>
      <c r="C100" s="145"/>
      <c r="D100" s="146"/>
      <c r="E100" s="144"/>
      <c r="F100" s="144"/>
      <c r="G100" s="144"/>
      <c r="H100" s="144"/>
      <c r="I100" s="148"/>
      <c r="J100" s="149">
        <f t="shared" si="11"/>
        <v>0</v>
      </c>
      <c r="K100" s="150">
        <f t="shared" si="12"/>
        <v>0</v>
      </c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/>
      <c r="AR100" s="151"/>
      <c r="AS100" s="151"/>
      <c r="AT100" s="152"/>
    </row>
    <row r="101" spans="1:46" x14ac:dyDescent="0.3">
      <c r="A101" s="143"/>
      <c r="B101" s="144"/>
      <c r="C101" s="145"/>
      <c r="D101" s="146"/>
      <c r="E101" s="144"/>
      <c r="F101" s="144"/>
      <c r="G101" s="144"/>
      <c r="H101" s="144"/>
      <c r="I101" s="148"/>
      <c r="J101" s="149">
        <f t="shared" si="11"/>
        <v>0</v>
      </c>
      <c r="K101" s="150">
        <f t="shared" si="12"/>
        <v>0</v>
      </c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  <c r="AR101" s="151"/>
      <c r="AS101" s="151"/>
      <c r="AT101" s="152"/>
    </row>
    <row r="102" spans="1:46" x14ac:dyDescent="0.3">
      <c r="A102" s="143"/>
      <c r="B102" s="144"/>
      <c r="C102" s="145"/>
      <c r="D102" s="146"/>
      <c r="E102" s="144"/>
      <c r="F102" s="144"/>
      <c r="G102" s="144"/>
      <c r="H102" s="144"/>
      <c r="I102" s="148"/>
      <c r="J102" s="149">
        <f t="shared" si="11"/>
        <v>0</v>
      </c>
      <c r="K102" s="150">
        <f t="shared" si="12"/>
        <v>0</v>
      </c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1"/>
      <c r="AP102" s="151"/>
      <c r="AQ102" s="151"/>
      <c r="AR102" s="151"/>
      <c r="AS102" s="151"/>
      <c r="AT102" s="152"/>
    </row>
    <row r="103" spans="1:46" x14ac:dyDescent="0.3">
      <c r="A103" s="143"/>
      <c r="B103" s="144"/>
      <c r="C103" s="145"/>
      <c r="D103" s="146"/>
      <c r="E103" s="144"/>
      <c r="F103" s="144"/>
      <c r="G103" s="144"/>
      <c r="H103" s="144"/>
      <c r="I103" s="148"/>
      <c r="J103" s="149">
        <f t="shared" si="11"/>
        <v>0</v>
      </c>
      <c r="K103" s="150">
        <f t="shared" si="12"/>
        <v>0</v>
      </c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/>
      <c r="AS103" s="151"/>
      <c r="AT103" s="152"/>
    </row>
    <row r="104" spans="1:46" x14ac:dyDescent="0.3">
      <c r="A104" s="143"/>
      <c r="B104" s="144"/>
      <c r="C104" s="145"/>
      <c r="D104" s="146"/>
      <c r="E104" s="144"/>
      <c r="F104" s="144"/>
      <c r="G104" s="144"/>
      <c r="H104" s="144"/>
      <c r="I104" s="148"/>
      <c r="J104" s="149">
        <f t="shared" si="11"/>
        <v>0</v>
      </c>
      <c r="K104" s="150">
        <f t="shared" si="12"/>
        <v>0</v>
      </c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  <c r="AR104" s="151"/>
      <c r="AS104" s="151"/>
      <c r="AT104" s="152"/>
    </row>
    <row r="105" spans="1:46" x14ac:dyDescent="0.3">
      <c r="A105" s="143"/>
      <c r="B105" s="144"/>
      <c r="C105" s="145"/>
      <c r="D105" s="146"/>
      <c r="E105" s="144"/>
      <c r="F105" s="144"/>
      <c r="G105" s="144"/>
      <c r="H105" s="144"/>
      <c r="I105" s="148"/>
      <c r="J105" s="149">
        <f t="shared" si="11"/>
        <v>0</v>
      </c>
      <c r="K105" s="150">
        <f t="shared" si="12"/>
        <v>0</v>
      </c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2"/>
    </row>
    <row r="106" spans="1:46" x14ac:dyDescent="0.3">
      <c r="A106" s="143"/>
      <c r="B106" s="144"/>
      <c r="C106" s="145"/>
      <c r="D106" s="146"/>
      <c r="E106" s="144"/>
      <c r="F106" s="144"/>
      <c r="G106" s="144"/>
      <c r="H106" s="144"/>
      <c r="I106" s="148"/>
      <c r="J106" s="149">
        <f t="shared" si="11"/>
        <v>0</v>
      </c>
      <c r="K106" s="150">
        <f t="shared" si="12"/>
        <v>0</v>
      </c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1"/>
      <c r="AL106" s="151"/>
      <c r="AM106" s="151"/>
      <c r="AN106" s="151"/>
      <c r="AO106" s="151"/>
      <c r="AP106" s="151"/>
      <c r="AQ106" s="151"/>
      <c r="AR106" s="151"/>
      <c r="AS106" s="151"/>
      <c r="AT106" s="152"/>
    </row>
    <row r="107" spans="1:46" x14ac:dyDescent="0.3">
      <c r="A107" s="143"/>
      <c r="B107" s="144"/>
      <c r="C107" s="145"/>
      <c r="D107" s="146"/>
      <c r="E107" s="144"/>
      <c r="F107" s="144"/>
      <c r="G107" s="144"/>
      <c r="H107" s="144"/>
      <c r="I107" s="148"/>
      <c r="J107" s="149">
        <f t="shared" si="11"/>
        <v>0</v>
      </c>
      <c r="K107" s="150">
        <f t="shared" si="12"/>
        <v>0</v>
      </c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/>
      <c r="AP107" s="151"/>
      <c r="AQ107" s="151"/>
      <c r="AR107" s="151"/>
      <c r="AS107" s="151"/>
      <c r="AT107" s="152"/>
    </row>
    <row r="108" spans="1:46" x14ac:dyDescent="0.3">
      <c r="A108" s="143"/>
      <c r="B108" s="144"/>
      <c r="C108" s="145"/>
      <c r="D108" s="146"/>
      <c r="E108" s="144"/>
      <c r="F108" s="144"/>
      <c r="G108" s="144"/>
      <c r="H108" s="144"/>
      <c r="I108" s="148"/>
      <c r="J108" s="149">
        <f t="shared" si="11"/>
        <v>0</v>
      </c>
      <c r="K108" s="150">
        <f t="shared" si="12"/>
        <v>0</v>
      </c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51"/>
      <c r="AE108" s="151"/>
      <c r="AF108" s="151"/>
      <c r="AG108" s="151"/>
      <c r="AH108" s="151"/>
      <c r="AI108" s="151"/>
      <c r="AJ108" s="151"/>
      <c r="AK108" s="151"/>
      <c r="AL108" s="151"/>
      <c r="AM108" s="151"/>
      <c r="AN108" s="151"/>
      <c r="AO108" s="151"/>
      <c r="AP108" s="151"/>
      <c r="AQ108" s="151"/>
      <c r="AR108" s="151"/>
      <c r="AS108" s="151"/>
      <c r="AT108" s="152"/>
    </row>
    <row r="109" spans="1:46" x14ac:dyDescent="0.3">
      <c r="A109" s="143"/>
      <c r="B109" s="144"/>
      <c r="C109" s="145"/>
      <c r="D109" s="146"/>
      <c r="E109" s="144"/>
      <c r="F109" s="144"/>
      <c r="G109" s="144"/>
      <c r="H109" s="144"/>
      <c r="I109" s="148"/>
      <c r="J109" s="149">
        <f t="shared" si="11"/>
        <v>0</v>
      </c>
      <c r="K109" s="150">
        <f t="shared" si="12"/>
        <v>0</v>
      </c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  <c r="AR109" s="151"/>
      <c r="AS109" s="151"/>
      <c r="AT109" s="152"/>
    </row>
    <row r="110" spans="1:46" x14ac:dyDescent="0.3">
      <c r="A110" s="143"/>
      <c r="B110" s="144"/>
      <c r="C110" s="145"/>
      <c r="D110" s="146"/>
      <c r="E110" s="144"/>
      <c r="F110" s="144"/>
      <c r="G110" s="144"/>
      <c r="H110" s="144"/>
      <c r="I110" s="148"/>
      <c r="J110" s="149">
        <f t="shared" si="11"/>
        <v>0</v>
      </c>
      <c r="K110" s="150">
        <f t="shared" si="12"/>
        <v>0</v>
      </c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  <c r="AD110" s="151"/>
      <c r="AE110" s="151"/>
      <c r="AF110" s="151"/>
      <c r="AG110" s="151"/>
      <c r="AH110" s="151"/>
      <c r="AI110" s="151"/>
      <c r="AJ110" s="151"/>
      <c r="AK110" s="151"/>
      <c r="AL110" s="151"/>
      <c r="AM110" s="151"/>
      <c r="AN110" s="151"/>
      <c r="AO110" s="151"/>
      <c r="AP110" s="151"/>
      <c r="AQ110" s="151"/>
      <c r="AR110" s="151"/>
      <c r="AS110" s="151"/>
      <c r="AT110" s="152"/>
    </row>
    <row r="111" spans="1:46" x14ac:dyDescent="0.3">
      <c r="A111" s="143"/>
      <c r="B111" s="144"/>
      <c r="C111" s="145"/>
      <c r="D111" s="146"/>
      <c r="E111" s="144"/>
      <c r="F111" s="144"/>
      <c r="G111" s="144"/>
      <c r="H111" s="144"/>
      <c r="I111" s="148"/>
      <c r="J111" s="149">
        <f t="shared" si="11"/>
        <v>0</v>
      </c>
      <c r="K111" s="150">
        <f t="shared" si="12"/>
        <v>0</v>
      </c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  <c r="AD111" s="151"/>
      <c r="AE111" s="151"/>
      <c r="AF111" s="151"/>
      <c r="AG111" s="151"/>
      <c r="AH111" s="151"/>
      <c r="AI111" s="151"/>
      <c r="AJ111" s="151"/>
      <c r="AK111" s="151"/>
      <c r="AL111" s="151"/>
      <c r="AM111" s="151"/>
      <c r="AN111" s="151"/>
      <c r="AO111" s="151"/>
      <c r="AP111" s="151"/>
      <c r="AQ111" s="151"/>
      <c r="AR111" s="151"/>
      <c r="AS111" s="151"/>
      <c r="AT111" s="152"/>
    </row>
    <row r="112" spans="1:46" x14ac:dyDescent="0.3">
      <c r="A112" s="143"/>
      <c r="B112" s="144"/>
      <c r="C112" s="145"/>
      <c r="D112" s="146"/>
      <c r="E112" s="144"/>
      <c r="F112" s="144"/>
      <c r="G112" s="144"/>
      <c r="H112" s="144"/>
      <c r="I112" s="148"/>
      <c r="J112" s="149">
        <f t="shared" si="11"/>
        <v>0</v>
      </c>
      <c r="K112" s="150">
        <f t="shared" si="12"/>
        <v>0</v>
      </c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51"/>
      <c r="AE112" s="151"/>
      <c r="AF112" s="151"/>
      <c r="AG112" s="151"/>
      <c r="AH112" s="151"/>
      <c r="AI112" s="151"/>
      <c r="AJ112" s="151"/>
      <c r="AK112" s="151"/>
      <c r="AL112" s="151"/>
      <c r="AM112" s="151"/>
      <c r="AN112" s="151"/>
      <c r="AO112" s="151"/>
      <c r="AP112" s="151"/>
      <c r="AQ112" s="151"/>
      <c r="AR112" s="151"/>
      <c r="AS112" s="151"/>
      <c r="AT112" s="152"/>
    </row>
    <row r="113" spans="1:46" x14ac:dyDescent="0.3">
      <c r="A113" s="143"/>
      <c r="B113" s="144"/>
      <c r="C113" s="145"/>
      <c r="D113" s="146"/>
      <c r="E113" s="144"/>
      <c r="F113" s="144"/>
      <c r="G113" s="144"/>
      <c r="H113" s="144"/>
      <c r="I113" s="148"/>
      <c r="J113" s="149">
        <f t="shared" si="11"/>
        <v>0</v>
      </c>
      <c r="K113" s="150">
        <f t="shared" si="12"/>
        <v>0</v>
      </c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E113" s="151"/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/>
      <c r="AQ113" s="151"/>
      <c r="AR113" s="151"/>
      <c r="AS113" s="151"/>
      <c r="AT113" s="152"/>
    </row>
    <row r="114" spans="1:46" x14ac:dyDescent="0.3">
      <c r="A114" s="143"/>
      <c r="B114" s="144"/>
      <c r="C114" s="145"/>
      <c r="D114" s="146"/>
      <c r="E114" s="144"/>
      <c r="F114" s="144"/>
      <c r="G114" s="144"/>
      <c r="H114" s="144"/>
      <c r="I114" s="148"/>
      <c r="J114" s="149">
        <f t="shared" si="11"/>
        <v>0</v>
      </c>
      <c r="K114" s="150">
        <f t="shared" si="12"/>
        <v>0</v>
      </c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51"/>
      <c r="AC114" s="151"/>
      <c r="AD114" s="151"/>
      <c r="AE114" s="151"/>
      <c r="AF114" s="151"/>
      <c r="AG114" s="151"/>
      <c r="AH114" s="151"/>
      <c r="AI114" s="151"/>
      <c r="AJ114" s="151"/>
      <c r="AK114" s="151"/>
      <c r="AL114" s="151"/>
      <c r="AM114" s="151"/>
      <c r="AN114" s="151"/>
      <c r="AO114" s="151"/>
      <c r="AP114" s="151"/>
      <c r="AQ114" s="151"/>
      <c r="AR114" s="151"/>
      <c r="AS114" s="151"/>
      <c r="AT114" s="152"/>
    </row>
    <row r="115" spans="1:46" x14ac:dyDescent="0.3">
      <c r="A115" s="143"/>
      <c r="B115" s="144"/>
      <c r="C115" s="145"/>
      <c r="D115" s="146"/>
      <c r="E115" s="144"/>
      <c r="F115" s="144"/>
      <c r="G115" s="144"/>
      <c r="H115" s="144"/>
      <c r="I115" s="148"/>
      <c r="J115" s="149">
        <f t="shared" si="11"/>
        <v>0</v>
      </c>
      <c r="K115" s="150">
        <f t="shared" si="12"/>
        <v>0</v>
      </c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51"/>
      <c r="AD115" s="151"/>
      <c r="AE115" s="151"/>
      <c r="AF115" s="151"/>
      <c r="AG115" s="151"/>
      <c r="AH115" s="151"/>
      <c r="AI115" s="151"/>
      <c r="AJ115" s="151"/>
      <c r="AK115" s="151"/>
      <c r="AL115" s="151"/>
      <c r="AM115" s="151"/>
      <c r="AN115" s="151"/>
      <c r="AO115" s="151"/>
      <c r="AP115" s="151"/>
      <c r="AQ115" s="151"/>
      <c r="AR115" s="151"/>
      <c r="AS115" s="151"/>
      <c r="AT115" s="152"/>
    </row>
    <row r="116" spans="1:46" x14ac:dyDescent="0.3">
      <c r="A116" s="143"/>
      <c r="B116" s="144"/>
      <c r="C116" s="145"/>
      <c r="D116" s="146"/>
      <c r="E116" s="144"/>
      <c r="F116" s="144"/>
      <c r="G116" s="144"/>
      <c r="H116" s="144"/>
      <c r="I116" s="148"/>
      <c r="J116" s="149">
        <f t="shared" si="11"/>
        <v>0</v>
      </c>
      <c r="K116" s="150">
        <f t="shared" si="12"/>
        <v>0</v>
      </c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  <c r="AD116" s="151"/>
      <c r="AE116" s="151"/>
      <c r="AF116" s="151"/>
      <c r="AG116" s="151"/>
      <c r="AH116" s="151"/>
      <c r="AI116" s="151"/>
      <c r="AJ116" s="151"/>
      <c r="AK116" s="151"/>
      <c r="AL116" s="151"/>
      <c r="AM116" s="151"/>
      <c r="AN116" s="151"/>
      <c r="AO116" s="151"/>
      <c r="AP116" s="151"/>
      <c r="AQ116" s="151"/>
      <c r="AR116" s="151"/>
      <c r="AS116" s="151"/>
      <c r="AT116" s="152"/>
    </row>
    <row r="117" spans="1:46" x14ac:dyDescent="0.3">
      <c r="A117" s="143"/>
      <c r="B117" s="144"/>
      <c r="C117" s="145"/>
      <c r="D117" s="146"/>
      <c r="E117" s="144"/>
      <c r="F117" s="144"/>
      <c r="G117" s="144"/>
      <c r="H117" s="144"/>
      <c r="I117" s="148"/>
      <c r="J117" s="149">
        <f t="shared" si="11"/>
        <v>0</v>
      </c>
      <c r="K117" s="150">
        <f t="shared" si="12"/>
        <v>0</v>
      </c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  <c r="AC117" s="151"/>
      <c r="AD117" s="151"/>
      <c r="AE117" s="151"/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/>
      <c r="AQ117" s="151"/>
      <c r="AR117" s="151"/>
      <c r="AS117" s="151"/>
      <c r="AT117" s="152"/>
    </row>
    <row r="118" spans="1:46" x14ac:dyDescent="0.3">
      <c r="A118" s="143"/>
      <c r="B118" s="144"/>
      <c r="C118" s="145"/>
      <c r="D118" s="146"/>
      <c r="E118" s="144"/>
      <c r="F118" s="144"/>
      <c r="G118" s="144"/>
      <c r="H118" s="144"/>
      <c r="I118" s="148"/>
      <c r="J118" s="149">
        <f t="shared" si="11"/>
        <v>0</v>
      </c>
      <c r="K118" s="150">
        <f t="shared" si="12"/>
        <v>0</v>
      </c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  <c r="AD118" s="151"/>
      <c r="AE118" s="151"/>
      <c r="AF118" s="151"/>
      <c r="AG118" s="151"/>
      <c r="AH118" s="151"/>
      <c r="AI118" s="151"/>
      <c r="AJ118" s="151"/>
      <c r="AK118" s="151"/>
      <c r="AL118" s="151"/>
      <c r="AM118" s="151"/>
      <c r="AN118" s="151"/>
      <c r="AO118" s="151"/>
      <c r="AP118" s="151"/>
      <c r="AQ118" s="151"/>
      <c r="AR118" s="151"/>
      <c r="AS118" s="151"/>
      <c r="AT118" s="152"/>
    </row>
    <row r="119" spans="1:46" x14ac:dyDescent="0.3">
      <c r="A119" s="143"/>
      <c r="B119" s="144"/>
      <c r="C119" s="145"/>
      <c r="D119" s="146"/>
      <c r="E119" s="144"/>
      <c r="F119" s="144"/>
      <c r="G119" s="144"/>
      <c r="H119" s="144"/>
      <c r="I119" s="148"/>
      <c r="J119" s="149">
        <f t="shared" si="11"/>
        <v>0</v>
      </c>
      <c r="K119" s="150">
        <f t="shared" si="12"/>
        <v>0</v>
      </c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51"/>
      <c r="AE119" s="151"/>
      <c r="AF119" s="151"/>
      <c r="AG119" s="151"/>
      <c r="AH119" s="151"/>
      <c r="AI119" s="151"/>
      <c r="AJ119" s="151"/>
      <c r="AK119" s="151"/>
      <c r="AL119" s="151"/>
      <c r="AM119" s="151"/>
      <c r="AN119" s="151"/>
      <c r="AO119" s="151"/>
      <c r="AP119" s="151"/>
      <c r="AQ119" s="151"/>
      <c r="AR119" s="151"/>
      <c r="AS119" s="151"/>
      <c r="AT119" s="152"/>
    </row>
    <row r="120" spans="1:46" x14ac:dyDescent="0.3">
      <c r="A120" s="143"/>
      <c r="B120" s="144"/>
      <c r="C120" s="145"/>
      <c r="D120" s="146"/>
      <c r="E120" s="144"/>
      <c r="F120" s="144"/>
      <c r="G120" s="144"/>
      <c r="H120" s="144"/>
      <c r="I120" s="148"/>
      <c r="J120" s="149">
        <f t="shared" si="11"/>
        <v>0</v>
      </c>
      <c r="K120" s="150">
        <f t="shared" si="12"/>
        <v>0</v>
      </c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  <c r="AC120" s="151"/>
      <c r="AD120" s="151"/>
      <c r="AE120" s="151"/>
      <c r="AF120" s="151"/>
      <c r="AG120" s="151"/>
      <c r="AH120" s="151"/>
      <c r="AI120" s="151"/>
      <c r="AJ120" s="151"/>
      <c r="AK120" s="151"/>
      <c r="AL120" s="151"/>
      <c r="AM120" s="151"/>
      <c r="AN120" s="151"/>
      <c r="AO120" s="151"/>
      <c r="AP120" s="151"/>
      <c r="AQ120" s="151"/>
      <c r="AR120" s="151"/>
      <c r="AS120" s="151"/>
      <c r="AT120" s="152"/>
    </row>
    <row r="121" spans="1:46" x14ac:dyDescent="0.3">
      <c r="A121" s="143"/>
      <c r="B121" s="144"/>
      <c r="C121" s="145"/>
      <c r="D121" s="146"/>
      <c r="E121" s="144"/>
      <c r="F121" s="144"/>
      <c r="G121" s="144"/>
      <c r="H121" s="144"/>
      <c r="I121" s="148"/>
      <c r="J121" s="149">
        <f t="shared" si="11"/>
        <v>0</v>
      </c>
      <c r="K121" s="150">
        <f t="shared" si="12"/>
        <v>0</v>
      </c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  <c r="AR121" s="151"/>
      <c r="AS121" s="151"/>
      <c r="AT121" s="152"/>
    </row>
    <row r="122" spans="1:46" x14ac:dyDescent="0.3">
      <c r="A122" s="143"/>
      <c r="B122" s="144"/>
      <c r="C122" s="145"/>
      <c r="D122" s="146"/>
      <c r="E122" s="144"/>
      <c r="F122" s="144"/>
      <c r="G122" s="144"/>
      <c r="H122" s="144"/>
      <c r="I122" s="148"/>
      <c r="J122" s="149">
        <f t="shared" si="11"/>
        <v>0</v>
      </c>
      <c r="K122" s="150">
        <f t="shared" si="12"/>
        <v>0</v>
      </c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  <c r="AJ122" s="151"/>
      <c r="AK122" s="151"/>
      <c r="AL122" s="151"/>
      <c r="AM122" s="151"/>
      <c r="AN122" s="151"/>
      <c r="AO122" s="151"/>
      <c r="AP122" s="151"/>
      <c r="AQ122" s="151"/>
      <c r="AR122" s="151"/>
      <c r="AS122" s="151"/>
      <c r="AT122" s="152"/>
    </row>
    <row r="123" spans="1:46" x14ac:dyDescent="0.3">
      <c r="A123" s="143"/>
      <c r="B123" s="144"/>
      <c r="C123" s="145"/>
      <c r="D123" s="146"/>
      <c r="E123" s="144"/>
      <c r="F123" s="144"/>
      <c r="G123" s="144"/>
      <c r="H123" s="144"/>
      <c r="I123" s="148"/>
      <c r="J123" s="149">
        <f t="shared" si="11"/>
        <v>0</v>
      </c>
      <c r="K123" s="150">
        <f t="shared" si="12"/>
        <v>0</v>
      </c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51"/>
      <c r="AE123" s="151"/>
      <c r="AF123" s="151"/>
      <c r="AG123" s="151"/>
      <c r="AH123" s="151"/>
      <c r="AI123" s="151"/>
      <c r="AJ123" s="151"/>
      <c r="AK123" s="151"/>
      <c r="AL123" s="151"/>
      <c r="AM123" s="151"/>
      <c r="AN123" s="151"/>
      <c r="AO123" s="151"/>
      <c r="AP123" s="151"/>
      <c r="AQ123" s="151"/>
      <c r="AR123" s="151"/>
      <c r="AS123" s="151"/>
      <c r="AT123" s="152"/>
    </row>
    <row r="124" spans="1:46" x14ac:dyDescent="0.3">
      <c r="A124" s="143"/>
      <c r="B124" s="144"/>
      <c r="C124" s="145"/>
      <c r="D124" s="146"/>
      <c r="E124" s="144"/>
      <c r="F124" s="144"/>
      <c r="G124" s="144"/>
      <c r="H124" s="144"/>
      <c r="I124" s="148"/>
      <c r="J124" s="149">
        <f t="shared" si="11"/>
        <v>0</v>
      </c>
      <c r="K124" s="150">
        <f t="shared" si="12"/>
        <v>0</v>
      </c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  <c r="AC124" s="151"/>
      <c r="AD124" s="151"/>
      <c r="AE124" s="151"/>
      <c r="AF124" s="151"/>
      <c r="AG124" s="151"/>
      <c r="AH124" s="151"/>
      <c r="AI124" s="151"/>
      <c r="AJ124" s="151"/>
      <c r="AK124" s="151"/>
      <c r="AL124" s="151"/>
      <c r="AM124" s="151"/>
      <c r="AN124" s="151"/>
      <c r="AO124" s="151"/>
      <c r="AP124" s="151"/>
      <c r="AQ124" s="151"/>
      <c r="AR124" s="151"/>
      <c r="AS124" s="151"/>
      <c r="AT124" s="152"/>
    </row>
    <row r="125" spans="1:46" x14ac:dyDescent="0.3">
      <c r="A125" s="143"/>
      <c r="B125" s="144"/>
      <c r="C125" s="145"/>
      <c r="D125" s="146"/>
      <c r="E125" s="144"/>
      <c r="F125" s="144"/>
      <c r="G125" s="144"/>
      <c r="H125" s="144"/>
      <c r="I125" s="148"/>
      <c r="J125" s="149">
        <f t="shared" si="11"/>
        <v>0</v>
      </c>
      <c r="K125" s="150">
        <f t="shared" si="12"/>
        <v>0</v>
      </c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  <c r="AD125" s="151"/>
      <c r="AE125" s="151"/>
      <c r="AF125" s="151"/>
      <c r="AG125" s="151"/>
      <c r="AH125" s="151"/>
      <c r="AI125" s="151"/>
      <c r="AJ125" s="151"/>
      <c r="AK125" s="151"/>
      <c r="AL125" s="151"/>
      <c r="AM125" s="151"/>
      <c r="AN125" s="151"/>
      <c r="AO125" s="151"/>
      <c r="AP125" s="151"/>
      <c r="AQ125" s="151"/>
      <c r="AR125" s="151"/>
      <c r="AS125" s="151"/>
      <c r="AT125" s="152"/>
    </row>
    <row r="126" spans="1:46" x14ac:dyDescent="0.3">
      <c r="A126" s="143"/>
      <c r="B126" s="144"/>
      <c r="C126" s="145"/>
      <c r="D126" s="146"/>
      <c r="E126" s="144"/>
      <c r="F126" s="144"/>
      <c r="G126" s="144"/>
      <c r="H126" s="144"/>
      <c r="I126" s="148"/>
      <c r="J126" s="149">
        <f t="shared" si="11"/>
        <v>0</v>
      </c>
      <c r="K126" s="150">
        <f t="shared" si="12"/>
        <v>0</v>
      </c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/>
      <c r="AQ126" s="151"/>
      <c r="AR126" s="151"/>
      <c r="AS126" s="151"/>
      <c r="AT126" s="152"/>
    </row>
    <row r="127" spans="1:46" x14ac:dyDescent="0.3">
      <c r="A127" s="143"/>
      <c r="B127" s="144"/>
      <c r="C127" s="145"/>
      <c r="D127" s="146"/>
      <c r="E127" s="144"/>
      <c r="F127" s="144"/>
      <c r="G127" s="144"/>
      <c r="H127" s="144"/>
      <c r="I127" s="148"/>
      <c r="J127" s="149">
        <f t="shared" si="11"/>
        <v>0</v>
      </c>
      <c r="K127" s="150">
        <f t="shared" si="12"/>
        <v>0</v>
      </c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  <c r="AD127" s="151"/>
      <c r="AE127" s="151"/>
      <c r="AF127" s="151"/>
      <c r="AG127" s="151"/>
      <c r="AH127" s="151"/>
      <c r="AI127" s="151"/>
      <c r="AJ127" s="151"/>
      <c r="AK127" s="151"/>
      <c r="AL127" s="151"/>
      <c r="AM127" s="151"/>
      <c r="AN127" s="151"/>
      <c r="AO127" s="151"/>
      <c r="AP127" s="151"/>
      <c r="AQ127" s="151"/>
      <c r="AR127" s="151"/>
      <c r="AS127" s="151"/>
      <c r="AT127" s="152"/>
    </row>
    <row r="128" spans="1:46" x14ac:dyDescent="0.3">
      <c r="A128" s="143"/>
      <c r="B128" s="144"/>
      <c r="C128" s="145"/>
      <c r="D128" s="146"/>
      <c r="E128" s="144"/>
      <c r="F128" s="144"/>
      <c r="G128" s="144"/>
      <c r="H128" s="144"/>
      <c r="I128" s="148"/>
      <c r="J128" s="149">
        <f t="shared" si="11"/>
        <v>0</v>
      </c>
      <c r="K128" s="150">
        <f t="shared" si="12"/>
        <v>0</v>
      </c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  <c r="AC128" s="151"/>
      <c r="AD128" s="151"/>
      <c r="AE128" s="151"/>
      <c r="AF128" s="151"/>
      <c r="AG128" s="151"/>
      <c r="AH128" s="151"/>
      <c r="AI128" s="151"/>
      <c r="AJ128" s="151"/>
      <c r="AK128" s="151"/>
      <c r="AL128" s="151"/>
      <c r="AM128" s="151"/>
      <c r="AN128" s="151"/>
      <c r="AO128" s="151"/>
      <c r="AP128" s="151"/>
      <c r="AQ128" s="151"/>
      <c r="AR128" s="151"/>
      <c r="AS128" s="151"/>
      <c r="AT128" s="152"/>
    </row>
    <row r="129" spans="1:46" x14ac:dyDescent="0.3">
      <c r="A129" s="143"/>
      <c r="B129" s="144"/>
      <c r="C129" s="145"/>
      <c r="D129" s="146"/>
      <c r="E129" s="144"/>
      <c r="F129" s="144"/>
      <c r="G129" s="144"/>
      <c r="H129" s="144"/>
      <c r="I129" s="148"/>
      <c r="J129" s="149">
        <f t="shared" si="11"/>
        <v>0</v>
      </c>
      <c r="K129" s="150">
        <f t="shared" si="12"/>
        <v>0</v>
      </c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151"/>
      <c r="AJ129" s="151"/>
      <c r="AK129" s="151"/>
      <c r="AL129" s="151"/>
      <c r="AM129" s="151"/>
      <c r="AN129" s="151"/>
      <c r="AO129" s="151"/>
      <c r="AP129" s="151"/>
      <c r="AQ129" s="151"/>
      <c r="AR129" s="151"/>
      <c r="AS129" s="151"/>
      <c r="AT129" s="152"/>
    </row>
    <row r="130" spans="1:46" x14ac:dyDescent="0.3">
      <c r="A130" s="143"/>
      <c r="B130" s="144"/>
      <c r="C130" s="145"/>
      <c r="D130" s="146"/>
      <c r="E130" s="144"/>
      <c r="F130" s="144"/>
      <c r="G130" s="144"/>
      <c r="H130" s="144"/>
      <c r="I130" s="148"/>
      <c r="J130" s="149">
        <f t="shared" si="11"/>
        <v>0</v>
      </c>
      <c r="K130" s="150">
        <f t="shared" si="12"/>
        <v>0</v>
      </c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/>
      <c r="AQ130" s="151"/>
      <c r="AR130" s="151"/>
      <c r="AS130" s="151"/>
      <c r="AT130" s="152"/>
    </row>
    <row r="131" spans="1:46" x14ac:dyDescent="0.3">
      <c r="A131" s="143"/>
      <c r="B131" s="144"/>
      <c r="C131" s="145"/>
      <c r="D131" s="146"/>
      <c r="E131" s="144"/>
      <c r="F131" s="144"/>
      <c r="G131" s="144"/>
      <c r="H131" s="144"/>
      <c r="I131" s="148"/>
      <c r="J131" s="149">
        <f t="shared" si="11"/>
        <v>0</v>
      </c>
      <c r="K131" s="150">
        <f t="shared" si="12"/>
        <v>0</v>
      </c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/>
      <c r="AL131" s="151"/>
      <c r="AM131" s="151"/>
      <c r="AN131" s="151"/>
      <c r="AO131" s="151"/>
      <c r="AP131" s="151"/>
      <c r="AQ131" s="151"/>
      <c r="AR131" s="151"/>
      <c r="AS131" s="151"/>
      <c r="AT131" s="152"/>
    </row>
    <row r="132" spans="1:46" x14ac:dyDescent="0.3">
      <c r="A132" s="143"/>
      <c r="B132" s="144"/>
      <c r="C132" s="145"/>
      <c r="D132" s="146"/>
      <c r="E132" s="144"/>
      <c r="F132" s="144"/>
      <c r="G132" s="144"/>
      <c r="H132" s="144"/>
      <c r="I132" s="148"/>
      <c r="J132" s="149">
        <f t="shared" si="11"/>
        <v>0</v>
      </c>
      <c r="K132" s="150">
        <f t="shared" si="12"/>
        <v>0</v>
      </c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1"/>
      <c r="AG132" s="151"/>
      <c r="AH132" s="151"/>
      <c r="AI132" s="151"/>
      <c r="AJ132" s="151"/>
      <c r="AK132" s="151"/>
      <c r="AL132" s="151"/>
      <c r="AM132" s="151"/>
      <c r="AN132" s="151"/>
      <c r="AO132" s="151"/>
      <c r="AP132" s="151"/>
      <c r="AQ132" s="151"/>
      <c r="AR132" s="151"/>
      <c r="AS132" s="151"/>
      <c r="AT132" s="152"/>
    </row>
    <row r="133" spans="1:46" x14ac:dyDescent="0.3">
      <c r="A133" s="143"/>
      <c r="B133" s="144"/>
      <c r="C133" s="145"/>
      <c r="D133" s="146"/>
      <c r="E133" s="144"/>
      <c r="F133" s="144"/>
      <c r="G133" s="144"/>
      <c r="H133" s="144"/>
      <c r="I133" s="148"/>
      <c r="J133" s="149">
        <f t="shared" si="11"/>
        <v>0</v>
      </c>
      <c r="K133" s="150">
        <f t="shared" si="12"/>
        <v>0</v>
      </c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  <c r="AD133" s="151"/>
      <c r="AE133" s="151"/>
      <c r="AF133" s="151"/>
      <c r="AG133" s="151"/>
      <c r="AH133" s="151"/>
      <c r="AI133" s="151"/>
      <c r="AJ133" s="151"/>
      <c r="AK133" s="151"/>
      <c r="AL133" s="151"/>
      <c r="AM133" s="151"/>
      <c r="AN133" s="151"/>
      <c r="AO133" s="151"/>
      <c r="AP133" s="151"/>
      <c r="AQ133" s="151"/>
      <c r="AR133" s="151"/>
      <c r="AS133" s="151"/>
      <c r="AT133" s="152"/>
    </row>
    <row r="134" spans="1:46" x14ac:dyDescent="0.3">
      <c r="A134" s="143"/>
      <c r="B134" s="144"/>
      <c r="C134" s="145"/>
      <c r="D134" s="146"/>
      <c r="E134" s="144"/>
      <c r="F134" s="144"/>
      <c r="G134" s="144"/>
      <c r="H134" s="144"/>
      <c r="I134" s="148"/>
      <c r="J134" s="149">
        <f t="shared" si="11"/>
        <v>0</v>
      </c>
      <c r="K134" s="150">
        <f t="shared" si="12"/>
        <v>0</v>
      </c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  <c r="AC134" s="151"/>
      <c r="AD134" s="151"/>
      <c r="AE134" s="151"/>
      <c r="AF134" s="151"/>
      <c r="AG134" s="151"/>
      <c r="AH134" s="151"/>
      <c r="AI134" s="151"/>
      <c r="AJ134" s="151"/>
      <c r="AK134" s="151"/>
      <c r="AL134" s="151"/>
      <c r="AM134" s="151"/>
      <c r="AN134" s="151"/>
      <c r="AO134" s="151"/>
      <c r="AP134" s="151"/>
      <c r="AQ134" s="151"/>
      <c r="AR134" s="151"/>
      <c r="AS134" s="151"/>
      <c r="AT134" s="152"/>
    </row>
    <row r="135" spans="1:46" x14ac:dyDescent="0.3">
      <c r="A135" s="143"/>
      <c r="B135" s="144"/>
      <c r="C135" s="145"/>
      <c r="D135" s="146"/>
      <c r="E135" s="144"/>
      <c r="F135" s="144"/>
      <c r="G135" s="144"/>
      <c r="H135" s="144"/>
      <c r="I135" s="148"/>
      <c r="J135" s="149">
        <f t="shared" si="11"/>
        <v>0</v>
      </c>
      <c r="K135" s="150">
        <f t="shared" si="12"/>
        <v>0</v>
      </c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  <c r="AC135" s="151"/>
      <c r="AD135" s="151"/>
      <c r="AE135" s="151"/>
      <c r="AF135" s="151"/>
      <c r="AG135" s="151"/>
      <c r="AH135" s="151"/>
      <c r="AI135" s="151"/>
      <c r="AJ135" s="151"/>
      <c r="AK135" s="151"/>
      <c r="AL135" s="151"/>
      <c r="AM135" s="151"/>
      <c r="AN135" s="151"/>
      <c r="AO135" s="151"/>
      <c r="AP135" s="151"/>
      <c r="AQ135" s="151"/>
      <c r="AR135" s="151"/>
      <c r="AS135" s="151"/>
      <c r="AT135" s="152"/>
    </row>
    <row r="136" spans="1:46" x14ac:dyDescent="0.3">
      <c r="A136" s="143"/>
      <c r="B136" s="144"/>
      <c r="C136" s="145"/>
      <c r="D136" s="146"/>
      <c r="E136" s="144"/>
      <c r="F136" s="144"/>
      <c r="G136" s="144"/>
      <c r="H136" s="144"/>
      <c r="I136" s="148"/>
      <c r="J136" s="149">
        <f t="shared" si="11"/>
        <v>0</v>
      </c>
      <c r="K136" s="150">
        <f t="shared" si="12"/>
        <v>0</v>
      </c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  <c r="AC136" s="151"/>
      <c r="AD136" s="151"/>
      <c r="AE136" s="151"/>
      <c r="AF136" s="151"/>
      <c r="AG136" s="151"/>
      <c r="AH136" s="151"/>
      <c r="AI136" s="151"/>
      <c r="AJ136" s="151"/>
      <c r="AK136" s="151"/>
      <c r="AL136" s="151"/>
      <c r="AM136" s="151"/>
      <c r="AN136" s="151"/>
      <c r="AO136" s="151"/>
      <c r="AP136" s="151"/>
      <c r="AQ136" s="151"/>
      <c r="AR136" s="151"/>
      <c r="AS136" s="151"/>
      <c r="AT136" s="152"/>
    </row>
    <row r="137" spans="1:46" x14ac:dyDescent="0.3">
      <c r="A137" s="143"/>
      <c r="B137" s="144"/>
      <c r="C137" s="145"/>
      <c r="D137" s="146"/>
      <c r="E137" s="144"/>
      <c r="F137" s="144"/>
      <c r="G137" s="144"/>
      <c r="H137" s="144"/>
      <c r="I137" s="148"/>
      <c r="J137" s="149">
        <f t="shared" si="11"/>
        <v>0</v>
      </c>
      <c r="K137" s="150">
        <f t="shared" si="12"/>
        <v>0</v>
      </c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  <c r="AC137" s="151"/>
      <c r="AD137" s="151"/>
      <c r="AE137" s="151"/>
      <c r="AF137" s="151"/>
      <c r="AG137" s="151"/>
      <c r="AH137" s="151"/>
      <c r="AI137" s="151"/>
      <c r="AJ137" s="151"/>
      <c r="AK137" s="151"/>
      <c r="AL137" s="151"/>
      <c r="AM137" s="151"/>
      <c r="AN137" s="151"/>
      <c r="AO137" s="151"/>
      <c r="AP137" s="151"/>
      <c r="AQ137" s="151"/>
      <c r="AR137" s="151"/>
      <c r="AS137" s="151"/>
      <c r="AT137" s="152"/>
    </row>
    <row r="138" spans="1:46" x14ac:dyDescent="0.3">
      <c r="A138" s="143"/>
      <c r="B138" s="144"/>
      <c r="C138" s="145"/>
      <c r="D138" s="146"/>
      <c r="E138" s="144"/>
      <c r="F138" s="144"/>
      <c r="G138" s="144"/>
      <c r="H138" s="144"/>
      <c r="I138" s="148"/>
      <c r="J138" s="149">
        <f t="shared" si="11"/>
        <v>0</v>
      </c>
      <c r="K138" s="150">
        <f t="shared" si="12"/>
        <v>0</v>
      </c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  <c r="AB138" s="151"/>
      <c r="AC138" s="151"/>
      <c r="AD138" s="151"/>
      <c r="AE138" s="151"/>
      <c r="AF138" s="151"/>
      <c r="AG138" s="151"/>
      <c r="AH138" s="151"/>
      <c r="AI138" s="151"/>
      <c r="AJ138" s="151"/>
      <c r="AK138" s="151"/>
      <c r="AL138" s="151"/>
      <c r="AM138" s="151"/>
      <c r="AN138" s="151"/>
      <c r="AO138" s="151"/>
      <c r="AP138" s="151"/>
      <c r="AQ138" s="151"/>
      <c r="AR138" s="151"/>
      <c r="AS138" s="151"/>
      <c r="AT138" s="152"/>
    </row>
    <row r="139" spans="1:46" x14ac:dyDescent="0.3">
      <c r="A139" s="143"/>
      <c r="B139" s="144"/>
      <c r="C139" s="145"/>
      <c r="D139" s="146"/>
      <c r="E139" s="144"/>
      <c r="F139" s="144"/>
      <c r="G139" s="144"/>
      <c r="H139" s="144"/>
      <c r="I139" s="148"/>
      <c r="J139" s="149">
        <f t="shared" si="11"/>
        <v>0</v>
      </c>
      <c r="K139" s="150">
        <f t="shared" si="12"/>
        <v>0</v>
      </c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151"/>
      <c r="AL139" s="151"/>
      <c r="AM139" s="151"/>
      <c r="AN139" s="151"/>
      <c r="AO139" s="151"/>
      <c r="AP139" s="151"/>
      <c r="AQ139" s="151"/>
      <c r="AR139" s="151"/>
      <c r="AS139" s="151"/>
      <c r="AT139" s="152"/>
    </row>
    <row r="140" spans="1:46" x14ac:dyDescent="0.3">
      <c r="A140" s="143"/>
      <c r="B140" s="144"/>
      <c r="C140" s="145"/>
      <c r="D140" s="146"/>
      <c r="E140" s="144"/>
      <c r="F140" s="144"/>
      <c r="G140" s="144"/>
      <c r="H140" s="144"/>
      <c r="I140" s="148"/>
      <c r="J140" s="149">
        <f t="shared" si="11"/>
        <v>0</v>
      </c>
      <c r="K140" s="150">
        <f t="shared" si="12"/>
        <v>0</v>
      </c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51"/>
      <c r="AH140" s="151"/>
      <c r="AI140" s="151"/>
      <c r="AJ140" s="151"/>
      <c r="AK140" s="151"/>
      <c r="AL140" s="151"/>
      <c r="AM140" s="151"/>
      <c r="AN140" s="151"/>
      <c r="AO140" s="151"/>
      <c r="AP140" s="151"/>
      <c r="AQ140" s="151"/>
      <c r="AR140" s="151"/>
      <c r="AS140" s="151"/>
      <c r="AT140" s="152"/>
    </row>
    <row r="141" spans="1:46" x14ac:dyDescent="0.3">
      <c r="A141" s="143"/>
      <c r="B141" s="144"/>
      <c r="C141" s="145"/>
      <c r="D141" s="146"/>
      <c r="E141" s="144"/>
      <c r="F141" s="144"/>
      <c r="G141" s="144"/>
      <c r="H141" s="144"/>
      <c r="I141" s="148"/>
      <c r="J141" s="149">
        <f t="shared" si="11"/>
        <v>0</v>
      </c>
      <c r="K141" s="150">
        <f t="shared" si="12"/>
        <v>0</v>
      </c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/>
      <c r="AP141" s="151"/>
      <c r="AQ141" s="151"/>
      <c r="AR141" s="151"/>
      <c r="AS141" s="151"/>
      <c r="AT141" s="152"/>
    </row>
    <row r="142" spans="1:46" x14ac:dyDescent="0.3">
      <c r="A142" s="143"/>
      <c r="B142" s="144"/>
      <c r="C142" s="145"/>
      <c r="D142" s="146"/>
      <c r="E142" s="144"/>
      <c r="F142" s="144"/>
      <c r="G142" s="144"/>
      <c r="H142" s="144"/>
      <c r="I142" s="148"/>
      <c r="J142" s="149">
        <f t="shared" si="11"/>
        <v>0</v>
      </c>
      <c r="K142" s="150">
        <f t="shared" si="12"/>
        <v>0</v>
      </c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  <c r="AR142" s="151"/>
      <c r="AS142" s="151"/>
      <c r="AT142" s="152"/>
    </row>
    <row r="143" spans="1:46" x14ac:dyDescent="0.3">
      <c r="A143" s="143"/>
      <c r="B143" s="144"/>
      <c r="C143" s="145"/>
      <c r="D143" s="146"/>
      <c r="E143" s="144"/>
      <c r="F143" s="144"/>
      <c r="G143" s="144"/>
      <c r="H143" s="144"/>
      <c r="I143" s="148"/>
      <c r="J143" s="149">
        <f t="shared" si="11"/>
        <v>0</v>
      </c>
      <c r="K143" s="150">
        <f t="shared" si="12"/>
        <v>0</v>
      </c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  <c r="AR143" s="151"/>
      <c r="AS143" s="151"/>
      <c r="AT143" s="152"/>
    </row>
    <row r="144" spans="1:46" x14ac:dyDescent="0.3">
      <c r="A144" s="143"/>
      <c r="B144" s="144"/>
      <c r="C144" s="145"/>
      <c r="D144" s="146"/>
      <c r="E144" s="144"/>
      <c r="F144" s="144"/>
      <c r="G144" s="144"/>
      <c r="H144" s="144"/>
      <c r="I144" s="148"/>
      <c r="J144" s="149">
        <f t="shared" ref="J144:J207" si="13">I144*K144</f>
        <v>0</v>
      </c>
      <c r="K144" s="150">
        <f t="shared" ref="K144:K207" si="14">SUM(L144:AT144)</f>
        <v>0</v>
      </c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  <c r="AR144" s="151"/>
      <c r="AS144" s="151"/>
      <c r="AT144" s="152"/>
    </row>
    <row r="145" spans="1:46" x14ac:dyDescent="0.3">
      <c r="A145" s="143"/>
      <c r="B145" s="144"/>
      <c r="C145" s="145"/>
      <c r="D145" s="146"/>
      <c r="E145" s="144"/>
      <c r="F145" s="144"/>
      <c r="G145" s="144"/>
      <c r="H145" s="144"/>
      <c r="I145" s="148"/>
      <c r="J145" s="149">
        <f t="shared" si="13"/>
        <v>0</v>
      </c>
      <c r="K145" s="150">
        <f t="shared" si="14"/>
        <v>0</v>
      </c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2"/>
    </row>
    <row r="146" spans="1:46" x14ac:dyDescent="0.3">
      <c r="A146" s="143"/>
      <c r="B146" s="144"/>
      <c r="C146" s="145"/>
      <c r="D146" s="146"/>
      <c r="E146" s="144"/>
      <c r="F146" s="144"/>
      <c r="G146" s="144"/>
      <c r="H146" s="144"/>
      <c r="I146" s="148"/>
      <c r="J146" s="149">
        <f t="shared" si="13"/>
        <v>0</v>
      </c>
      <c r="K146" s="150">
        <f t="shared" si="14"/>
        <v>0</v>
      </c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1"/>
      <c r="AN146" s="151"/>
      <c r="AO146" s="151"/>
      <c r="AP146" s="151"/>
      <c r="AQ146" s="151"/>
      <c r="AR146" s="151"/>
      <c r="AS146" s="151"/>
      <c r="AT146" s="152"/>
    </row>
    <row r="147" spans="1:46" x14ac:dyDescent="0.3">
      <c r="A147" s="143"/>
      <c r="B147" s="144"/>
      <c r="C147" s="145"/>
      <c r="D147" s="146"/>
      <c r="E147" s="144"/>
      <c r="F147" s="144"/>
      <c r="G147" s="144"/>
      <c r="H147" s="144"/>
      <c r="I147" s="148"/>
      <c r="J147" s="149">
        <f t="shared" si="13"/>
        <v>0</v>
      </c>
      <c r="K147" s="150">
        <f t="shared" si="14"/>
        <v>0</v>
      </c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/>
      <c r="AP147" s="151"/>
      <c r="AQ147" s="151"/>
      <c r="AR147" s="151"/>
      <c r="AS147" s="151"/>
      <c r="AT147" s="152"/>
    </row>
    <row r="148" spans="1:46" x14ac:dyDescent="0.3">
      <c r="A148" s="143"/>
      <c r="B148" s="144"/>
      <c r="C148" s="145"/>
      <c r="D148" s="146"/>
      <c r="E148" s="144"/>
      <c r="F148" s="144"/>
      <c r="G148" s="144"/>
      <c r="H148" s="144"/>
      <c r="I148" s="148"/>
      <c r="J148" s="149">
        <f t="shared" si="13"/>
        <v>0</v>
      </c>
      <c r="K148" s="150">
        <f t="shared" si="14"/>
        <v>0</v>
      </c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51"/>
      <c r="AH148" s="151"/>
      <c r="AI148" s="151"/>
      <c r="AJ148" s="151"/>
      <c r="AK148" s="151"/>
      <c r="AL148" s="151"/>
      <c r="AM148" s="151"/>
      <c r="AN148" s="151"/>
      <c r="AO148" s="151"/>
      <c r="AP148" s="151"/>
      <c r="AQ148" s="151"/>
      <c r="AR148" s="151"/>
      <c r="AS148" s="151"/>
      <c r="AT148" s="152"/>
    </row>
    <row r="149" spans="1:46" x14ac:dyDescent="0.3">
      <c r="A149" s="143"/>
      <c r="B149" s="144"/>
      <c r="C149" s="145"/>
      <c r="D149" s="146"/>
      <c r="E149" s="144"/>
      <c r="F149" s="144"/>
      <c r="G149" s="144"/>
      <c r="H149" s="144"/>
      <c r="I149" s="148"/>
      <c r="J149" s="149">
        <f t="shared" si="13"/>
        <v>0</v>
      </c>
      <c r="K149" s="150">
        <f t="shared" si="14"/>
        <v>0</v>
      </c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51"/>
      <c r="AM149" s="151"/>
      <c r="AN149" s="151"/>
      <c r="AO149" s="151"/>
      <c r="AP149" s="151"/>
      <c r="AQ149" s="151"/>
      <c r="AR149" s="151"/>
      <c r="AS149" s="151"/>
      <c r="AT149" s="152"/>
    </row>
    <row r="150" spans="1:46" x14ac:dyDescent="0.3">
      <c r="A150" s="143"/>
      <c r="B150" s="144"/>
      <c r="C150" s="145"/>
      <c r="D150" s="146"/>
      <c r="E150" s="144"/>
      <c r="F150" s="144"/>
      <c r="G150" s="144"/>
      <c r="H150" s="144"/>
      <c r="I150" s="148"/>
      <c r="J150" s="149">
        <f t="shared" si="13"/>
        <v>0</v>
      </c>
      <c r="K150" s="150">
        <f t="shared" si="14"/>
        <v>0</v>
      </c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  <c r="AC150" s="151"/>
      <c r="AD150" s="151"/>
      <c r="AE150" s="151"/>
      <c r="AF150" s="151"/>
      <c r="AG150" s="151"/>
      <c r="AH150" s="151"/>
      <c r="AI150" s="151"/>
      <c r="AJ150" s="151"/>
      <c r="AK150" s="151"/>
      <c r="AL150" s="151"/>
      <c r="AM150" s="151"/>
      <c r="AN150" s="151"/>
      <c r="AO150" s="151"/>
      <c r="AP150" s="151"/>
      <c r="AQ150" s="151"/>
      <c r="AR150" s="151"/>
      <c r="AS150" s="151"/>
      <c r="AT150" s="152"/>
    </row>
    <row r="151" spans="1:46" x14ac:dyDescent="0.3">
      <c r="A151" s="143"/>
      <c r="B151" s="144"/>
      <c r="C151" s="145"/>
      <c r="D151" s="146"/>
      <c r="E151" s="144"/>
      <c r="F151" s="144"/>
      <c r="G151" s="144"/>
      <c r="H151" s="144"/>
      <c r="I151" s="148"/>
      <c r="J151" s="149">
        <f t="shared" si="13"/>
        <v>0</v>
      </c>
      <c r="K151" s="150">
        <f t="shared" si="14"/>
        <v>0</v>
      </c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1"/>
      <c r="AD151" s="151"/>
      <c r="AE151" s="151"/>
      <c r="AF151" s="151"/>
      <c r="AG151" s="151"/>
      <c r="AH151" s="151"/>
      <c r="AI151" s="151"/>
      <c r="AJ151" s="151"/>
      <c r="AK151" s="151"/>
      <c r="AL151" s="151"/>
      <c r="AM151" s="151"/>
      <c r="AN151" s="151"/>
      <c r="AO151" s="151"/>
      <c r="AP151" s="151"/>
      <c r="AQ151" s="151"/>
      <c r="AR151" s="151"/>
      <c r="AS151" s="151"/>
      <c r="AT151" s="152"/>
    </row>
    <row r="152" spans="1:46" x14ac:dyDescent="0.3">
      <c r="A152" s="143"/>
      <c r="B152" s="144"/>
      <c r="C152" s="145"/>
      <c r="D152" s="146"/>
      <c r="E152" s="144"/>
      <c r="F152" s="144"/>
      <c r="G152" s="144"/>
      <c r="H152" s="144"/>
      <c r="I152" s="148"/>
      <c r="J152" s="149">
        <f t="shared" si="13"/>
        <v>0</v>
      </c>
      <c r="K152" s="150">
        <f t="shared" si="14"/>
        <v>0</v>
      </c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  <c r="AB152" s="151"/>
      <c r="AC152" s="151"/>
      <c r="AD152" s="151"/>
      <c r="AE152" s="151"/>
      <c r="AF152" s="151"/>
      <c r="AG152" s="151"/>
      <c r="AH152" s="151"/>
      <c r="AI152" s="151"/>
      <c r="AJ152" s="151"/>
      <c r="AK152" s="151"/>
      <c r="AL152" s="151"/>
      <c r="AM152" s="151"/>
      <c r="AN152" s="151"/>
      <c r="AO152" s="151"/>
      <c r="AP152" s="151"/>
      <c r="AQ152" s="151"/>
      <c r="AR152" s="151"/>
      <c r="AS152" s="151"/>
      <c r="AT152" s="152"/>
    </row>
    <row r="153" spans="1:46" x14ac:dyDescent="0.3">
      <c r="A153" s="143"/>
      <c r="B153" s="144"/>
      <c r="C153" s="145"/>
      <c r="D153" s="146"/>
      <c r="E153" s="144"/>
      <c r="F153" s="144"/>
      <c r="G153" s="144"/>
      <c r="H153" s="144"/>
      <c r="I153" s="148"/>
      <c r="J153" s="149">
        <f t="shared" si="13"/>
        <v>0</v>
      </c>
      <c r="K153" s="150">
        <f t="shared" si="14"/>
        <v>0</v>
      </c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  <c r="AR153" s="151"/>
      <c r="AS153" s="151"/>
      <c r="AT153" s="152"/>
    </row>
    <row r="154" spans="1:46" x14ac:dyDescent="0.3">
      <c r="A154" s="143"/>
      <c r="B154" s="144"/>
      <c r="C154" s="145"/>
      <c r="D154" s="146"/>
      <c r="E154" s="144"/>
      <c r="F154" s="144"/>
      <c r="G154" s="144"/>
      <c r="H154" s="144"/>
      <c r="I154" s="148"/>
      <c r="J154" s="149">
        <f t="shared" si="13"/>
        <v>0</v>
      </c>
      <c r="K154" s="150">
        <f t="shared" si="14"/>
        <v>0</v>
      </c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  <c r="AC154" s="151"/>
      <c r="AD154" s="151"/>
      <c r="AE154" s="151"/>
      <c r="AF154" s="151"/>
      <c r="AG154" s="151"/>
      <c r="AH154" s="151"/>
      <c r="AI154" s="151"/>
      <c r="AJ154" s="151"/>
      <c r="AK154" s="151"/>
      <c r="AL154" s="151"/>
      <c r="AM154" s="151"/>
      <c r="AN154" s="151"/>
      <c r="AO154" s="151"/>
      <c r="AP154" s="151"/>
      <c r="AQ154" s="151"/>
      <c r="AR154" s="151"/>
      <c r="AS154" s="151"/>
      <c r="AT154" s="152"/>
    </row>
    <row r="155" spans="1:46" x14ac:dyDescent="0.3">
      <c r="A155" s="143"/>
      <c r="B155" s="144"/>
      <c r="C155" s="145"/>
      <c r="D155" s="146"/>
      <c r="E155" s="144"/>
      <c r="F155" s="144"/>
      <c r="G155" s="144"/>
      <c r="H155" s="144"/>
      <c r="I155" s="148"/>
      <c r="J155" s="149">
        <f t="shared" si="13"/>
        <v>0</v>
      </c>
      <c r="K155" s="150">
        <f t="shared" si="14"/>
        <v>0</v>
      </c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1"/>
      <c r="AH155" s="151"/>
      <c r="AI155" s="151"/>
      <c r="AJ155" s="151"/>
      <c r="AK155" s="151"/>
      <c r="AL155" s="151"/>
      <c r="AM155" s="151"/>
      <c r="AN155" s="151"/>
      <c r="AO155" s="151"/>
      <c r="AP155" s="151"/>
      <c r="AQ155" s="151"/>
      <c r="AR155" s="151"/>
      <c r="AS155" s="151"/>
      <c r="AT155" s="152"/>
    </row>
    <row r="156" spans="1:46" x14ac:dyDescent="0.3">
      <c r="A156" s="143"/>
      <c r="B156" s="144"/>
      <c r="C156" s="145"/>
      <c r="D156" s="146"/>
      <c r="E156" s="144"/>
      <c r="F156" s="144"/>
      <c r="G156" s="144"/>
      <c r="H156" s="144"/>
      <c r="I156" s="148"/>
      <c r="J156" s="149">
        <f t="shared" si="13"/>
        <v>0</v>
      </c>
      <c r="K156" s="150">
        <f t="shared" si="14"/>
        <v>0</v>
      </c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1"/>
      <c r="AH156" s="151"/>
      <c r="AI156" s="151"/>
      <c r="AJ156" s="151"/>
      <c r="AK156" s="151"/>
      <c r="AL156" s="151"/>
      <c r="AM156" s="151"/>
      <c r="AN156" s="151"/>
      <c r="AO156" s="151"/>
      <c r="AP156" s="151"/>
      <c r="AQ156" s="151"/>
      <c r="AR156" s="151"/>
      <c r="AS156" s="151"/>
      <c r="AT156" s="152"/>
    </row>
    <row r="157" spans="1:46" x14ac:dyDescent="0.3">
      <c r="A157" s="143"/>
      <c r="B157" s="144"/>
      <c r="C157" s="145"/>
      <c r="D157" s="146"/>
      <c r="E157" s="144"/>
      <c r="F157" s="144"/>
      <c r="G157" s="144"/>
      <c r="H157" s="144"/>
      <c r="I157" s="148"/>
      <c r="J157" s="149">
        <f t="shared" si="13"/>
        <v>0</v>
      </c>
      <c r="K157" s="150">
        <f t="shared" si="14"/>
        <v>0</v>
      </c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1"/>
      <c r="AH157" s="151"/>
      <c r="AI157" s="151"/>
      <c r="AJ157" s="151"/>
      <c r="AK157" s="151"/>
      <c r="AL157" s="151"/>
      <c r="AM157" s="151"/>
      <c r="AN157" s="151"/>
      <c r="AO157" s="151"/>
      <c r="AP157" s="151"/>
      <c r="AQ157" s="151"/>
      <c r="AR157" s="151"/>
      <c r="AS157" s="151"/>
      <c r="AT157" s="152"/>
    </row>
    <row r="158" spans="1:46" x14ac:dyDescent="0.3">
      <c r="A158" s="143"/>
      <c r="B158" s="144"/>
      <c r="C158" s="145"/>
      <c r="D158" s="146"/>
      <c r="E158" s="144"/>
      <c r="F158" s="144"/>
      <c r="G158" s="144"/>
      <c r="H158" s="144"/>
      <c r="I158" s="148"/>
      <c r="J158" s="149">
        <f t="shared" si="13"/>
        <v>0</v>
      </c>
      <c r="K158" s="150">
        <f t="shared" si="14"/>
        <v>0</v>
      </c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1"/>
      <c r="AH158" s="151"/>
      <c r="AI158" s="151"/>
      <c r="AJ158" s="151"/>
      <c r="AK158" s="151"/>
      <c r="AL158" s="151"/>
      <c r="AM158" s="151"/>
      <c r="AN158" s="151"/>
      <c r="AO158" s="151"/>
      <c r="AP158" s="151"/>
      <c r="AQ158" s="151"/>
      <c r="AR158" s="151"/>
      <c r="AS158" s="151"/>
      <c r="AT158" s="152"/>
    </row>
    <row r="159" spans="1:46" x14ac:dyDescent="0.3">
      <c r="A159" s="143"/>
      <c r="B159" s="144"/>
      <c r="C159" s="145"/>
      <c r="D159" s="146"/>
      <c r="E159" s="144"/>
      <c r="F159" s="144"/>
      <c r="G159" s="144"/>
      <c r="H159" s="144"/>
      <c r="I159" s="148"/>
      <c r="J159" s="149">
        <f t="shared" si="13"/>
        <v>0</v>
      </c>
      <c r="K159" s="150">
        <f t="shared" si="14"/>
        <v>0</v>
      </c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1"/>
      <c r="AH159" s="151"/>
      <c r="AI159" s="151"/>
      <c r="AJ159" s="151"/>
      <c r="AK159" s="151"/>
      <c r="AL159" s="151"/>
      <c r="AM159" s="151"/>
      <c r="AN159" s="151"/>
      <c r="AO159" s="151"/>
      <c r="AP159" s="151"/>
      <c r="AQ159" s="151"/>
      <c r="AR159" s="151"/>
      <c r="AS159" s="151"/>
      <c r="AT159" s="152"/>
    </row>
    <row r="160" spans="1:46" x14ac:dyDescent="0.3">
      <c r="A160" s="143"/>
      <c r="B160" s="144"/>
      <c r="C160" s="145"/>
      <c r="D160" s="146"/>
      <c r="E160" s="144"/>
      <c r="F160" s="144"/>
      <c r="G160" s="144"/>
      <c r="H160" s="144"/>
      <c r="I160" s="148"/>
      <c r="J160" s="149">
        <f t="shared" si="13"/>
        <v>0</v>
      </c>
      <c r="K160" s="150">
        <f t="shared" si="14"/>
        <v>0</v>
      </c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1"/>
      <c r="AH160" s="151"/>
      <c r="AI160" s="151"/>
      <c r="AJ160" s="151"/>
      <c r="AK160" s="151"/>
      <c r="AL160" s="151"/>
      <c r="AM160" s="151"/>
      <c r="AN160" s="151"/>
      <c r="AO160" s="151"/>
      <c r="AP160" s="151"/>
      <c r="AQ160" s="151"/>
      <c r="AR160" s="151"/>
      <c r="AS160" s="151"/>
      <c r="AT160" s="152"/>
    </row>
    <row r="161" spans="1:46" x14ac:dyDescent="0.3">
      <c r="A161" s="143"/>
      <c r="B161" s="144"/>
      <c r="C161" s="145"/>
      <c r="D161" s="146"/>
      <c r="E161" s="144"/>
      <c r="F161" s="144"/>
      <c r="G161" s="144"/>
      <c r="H161" s="144"/>
      <c r="I161" s="148"/>
      <c r="J161" s="149">
        <f t="shared" si="13"/>
        <v>0</v>
      </c>
      <c r="K161" s="150">
        <f t="shared" si="14"/>
        <v>0</v>
      </c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  <c r="AR161" s="151"/>
      <c r="AS161" s="151"/>
      <c r="AT161" s="152"/>
    </row>
    <row r="162" spans="1:46" x14ac:dyDescent="0.3">
      <c r="A162" s="143"/>
      <c r="B162" s="144"/>
      <c r="C162" s="145"/>
      <c r="D162" s="146"/>
      <c r="E162" s="144"/>
      <c r="F162" s="144"/>
      <c r="G162" s="144"/>
      <c r="H162" s="144"/>
      <c r="I162" s="148"/>
      <c r="J162" s="149">
        <f t="shared" si="13"/>
        <v>0</v>
      </c>
      <c r="K162" s="150">
        <f t="shared" si="14"/>
        <v>0</v>
      </c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1"/>
      <c r="AH162" s="151"/>
      <c r="AI162" s="151"/>
      <c r="AJ162" s="151"/>
      <c r="AK162" s="151"/>
      <c r="AL162" s="151"/>
      <c r="AM162" s="151"/>
      <c r="AN162" s="151"/>
      <c r="AO162" s="151"/>
      <c r="AP162" s="151"/>
      <c r="AQ162" s="151"/>
      <c r="AR162" s="151"/>
      <c r="AS162" s="151"/>
      <c r="AT162" s="152"/>
    </row>
    <row r="163" spans="1:46" x14ac:dyDescent="0.3">
      <c r="A163" s="143"/>
      <c r="B163" s="144"/>
      <c r="C163" s="145"/>
      <c r="D163" s="146"/>
      <c r="E163" s="144"/>
      <c r="F163" s="144"/>
      <c r="G163" s="144"/>
      <c r="H163" s="144"/>
      <c r="I163" s="148"/>
      <c r="J163" s="149">
        <f t="shared" si="13"/>
        <v>0</v>
      </c>
      <c r="K163" s="150">
        <f t="shared" si="14"/>
        <v>0</v>
      </c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1"/>
      <c r="AH163" s="151"/>
      <c r="AI163" s="151"/>
      <c r="AJ163" s="151"/>
      <c r="AK163" s="151"/>
      <c r="AL163" s="151"/>
      <c r="AM163" s="151"/>
      <c r="AN163" s="151"/>
      <c r="AO163" s="151"/>
      <c r="AP163" s="151"/>
      <c r="AQ163" s="151"/>
      <c r="AR163" s="151"/>
      <c r="AS163" s="151"/>
      <c r="AT163" s="152"/>
    </row>
    <row r="164" spans="1:46" x14ac:dyDescent="0.3">
      <c r="A164" s="143"/>
      <c r="B164" s="144"/>
      <c r="C164" s="145"/>
      <c r="D164" s="146"/>
      <c r="E164" s="144"/>
      <c r="F164" s="144"/>
      <c r="G164" s="144"/>
      <c r="H164" s="144"/>
      <c r="I164" s="148"/>
      <c r="J164" s="149">
        <f t="shared" si="13"/>
        <v>0</v>
      </c>
      <c r="K164" s="150">
        <f t="shared" si="14"/>
        <v>0</v>
      </c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1"/>
      <c r="AH164" s="151"/>
      <c r="AI164" s="151"/>
      <c r="AJ164" s="151"/>
      <c r="AK164" s="151"/>
      <c r="AL164" s="151"/>
      <c r="AM164" s="151"/>
      <c r="AN164" s="151"/>
      <c r="AO164" s="151"/>
      <c r="AP164" s="151"/>
      <c r="AQ164" s="151"/>
      <c r="AR164" s="151"/>
      <c r="AS164" s="151"/>
      <c r="AT164" s="152"/>
    </row>
    <row r="165" spans="1:46" x14ac:dyDescent="0.3">
      <c r="A165" s="143"/>
      <c r="B165" s="144"/>
      <c r="C165" s="145"/>
      <c r="D165" s="146"/>
      <c r="E165" s="144"/>
      <c r="F165" s="144"/>
      <c r="G165" s="144"/>
      <c r="H165" s="144"/>
      <c r="I165" s="148"/>
      <c r="J165" s="149">
        <f t="shared" si="13"/>
        <v>0</v>
      </c>
      <c r="K165" s="150">
        <f t="shared" si="14"/>
        <v>0</v>
      </c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1"/>
      <c r="AH165" s="151"/>
      <c r="AI165" s="151"/>
      <c r="AJ165" s="151"/>
      <c r="AK165" s="151"/>
      <c r="AL165" s="151"/>
      <c r="AM165" s="151"/>
      <c r="AN165" s="151"/>
      <c r="AO165" s="151"/>
      <c r="AP165" s="151"/>
      <c r="AQ165" s="151"/>
      <c r="AR165" s="151"/>
      <c r="AS165" s="151"/>
      <c r="AT165" s="152"/>
    </row>
    <row r="166" spans="1:46" x14ac:dyDescent="0.3">
      <c r="A166" s="143"/>
      <c r="B166" s="144"/>
      <c r="C166" s="145"/>
      <c r="D166" s="146"/>
      <c r="E166" s="144"/>
      <c r="F166" s="144"/>
      <c r="G166" s="144"/>
      <c r="H166" s="144"/>
      <c r="I166" s="148"/>
      <c r="J166" s="149">
        <f t="shared" si="13"/>
        <v>0</v>
      </c>
      <c r="K166" s="150">
        <f t="shared" si="14"/>
        <v>0</v>
      </c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1"/>
      <c r="AH166" s="151"/>
      <c r="AI166" s="151"/>
      <c r="AJ166" s="151"/>
      <c r="AK166" s="151"/>
      <c r="AL166" s="151"/>
      <c r="AM166" s="151"/>
      <c r="AN166" s="151"/>
      <c r="AO166" s="151"/>
      <c r="AP166" s="151"/>
      <c r="AQ166" s="151"/>
      <c r="AR166" s="151"/>
      <c r="AS166" s="151"/>
      <c r="AT166" s="152"/>
    </row>
    <row r="167" spans="1:46" x14ac:dyDescent="0.3">
      <c r="A167" s="143"/>
      <c r="B167" s="144"/>
      <c r="C167" s="145"/>
      <c r="D167" s="146"/>
      <c r="E167" s="144"/>
      <c r="F167" s="144"/>
      <c r="G167" s="144"/>
      <c r="H167" s="144"/>
      <c r="I167" s="148"/>
      <c r="J167" s="149">
        <f t="shared" si="13"/>
        <v>0</v>
      </c>
      <c r="K167" s="150">
        <f t="shared" si="14"/>
        <v>0</v>
      </c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1"/>
      <c r="AH167" s="151"/>
      <c r="AI167" s="151"/>
      <c r="AJ167" s="151"/>
      <c r="AK167" s="151"/>
      <c r="AL167" s="151"/>
      <c r="AM167" s="151"/>
      <c r="AN167" s="151"/>
      <c r="AO167" s="151"/>
      <c r="AP167" s="151"/>
      <c r="AQ167" s="151"/>
      <c r="AR167" s="151"/>
      <c r="AS167" s="151"/>
      <c r="AT167" s="152"/>
    </row>
    <row r="168" spans="1:46" x14ac:dyDescent="0.3">
      <c r="A168" s="143"/>
      <c r="B168" s="144"/>
      <c r="C168" s="145"/>
      <c r="D168" s="146"/>
      <c r="E168" s="144"/>
      <c r="F168" s="144"/>
      <c r="G168" s="144"/>
      <c r="H168" s="144"/>
      <c r="I168" s="148"/>
      <c r="J168" s="149">
        <f t="shared" si="13"/>
        <v>0</v>
      </c>
      <c r="K168" s="150">
        <f t="shared" si="14"/>
        <v>0</v>
      </c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1"/>
      <c r="AH168" s="151"/>
      <c r="AI168" s="151"/>
      <c r="AJ168" s="151"/>
      <c r="AK168" s="151"/>
      <c r="AL168" s="151"/>
      <c r="AM168" s="151"/>
      <c r="AN168" s="151"/>
      <c r="AO168" s="151"/>
      <c r="AP168" s="151"/>
      <c r="AQ168" s="151"/>
      <c r="AR168" s="151"/>
      <c r="AS168" s="151"/>
      <c r="AT168" s="152"/>
    </row>
    <row r="169" spans="1:46" x14ac:dyDescent="0.3">
      <c r="A169" s="143"/>
      <c r="B169" s="144"/>
      <c r="C169" s="145"/>
      <c r="D169" s="146"/>
      <c r="E169" s="144"/>
      <c r="F169" s="144"/>
      <c r="G169" s="144"/>
      <c r="H169" s="144"/>
      <c r="I169" s="148"/>
      <c r="J169" s="149">
        <f t="shared" si="13"/>
        <v>0</v>
      </c>
      <c r="K169" s="150">
        <f t="shared" si="14"/>
        <v>0</v>
      </c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1"/>
      <c r="AH169" s="151"/>
      <c r="AI169" s="151"/>
      <c r="AJ169" s="151"/>
      <c r="AK169" s="151"/>
      <c r="AL169" s="151"/>
      <c r="AM169" s="151"/>
      <c r="AN169" s="151"/>
      <c r="AO169" s="151"/>
      <c r="AP169" s="151"/>
      <c r="AQ169" s="151"/>
      <c r="AR169" s="151"/>
      <c r="AS169" s="151"/>
      <c r="AT169" s="152"/>
    </row>
    <row r="170" spans="1:46" x14ac:dyDescent="0.3">
      <c r="A170" s="143"/>
      <c r="B170" s="144"/>
      <c r="C170" s="145"/>
      <c r="D170" s="146"/>
      <c r="E170" s="144"/>
      <c r="F170" s="144"/>
      <c r="G170" s="144"/>
      <c r="H170" s="144"/>
      <c r="I170" s="148"/>
      <c r="J170" s="149">
        <f t="shared" si="13"/>
        <v>0</v>
      </c>
      <c r="K170" s="150">
        <f t="shared" si="14"/>
        <v>0</v>
      </c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1"/>
      <c r="AH170" s="151"/>
      <c r="AI170" s="151"/>
      <c r="AJ170" s="151"/>
      <c r="AK170" s="151"/>
      <c r="AL170" s="151"/>
      <c r="AM170" s="151"/>
      <c r="AN170" s="151"/>
      <c r="AO170" s="151"/>
      <c r="AP170" s="151"/>
      <c r="AQ170" s="151"/>
      <c r="AR170" s="151"/>
      <c r="AS170" s="151"/>
      <c r="AT170" s="152"/>
    </row>
    <row r="171" spans="1:46" x14ac:dyDescent="0.3">
      <c r="A171" s="143"/>
      <c r="B171" s="144"/>
      <c r="C171" s="145"/>
      <c r="D171" s="146"/>
      <c r="E171" s="144"/>
      <c r="F171" s="144"/>
      <c r="G171" s="144"/>
      <c r="H171" s="144"/>
      <c r="I171" s="148"/>
      <c r="J171" s="149">
        <f t="shared" si="13"/>
        <v>0</v>
      </c>
      <c r="K171" s="150">
        <f t="shared" si="14"/>
        <v>0</v>
      </c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1"/>
      <c r="AH171" s="151"/>
      <c r="AI171" s="151"/>
      <c r="AJ171" s="151"/>
      <c r="AK171" s="151"/>
      <c r="AL171" s="151"/>
      <c r="AM171" s="151"/>
      <c r="AN171" s="151"/>
      <c r="AO171" s="151"/>
      <c r="AP171" s="151"/>
      <c r="AQ171" s="151"/>
      <c r="AR171" s="151"/>
      <c r="AS171" s="151"/>
      <c r="AT171" s="152"/>
    </row>
    <row r="172" spans="1:46" x14ac:dyDescent="0.3">
      <c r="A172" s="143"/>
      <c r="B172" s="144"/>
      <c r="C172" s="145"/>
      <c r="D172" s="146"/>
      <c r="E172" s="144"/>
      <c r="F172" s="144"/>
      <c r="G172" s="144"/>
      <c r="H172" s="144"/>
      <c r="I172" s="148"/>
      <c r="J172" s="149">
        <f t="shared" si="13"/>
        <v>0</v>
      </c>
      <c r="K172" s="150">
        <f t="shared" si="14"/>
        <v>0</v>
      </c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1"/>
      <c r="AH172" s="151"/>
      <c r="AI172" s="151"/>
      <c r="AJ172" s="151"/>
      <c r="AK172" s="151"/>
      <c r="AL172" s="151"/>
      <c r="AM172" s="151"/>
      <c r="AN172" s="151"/>
      <c r="AO172" s="151"/>
      <c r="AP172" s="151"/>
      <c r="AQ172" s="151"/>
      <c r="AR172" s="151"/>
      <c r="AS172" s="151"/>
      <c r="AT172" s="152"/>
    </row>
    <row r="173" spans="1:46" x14ac:dyDescent="0.3">
      <c r="A173" s="143"/>
      <c r="B173" s="144"/>
      <c r="C173" s="145"/>
      <c r="D173" s="146"/>
      <c r="E173" s="144"/>
      <c r="F173" s="144"/>
      <c r="G173" s="144"/>
      <c r="H173" s="144"/>
      <c r="I173" s="148"/>
      <c r="J173" s="149">
        <f t="shared" si="13"/>
        <v>0</v>
      </c>
      <c r="K173" s="150">
        <f t="shared" si="14"/>
        <v>0</v>
      </c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1"/>
      <c r="AH173" s="151"/>
      <c r="AI173" s="151"/>
      <c r="AJ173" s="151"/>
      <c r="AK173" s="151"/>
      <c r="AL173" s="151"/>
      <c r="AM173" s="151"/>
      <c r="AN173" s="151"/>
      <c r="AO173" s="151"/>
      <c r="AP173" s="151"/>
      <c r="AQ173" s="151"/>
      <c r="AR173" s="151"/>
      <c r="AS173" s="151"/>
      <c r="AT173" s="152"/>
    </row>
    <row r="174" spans="1:46" x14ac:dyDescent="0.3">
      <c r="A174" s="143"/>
      <c r="B174" s="144"/>
      <c r="C174" s="145"/>
      <c r="D174" s="146"/>
      <c r="E174" s="144"/>
      <c r="F174" s="144"/>
      <c r="G174" s="144"/>
      <c r="H174" s="144"/>
      <c r="I174" s="148"/>
      <c r="J174" s="149">
        <f t="shared" si="13"/>
        <v>0</v>
      </c>
      <c r="K174" s="150">
        <f t="shared" si="14"/>
        <v>0</v>
      </c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1"/>
      <c r="AH174" s="151"/>
      <c r="AI174" s="151"/>
      <c r="AJ174" s="151"/>
      <c r="AK174" s="151"/>
      <c r="AL174" s="151"/>
      <c r="AM174" s="151"/>
      <c r="AN174" s="151"/>
      <c r="AO174" s="151"/>
      <c r="AP174" s="151"/>
      <c r="AQ174" s="151"/>
      <c r="AR174" s="151"/>
      <c r="AS174" s="151"/>
      <c r="AT174" s="152"/>
    </row>
    <row r="175" spans="1:46" x14ac:dyDescent="0.3">
      <c r="A175" s="143"/>
      <c r="B175" s="144"/>
      <c r="C175" s="145"/>
      <c r="D175" s="146"/>
      <c r="E175" s="144"/>
      <c r="F175" s="144"/>
      <c r="G175" s="144"/>
      <c r="H175" s="144"/>
      <c r="I175" s="148"/>
      <c r="J175" s="149">
        <f t="shared" si="13"/>
        <v>0</v>
      </c>
      <c r="K175" s="150">
        <f t="shared" si="14"/>
        <v>0</v>
      </c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1"/>
      <c r="AH175" s="151"/>
      <c r="AI175" s="151"/>
      <c r="AJ175" s="151"/>
      <c r="AK175" s="151"/>
      <c r="AL175" s="151"/>
      <c r="AM175" s="151"/>
      <c r="AN175" s="151"/>
      <c r="AO175" s="151"/>
      <c r="AP175" s="151"/>
      <c r="AQ175" s="151"/>
      <c r="AR175" s="151"/>
      <c r="AS175" s="151"/>
      <c r="AT175" s="152"/>
    </row>
    <row r="176" spans="1:46" x14ac:dyDescent="0.3">
      <c r="A176" s="143"/>
      <c r="B176" s="144"/>
      <c r="C176" s="145"/>
      <c r="D176" s="146"/>
      <c r="E176" s="144"/>
      <c r="F176" s="144"/>
      <c r="G176" s="144"/>
      <c r="H176" s="144"/>
      <c r="I176" s="148"/>
      <c r="J176" s="149">
        <f t="shared" si="13"/>
        <v>0</v>
      </c>
      <c r="K176" s="150">
        <f t="shared" si="14"/>
        <v>0</v>
      </c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1"/>
      <c r="AH176" s="151"/>
      <c r="AI176" s="151"/>
      <c r="AJ176" s="151"/>
      <c r="AK176" s="151"/>
      <c r="AL176" s="151"/>
      <c r="AM176" s="151"/>
      <c r="AN176" s="151"/>
      <c r="AO176" s="151"/>
      <c r="AP176" s="151"/>
      <c r="AQ176" s="151"/>
      <c r="AR176" s="151"/>
      <c r="AS176" s="151"/>
      <c r="AT176" s="152"/>
    </row>
    <row r="177" spans="1:46" x14ac:dyDescent="0.3">
      <c r="A177" s="143"/>
      <c r="B177" s="144"/>
      <c r="C177" s="145"/>
      <c r="D177" s="146"/>
      <c r="E177" s="144"/>
      <c r="F177" s="144"/>
      <c r="G177" s="144"/>
      <c r="H177" s="144"/>
      <c r="I177" s="148"/>
      <c r="J177" s="149">
        <f t="shared" si="13"/>
        <v>0</v>
      </c>
      <c r="K177" s="150">
        <f t="shared" si="14"/>
        <v>0</v>
      </c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  <c r="AH177" s="151"/>
      <c r="AI177" s="151"/>
      <c r="AJ177" s="151"/>
      <c r="AK177" s="151"/>
      <c r="AL177" s="151"/>
      <c r="AM177" s="151"/>
      <c r="AN177" s="151"/>
      <c r="AO177" s="151"/>
      <c r="AP177" s="151"/>
      <c r="AQ177" s="151"/>
      <c r="AR177" s="151"/>
      <c r="AS177" s="151"/>
      <c r="AT177" s="152"/>
    </row>
    <row r="178" spans="1:46" x14ac:dyDescent="0.3">
      <c r="A178" s="143"/>
      <c r="B178" s="144"/>
      <c r="C178" s="145"/>
      <c r="D178" s="146"/>
      <c r="E178" s="144"/>
      <c r="F178" s="144"/>
      <c r="G178" s="144"/>
      <c r="H178" s="144"/>
      <c r="I178" s="148"/>
      <c r="J178" s="149">
        <f t="shared" si="13"/>
        <v>0</v>
      </c>
      <c r="K178" s="150">
        <f t="shared" si="14"/>
        <v>0</v>
      </c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1"/>
      <c r="AH178" s="151"/>
      <c r="AI178" s="151"/>
      <c r="AJ178" s="151"/>
      <c r="AK178" s="151"/>
      <c r="AL178" s="151"/>
      <c r="AM178" s="151"/>
      <c r="AN178" s="151"/>
      <c r="AO178" s="151"/>
      <c r="AP178" s="151"/>
      <c r="AQ178" s="151"/>
      <c r="AR178" s="151"/>
      <c r="AS178" s="151"/>
      <c r="AT178" s="152"/>
    </row>
    <row r="179" spans="1:46" x14ac:dyDescent="0.3">
      <c r="A179" s="143"/>
      <c r="B179" s="144"/>
      <c r="C179" s="145"/>
      <c r="D179" s="146"/>
      <c r="E179" s="144"/>
      <c r="F179" s="144"/>
      <c r="G179" s="144"/>
      <c r="H179" s="144"/>
      <c r="I179" s="148"/>
      <c r="J179" s="149">
        <f t="shared" si="13"/>
        <v>0</v>
      </c>
      <c r="K179" s="150">
        <f t="shared" si="14"/>
        <v>0</v>
      </c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1"/>
      <c r="AH179" s="151"/>
      <c r="AI179" s="151"/>
      <c r="AJ179" s="151"/>
      <c r="AK179" s="151"/>
      <c r="AL179" s="151"/>
      <c r="AM179" s="151"/>
      <c r="AN179" s="151"/>
      <c r="AO179" s="151"/>
      <c r="AP179" s="151"/>
      <c r="AQ179" s="151"/>
      <c r="AR179" s="151"/>
      <c r="AS179" s="151"/>
      <c r="AT179" s="152"/>
    </row>
    <row r="180" spans="1:46" x14ac:dyDescent="0.3">
      <c r="A180" s="143"/>
      <c r="B180" s="144"/>
      <c r="C180" s="145"/>
      <c r="D180" s="146"/>
      <c r="E180" s="144"/>
      <c r="F180" s="144"/>
      <c r="G180" s="144"/>
      <c r="H180" s="144"/>
      <c r="I180" s="148"/>
      <c r="J180" s="149">
        <f t="shared" si="13"/>
        <v>0</v>
      </c>
      <c r="K180" s="150">
        <f t="shared" si="14"/>
        <v>0</v>
      </c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1"/>
      <c r="AH180" s="151"/>
      <c r="AI180" s="151"/>
      <c r="AJ180" s="151"/>
      <c r="AK180" s="151"/>
      <c r="AL180" s="151"/>
      <c r="AM180" s="151"/>
      <c r="AN180" s="151"/>
      <c r="AO180" s="151"/>
      <c r="AP180" s="151"/>
      <c r="AQ180" s="151"/>
      <c r="AR180" s="151"/>
      <c r="AS180" s="151"/>
      <c r="AT180" s="152"/>
    </row>
    <row r="181" spans="1:46" x14ac:dyDescent="0.3">
      <c r="A181" s="143"/>
      <c r="B181" s="144"/>
      <c r="C181" s="145"/>
      <c r="D181" s="146"/>
      <c r="E181" s="144"/>
      <c r="F181" s="144"/>
      <c r="G181" s="144"/>
      <c r="H181" s="144"/>
      <c r="I181" s="148"/>
      <c r="J181" s="149">
        <f t="shared" si="13"/>
        <v>0</v>
      </c>
      <c r="K181" s="150">
        <f t="shared" si="14"/>
        <v>0</v>
      </c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1"/>
      <c r="AH181" s="151"/>
      <c r="AI181" s="151"/>
      <c r="AJ181" s="151"/>
      <c r="AK181" s="151"/>
      <c r="AL181" s="151"/>
      <c r="AM181" s="151"/>
      <c r="AN181" s="151"/>
      <c r="AO181" s="151"/>
      <c r="AP181" s="151"/>
      <c r="AQ181" s="151"/>
      <c r="AR181" s="151"/>
      <c r="AS181" s="151"/>
      <c r="AT181" s="152"/>
    </row>
    <row r="182" spans="1:46" x14ac:dyDescent="0.3">
      <c r="A182" s="143"/>
      <c r="B182" s="144"/>
      <c r="C182" s="145"/>
      <c r="D182" s="146"/>
      <c r="E182" s="144"/>
      <c r="F182" s="144"/>
      <c r="G182" s="144"/>
      <c r="H182" s="144"/>
      <c r="I182" s="148"/>
      <c r="J182" s="149">
        <f t="shared" si="13"/>
        <v>0</v>
      </c>
      <c r="K182" s="150">
        <f t="shared" si="14"/>
        <v>0</v>
      </c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1"/>
      <c r="AH182" s="151"/>
      <c r="AI182" s="151"/>
      <c r="AJ182" s="151"/>
      <c r="AK182" s="151"/>
      <c r="AL182" s="151"/>
      <c r="AM182" s="151"/>
      <c r="AN182" s="151"/>
      <c r="AO182" s="151"/>
      <c r="AP182" s="151"/>
      <c r="AQ182" s="151"/>
      <c r="AR182" s="151"/>
      <c r="AS182" s="151"/>
      <c r="AT182" s="152"/>
    </row>
    <row r="183" spans="1:46" x14ac:dyDescent="0.3">
      <c r="A183" s="143"/>
      <c r="B183" s="144"/>
      <c r="C183" s="145"/>
      <c r="D183" s="146"/>
      <c r="E183" s="144"/>
      <c r="F183" s="144"/>
      <c r="G183" s="144"/>
      <c r="H183" s="144"/>
      <c r="I183" s="148"/>
      <c r="J183" s="149">
        <f t="shared" si="13"/>
        <v>0</v>
      </c>
      <c r="K183" s="150">
        <f t="shared" si="14"/>
        <v>0</v>
      </c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1"/>
      <c r="AH183" s="151"/>
      <c r="AI183" s="151"/>
      <c r="AJ183" s="151"/>
      <c r="AK183" s="151"/>
      <c r="AL183" s="151"/>
      <c r="AM183" s="151"/>
      <c r="AN183" s="151"/>
      <c r="AO183" s="151"/>
      <c r="AP183" s="151"/>
      <c r="AQ183" s="151"/>
      <c r="AR183" s="151"/>
      <c r="AS183" s="151"/>
      <c r="AT183" s="152"/>
    </row>
    <row r="184" spans="1:46" x14ac:dyDescent="0.3">
      <c r="A184" s="143"/>
      <c r="B184" s="144"/>
      <c r="C184" s="145"/>
      <c r="D184" s="146"/>
      <c r="E184" s="144"/>
      <c r="F184" s="144"/>
      <c r="G184" s="144"/>
      <c r="H184" s="144"/>
      <c r="I184" s="148"/>
      <c r="J184" s="149">
        <f t="shared" si="13"/>
        <v>0</v>
      </c>
      <c r="K184" s="150">
        <f t="shared" si="14"/>
        <v>0</v>
      </c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1"/>
      <c r="AH184" s="151"/>
      <c r="AI184" s="151"/>
      <c r="AJ184" s="151"/>
      <c r="AK184" s="151"/>
      <c r="AL184" s="151"/>
      <c r="AM184" s="151"/>
      <c r="AN184" s="151"/>
      <c r="AO184" s="151"/>
      <c r="AP184" s="151"/>
      <c r="AQ184" s="151"/>
      <c r="AR184" s="151"/>
      <c r="AS184" s="151"/>
      <c r="AT184" s="152"/>
    </row>
    <row r="185" spans="1:46" x14ac:dyDescent="0.3">
      <c r="A185" s="143"/>
      <c r="B185" s="144"/>
      <c r="C185" s="145"/>
      <c r="D185" s="146"/>
      <c r="E185" s="144"/>
      <c r="F185" s="144"/>
      <c r="G185" s="144"/>
      <c r="H185" s="144"/>
      <c r="I185" s="148"/>
      <c r="J185" s="149">
        <f t="shared" si="13"/>
        <v>0</v>
      </c>
      <c r="K185" s="150">
        <f t="shared" si="14"/>
        <v>0</v>
      </c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1"/>
      <c r="AH185" s="151"/>
      <c r="AI185" s="151"/>
      <c r="AJ185" s="151"/>
      <c r="AK185" s="151"/>
      <c r="AL185" s="151"/>
      <c r="AM185" s="151"/>
      <c r="AN185" s="151"/>
      <c r="AO185" s="151"/>
      <c r="AP185" s="151"/>
      <c r="AQ185" s="151"/>
      <c r="AR185" s="151"/>
      <c r="AS185" s="151"/>
      <c r="AT185" s="152"/>
    </row>
    <row r="186" spans="1:46" x14ac:dyDescent="0.3">
      <c r="A186" s="143"/>
      <c r="B186" s="144"/>
      <c r="C186" s="145"/>
      <c r="D186" s="146"/>
      <c r="E186" s="144"/>
      <c r="F186" s="144"/>
      <c r="G186" s="144"/>
      <c r="H186" s="144"/>
      <c r="I186" s="148"/>
      <c r="J186" s="149">
        <f t="shared" si="13"/>
        <v>0</v>
      </c>
      <c r="K186" s="150">
        <f t="shared" si="14"/>
        <v>0</v>
      </c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1"/>
      <c r="AH186" s="151"/>
      <c r="AI186" s="151"/>
      <c r="AJ186" s="151"/>
      <c r="AK186" s="151"/>
      <c r="AL186" s="151"/>
      <c r="AM186" s="151"/>
      <c r="AN186" s="151"/>
      <c r="AO186" s="151"/>
      <c r="AP186" s="151"/>
      <c r="AQ186" s="151"/>
      <c r="AR186" s="151"/>
      <c r="AS186" s="151"/>
      <c r="AT186" s="152"/>
    </row>
    <row r="187" spans="1:46" x14ac:dyDescent="0.3">
      <c r="A187" s="143"/>
      <c r="B187" s="144"/>
      <c r="C187" s="145"/>
      <c r="D187" s="146"/>
      <c r="E187" s="144"/>
      <c r="F187" s="144"/>
      <c r="G187" s="144"/>
      <c r="H187" s="144"/>
      <c r="I187" s="148"/>
      <c r="J187" s="149">
        <f t="shared" si="13"/>
        <v>0</v>
      </c>
      <c r="K187" s="150">
        <f t="shared" si="14"/>
        <v>0</v>
      </c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1"/>
      <c r="AH187" s="151"/>
      <c r="AI187" s="151"/>
      <c r="AJ187" s="151"/>
      <c r="AK187" s="151"/>
      <c r="AL187" s="151"/>
      <c r="AM187" s="151"/>
      <c r="AN187" s="151"/>
      <c r="AO187" s="151"/>
      <c r="AP187" s="151"/>
      <c r="AQ187" s="151"/>
      <c r="AR187" s="151"/>
      <c r="AS187" s="151"/>
      <c r="AT187" s="152"/>
    </row>
    <row r="188" spans="1:46" x14ac:dyDescent="0.3">
      <c r="A188" s="143"/>
      <c r="B188" s="144"/>
      <c r="C188" s="145"/>
      <c r="D188" s="146"/>
      <c r="E188" s="144"/>
      <c r="F188" s="144"/>
      <c r="G188" s="144"/>
      <c r="H188" s="144"/>
      <c r="I188" s="148"/>
      <c r="J188" s="149">
        <f t="shared" si="13"/>
        <v>0</v>
      </c>
      <c r="K188" s="150">
        <f t="shared" si="14"/>
        <v>0</v>
      </c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1"/>
      <c r="AH188" s="151"/>
      <c r="AI188" s="151"/>
      <c r="AJ188" s="151"/>
      <c r="AK188" s="151"/>
      <c r="AL188" s="151"/>
      <c r="AM188" s="151"/>
      <c r="AN188" s="151"/>
      <c r="AO188" s="151"/>
      <c r="AP188" s="151"/>
      <c r="AQ188" s="151"/>
      <c r="AR188" s="151"/>
      <c r="AS188" s="151"/>
      <c r="AT188" s="152"/>
    </row>
    <row r="189" spans="1:46" x14ac:dyDescent="0.3">
      <c r="A189" s="143"/>
      <c r="B189" s="144"/>
      <c r="C189" s="145"/>
      <c r="D189" s="146"/>
      <c r="E189" s="144"/>
      <c r="F189" s="144"/>
      <c r="G189" s="144"/>
      <c r="H189" s="144"/>
      <c r="I189" s="148"/>
      <c r="J189" s="149">
        <f t="shared" si="13"/>
        <v>0</v>
      </c>
      <c r="K189" s="150">
        <f t="shared" si="14"/>
        <v>0</v>
      </c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1"/>
      <c r="AH189" s="151"/>
      <c r="AI189" s="151"/>
      <c r="AJ189" s="151"/>
      <c r="AK189" s="151"/>
      <c r="AL189" s="151"/>
      <c r="AM189" s="151"/>
      <c r="AN189" s="151"/>
      <c r="AO189" s="151"/>
      <c r="AP189" s="151"/>
      <c r="AQ189" s="151"/>
      <c r="AR189" s="151"/>
      <c r="AS189" s="151"/>
      <c r="AT189" s="152"/>
    </row>
    <row r="190" spans="1:46" x14ac:dyDescent="0.3">
      <c r="A190" s="143"/>
      <c r="B190" s="144"/>
      <c r="C190" s="145"/>
      <c r="D190" s="146"/>
      <c r="E190" s="144"/>
      <c r="F190" s="144"/>
      <c r="G190" s="144"/>
      <c r="H190" s="144"/>
      <c r="I190" s="148"/>
      <c r="J190" s="149">
        <f t="shared" si="13"/>
        <v>0</v>
      </c>
      <c r="K190" s="150">
        <f t="shared" si="14"/>
        <v>0</v>
      </c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1"/>
      <c r="AH190" s="151"/>
      <c r="AI190" s="151"/>
      <c r="AJ190" s="151"/>
      <c r="AK190" s="151"/>
      <c r="AL190" s="151"/>
      <c r="AM190" s="151"/>
      <c r="AN190" s="151"/>
      <c r="AO190" s="151"/>
      <c r="AP190" s="151"/>
      <c r="AQ190" s="151"/>
      <c r="AR190" s="151"/>
      <c r="AS190" s="151"/>
      <c r="AT190" s="152"/>
    </row>
    <row r="191" spans="1:46" x14ac:dyDescent="0.3">
      <c r="A191" s="143"/>
      <c r="B191" s="144"/>
      <c r="C191" s="145"/>
      <c r="D191" s="146"/>
      <c r="E191" s="144"/>
      <c r="F191" s="144"/>
      <c r="G191" s="144"/>
      <c r="H191" s="144"/>
      <c r="I191" s="148"/>
      <c r="J191" s="149">
        <f t="shared" si="13"/>
        <v>0</v>
      </c>
      <c r="K191" s="150">
        <f t="shared" si="14"/>
        <v>0</v>
      </c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1"/>
      <c r="AH191" s="151"/>
      <c r="AI191" s="151"/>
      <c r="AJ191" s="151"/>
      <c r="AK191" s="151"/>
      <c r="AL191" s="151"/>
      <c r="AM191" s="151"/>
      <c r="AN191" s="151"/>
      <c r="AO191" s="151"/>
      <c r="AP191" s="151"/>
      <c r="AQ191" s="151"/>
      <c r="AR191" s="151"/>
      <c r="AS191" s="151"/>
      <c r="AT191" s="152"/>
    </row>
    <row r="192" spans="1:46" x14ac:dyDescent="0.3">
      <c r="A192" s="143"/>
      <c r="B192" s="144"/>
      <c r="C192" s="145"/>
      <c r="D192" s="146"/>
      <c r="E192" s="144"/>
      <c r="F192" s="144"/>
      <c r="G192" s="144"/>
      <c r="H192" s="144"/>
      <c r="I192" s="148"/>
      <c r="J192" s="149">
        <f t="shared" si="13"/>
        <v>0</v>
      </c>
      <c r="K192" s="150">
        <f t="shared" si="14"/>
        <v>0</v>
      </c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1"/>
      <c r="AH192" s="151"/>
      <c r="AI192" s="151"/>
      <c r="AJ192" s="151"/>
      <c r="AK192" s="151"/>
      <c r="AL192" s="151"/>
      <c r="AM192" s="151"/>
      <c r="AN192" s="151"/>
      <c r="AO192" s="151"/>
      <c r="AP192" s="151"/>
      <c r="AQ192" s="151"/>
      <c r="AR192" s="151"/>
      <c r="AS192" s="151"/>
      <c r="AT192" s="152"/>
    </row>
    <row r="193" spans="1:46" x14ac:dyDescent="0.3">
      <c r="A193" s="143"/>
      <c r="B193" s="144"/>
      <c r="C193" s="145"/>
      <c r="D193" s="146"/>
      <c r="E193" s="144"/>
      <c r="F193" s="144"/>
      <c r="G193" s="144"/>
      <c r="H193" s="144"/>
      <c r="I193" s="148"/>
      <c r="J193" s="149">
        <f t="shared" si="13"/>
        <v>0</v>
      </c>
      <c r="K193" s="150">
        <f t="shared" si="14"/>
        <v>0</v>
      </c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1"/>
      <c r="AH193" s="151"/>
      <c r="AI193" s="151"/>
      <c r="AJ193" s="151"/>
      <c r="AK193" s="151"/>
      <c r="AL193" s="151"/>
      <c r="AM193" s="151"/>
      <c r="AN193" s="151"/>
      <c r="AO193" s="151"/>
      <c r="AP193" s="151"/>
      <c r="AQ193" s="151"/>
      <c r="AR193" s="151"/>
      <c r="AS193" s="151"/>
      <c r="AT193" s="152"/>
    </row>
    <row r="194" spans="1:46" x14ac:dyDescent="0.3">
      <c r="A194" s="143"/>
      <c r="B194" s="144"/>
      <c r="C194" s="145"/>
      <c r="D194" s="146"/>
      <c r="E194" s="144"/>
      <c r="F194" s="144"/>
      <c r="G194" s="144"/>
      <c r="H194" s="144"/>
      <c r="I194" s="148"/>
      <c r="J194" s="149">
        <f t="shared" si="13"/>
        <v>0</v>
      </c>
      <c r="K194" s="150">
        <f t="shared" si="14"/>
        <v>0</v>
      </c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1"/>
      <c r="AH194" s="151"/>
      <c r="AI194" s="151"/>
      <c r="AJ194" s="151"/>
      <c r="AK194" s="151"/>
      <c r="AL194" s="151"/>
      <c r="AM194" s="151"/>
      <c r="AN194" s="151"/>
      <c r="AO194" s="151"/>
      <c r="AP194" s="151"/>
      <c r="AQ194" s="151"/>
      <c r="AR194" s="151"/>
      <c r="AS194" s="151"/>
      <c r="AT194" s="152"/>
    </row>
    <row r="195" spans="1:46" x14ac:dyDescent="0.3">
      <c r="A195" s="143"/>
      <c r="B195" s="144"/>
      <c r="C195" s="145"/>
      <c r="D195" s="146"/>
      <c r="E195" s="144"/>
      <c r="F195" s="144"/>
      <c r="G195" s="144"/>
      <c r="H195" s="144"/>
      <c r="I195" s="148"/>
      <c r="J195" s="149">
        <f t="shared" si="13"/>
        <v>0</v>
      </c>
      <c r="K195" s="150">
        <f t="shared" si="14"/>
        <v>0</v>
      </c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1"/>
      <c r="AH195" s="151"/>
      <c r="AI195" s="151"/>
      <c r="AJ195" s="151"/>
      <c r="AK195" s="151"/>
      <c r="AL195" s="151"/>
      <c r="AM195" s="151"/>
      <c r="AN195" s="151"/>
      <c r="AO195" s="151"/>
      <c r="AP195" s="151"/>
      <c r="AQ195" s="151"/>
      <c r="AR195" s="151"/>
      <c r="AS195" s="151"/>
      <c r="AT195" s="152"/>
    </row>
    <row r="196" spans="1:46" x14ac:dyDescent="0.3">
      <c r="A196" s="143"/>
      <c r="B196" s="144"/>
      <c r="C196" s="145"/>
      <c r="D196" s="146"/>
      <c r="E196" s="144"/>
      <c r="F196" s="144"/>
      <c r="G196" s="144"/>
      <c r="H196" s="144"/>
      <c r="I196" s="148"/>
      <c r="J196" s="149">
        <f t="shared" si="13"/>
        <v>0</v>
      </c>
      <c r="K196" s="150">
        <f t="shared" si="14"/>
        <v>0</v>
      </c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1"/>
      <c r="AH196" s="151"/>
      <c r="AI196" s="151"/>
      <c r="AJ196" s="151"/>
      <c r="AK196" s="151"/>
      <c r="AL196" s="151"/>
      <c r="AM196" s="151"/>
      <c r="AN196" s="151"/>
      <c r="AO196" s="151"/>
      <c r="AP196" s="151"/>
      <c r="AQ196" s="151"/>
      <c r="AR196" s="151"/>
      <c r="AS196" s="151"/>
      <c r="AT196" s="152"/>
    </row>
    <row r="197" spans="1:46" x14ac:dyDescent="0.3">
      <c r="A197" s="143"/>
      <c r="B197" s="144"/>
      <c r="C197" s="145"/>
      <c r="D197" s="146"/>
      <c r="E197" s="144"/>
      <c r="F197" s="144"/>
      <c r="G197" s="144"/>
      <c r="H197" s="144"/>
      <c r="I197" s="148"/>
      <c r="J197" s="149">
        <f t="shared" si="13"/>
        <v>0</v>
      </c>
      <c r="K197" s="150">
        <f t="shared" si="14"/>
        <v>0</v>
      </c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1"/>
      <c r="AH197" s="151"/>
      <c r="AI197" s="151"/>
      <c r="AJ197" s="151"/>
      <c r="AK197" s="151"/>
      <c r="AL197" s="151"/>
      <c r="AM197" s="151"/>
      <c r="AN197" s="151"/>
      <c r="AO197" s="151"/>
      <c r="AP197" s="151"/>
      <c r="AQ197" s="151"/>
      <c r="AR197" s="151"/>
      <c r="AS197" s="151"/>
      <c r="AT197" s="152"/>
    </row>
    <row r="198" spans="1:46" x14ac:dyDescent="0.3">
      <c r="A198" s="143"/>
      <c r="B198" s="144"/>
      <c r="C198" s="145"/>
      <c r="D198" s="146"/>
      <c r="E198" s="144"/>
      <c r="F198" s="144"/>
      <c r="G198" s="144"/>
      <c r="H198" s="144"/>
      <c r="I198" s="148"/>
      <c r="J198" s="149">
        <f t="shared" si="13"/>
        <v>0</v>
      </c>
      <c r="K198" s="150">
        <f t="shared" si="14"/>
        <v>0</v>
      </c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1"/>
      <c r="AH198" s="151"/>
      <c r="AI198" s="151"/>
      <c r="AJ198" s="151"/>
      <c r="AK198" s="151"/>
      <c r="AL198" s="151"/>
      <c r="AM198" s="151"/>
      <c r="AN198" s="151"/>
      <c r="AO198" s="151"/>
      <c r="AP198" s="151"/>
      <c r="AQ198" s="151"/>
      <c r="AR198" s="151"/>
      <c r="AS198" s="151"/>
      <c r="AT198" s="152"/>
    </row>
    <row r="199" spans="1:46" x14ac:dyDescent="0.3">
      <c r="A199" s="143"/>
      <c r="B199" s="144"/>
      <c r="C199" s="145"/>
      <c r="D199" s="146"/>
      <c r="E199" s="144"/>
      <c r="F199" s="144"/>
      <c r="G199" s="144"/>
      <c r="H199" s="144"/>
      <c r="I199" s="148"/>
      <c r="J199" s="149">
        <f t="shared" si="13"/>
        <v>0</v>
      </c>
      <c r="K199" s="150">
        <f t="shared" si="14"/>
        <v>0</v>
      </c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1"/>
      <c r="AH199" s="151"/>
      <c r="AI199" s="151"/>
      <c r="AJ199" s="151"/>
      <c r="AK199" s="151"/>
      <c r="AL199" s="151"/>
      <c r="AM199" s="151"/>
      <c r="AN199" s="151"/>
      <c r="AO199" s="151"/>
      <c r="AP199" s="151"/>
      <c r="AQ199" s="151"/>
      <c r="AR199" s="151"/>
      <c r="AS199" s="151"/>
      <c r="AT199" s="152"/>
    </row>
    <row r="200" spans="1:46" x14ac:dyDescent="0.3">
      <c r="A200" s="143"/>
      <c r="B200" s="144"/>
      <c r="C200" s="145"/>
      <c r="D200" s="146"/>
      <c r="E200" s="144"/>
      <c r="F200" s="144"/>
      <c r="G200" s="144"/>
      <c r="H200" s="144"/>
      <c r="I200" s="148"/>
      <c r="J200" s="149">
        <f t="shared" si="13"/>
        <v>0</v>
      </c>
      <c r="K200" s="150">
        <f t="shared" si="14"/>
        <v>0</v>
      </c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1"/>
      <c r="AH200" s="151"/>
      <c r="AI200" s="151"/>
      <c r="AJ200" s="151"/>
      <c r="AK200" s="151"/>
      <c r="AL200" s="151"/>
      <c r="AM200" s="151"/>
      <c r="AN200" s="151"/>
      <c r="AO200" s="151"/>
      <c r="AP200" s="151"/>
      <c r="AQ200" s="151"/>
      <c r="AR200" s="151"/>
      <c r="AS200" s="151"/>
      <c r="AT200" s="152"/>
    </row>
    <row r="201" spans="1:46" x14ac:dyDescent="0.3">
      <c r="A201" s="143"/>
      <c r="B201" s="144"/>
      <c r="C201" s="145"/>
      <c r="D201" s="146"/>
      <c r="E201" s="144"/>
      <c r="F201" s="144"/>
      <c r="G201" s="144"/>
      <c r="H201" s="144"/>
      <c r="I201" s="148"/>
      <c r="J201" s="149">
        <f t="shared" si="13"/>
        <v>0</v>
      </c>
      <c r="K201" s="150">
        <f t="shared" si="14"/>
        <v>0</v>
      </c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1"/>
      <c r="AH201" s="151"/>
      <c r="AI201" s="151"/>
      <c r="AJ201" s="151"/>
      <c r="AK201" s="151"/>
      <c r="AL201" s="151"/>
      <c r="AM201" s="151"/>
      <c r="AN201" s="151"/>
      <c r="AO201" s="151"/>
      <c r="AP201" s="151"/>
      <c r="AQ201" s="151"/>
      <c r="AR201" s="151"/>
      <c r="AS201" s="151"/>
      <c r="AT201" s="152"/>
    </row>
    <row r="202" spans="1:46" x14ac:dyDescent="0.3">
      <c r="A202" s="143"/>
      <c r="B202" s="144"/>
      <c r="C202" s="145"/>
      <c r="D202" s="146"/>
      <c r="E202" s="144"/>
      <c r="F202" s="144"/>
      <c r="G202" s="144"/>
      <c r="H202" s="144"/>
      <c r="I202" s="148"/>
      <c r="J202" s="149">
        <f t="shared" si="13"/>
        <v>0</v>
      </c>
      <c r="K202" s="150">
        <f t="shared" si="14"/>
        <v>0</v>
      </c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1"/>
      <c r="AH202" s="151"/>
      <c r="AI202" s="151"/>
      <c r="AJ202" s="151"/>
      <c r="AK202" s="151"/>
      <c r="AL202" s="151"/>
      <c r="AM202" s="151"/>
      <c r="AN202" s="151"/>
      <c r="AO202" s="151"/>
      <c r="AP202" s="151"/>
      <c r="AQ202" s="151"/>
      <c r="AR202" s="151"/>
      <c r="AS202" s="151"/>
      <c r="AT202" s="152"/>
    </row>
    <row r="203" spans="1:46" x14ac:dyDescent="0.3">
      <c r="A203" s="143"/>
      <c r="B203" s="144"/>
      <c r="C203" s="145"/>
      <c r="D203" s="146"/>
      <c r="E203" s="144"/>
      <c r="F203" s="144"/>
      <c r="G203" s="144"/>
      <c r="H203" s="144"/>
      <c r="I203" s="148"/>
      <c r="J203" s="149">
        <f t="shared" si="13"/>
        <v>0</v>
      </c>
      <c r="K203" s="150">
        <f t="shared" si="14"/>
        <v>0</v>
      </c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1"/>
      <c r="AH203" s="151"/>
      <c r="AI203" s="151"/>
      <c r="AJ203" s="151"/>
      <c r="AK203" s="151"/>
      <c r="AL203" s="151"/>
      <c r="AM203" s="151"/>
      <c r="AN203" s="151"/>
      <c r="AO203" s="151"/>
      <c r="AP203" s="151"/>
      <c r="AQ203" s="151"/>
      <c r="AR203" s="151"/>
      <c r="AS203" s="151"/>
      <c r="AT203" s="152"/>
    </row>
    <row r="204" spans="1:46" x14ac:dyDescent="0.3">
      <c r="A204" s="143"/>
      <c r="B204" s="144"/>
      <c r="C204" s="145"/>
      <c r="D204" s="146"/>
      <c r="E204" s="144"/>
      <c r="F204" s="144"/>
      <c r="G204" s="144"/>
      <c r="H204" s="144"/>
      <c r="I204" s="148"/>
      <c r="J204" s="149">
        <f t="shared" si="13"/>
        <v>0</v>
      </c>
      <c r="K204" s="150">
        <f t="shared" si="14"/>
        <v>0</v>
      </c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1"/>
      <c r="AH204" s="151"/>
      <c r="AI204" s="151"/>
      <c r="AJ204" s="151"/>
      <c r="AK204" s="151"/>
      <c r="AL204" s="151"/>
      <c r="AM204" s="151"/>
      <c r="AN204" s="151"/>
      <c r="AO204" s="151"/>
      <c r="AP204" s="151"/>
      <c r="AQ204" s="151"/>
      <c r="AR204" s="151"/>
      <c r="AS204" s="151"/>
      <c r="AT204" s="152"/>
    </row>
    <row r="205" spans="1:46" x14ac:dyDescent="0.3">
      <c r="A205" s="143"/>
      <c r="B205" s="144"/>
      <c r="C205" s="145"/>
      <c r="D205" s="146"/>
      <c r="E205" s="144"/>
      <c r="F205" s="144"/>
      <c r="G205" s="144"/>
      <c r="H205" s="144"/>
      <c r="I205" s="148"/>
      <c r="J205" s="149">
        <f t="shared" si="13"/>
        <v>0</v>
      </c>
      <c r="K205" s="150">
        <f t="shared" si="14"/>
        <v>0</v>
      </c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1"/>
      <c r="AH205" s="151"/>
      <c r="AI205" s="151"/>
      <c r="AJ205" s="151"/>
      <c r="AK205" s="151"/>
      <c r="AL205" s="151"/>
      <c r="AM205" s="151"/>
      <c r="AN205" s="151"/>
      <c r="AO205" s="151"/>
      <c r="AP205" s="151"/>
      <c r="AQ205" s="151"/>
      <c r="AR205" s="151"/>
      <c r="AS205" s="151"/>
      <c r="AT205" s="152"/>
    </row>
    <row r="206" spans="1:46" x14ac:dyDescent="0.3">
      <c r="A206" s="143"/>
      <c r="B206" s="144"/>
      <c r="C206" s="145"/>
      <c r="D206" s="146"/>
      <c r="E206" s="144"/>
      <c r="F206" s="144"/>
      <c r="G206" s="144"/>
      <c r="H206" s="144"/>
      <c r="I206" s="148"/>
      <c r="J206" s="149">
        <f t="shared" si="13"/>
        <v>0</v>
      </c>
      <c r="K206" s="150">
        <f t="shared" si="14"/>
        <v>0</v>
      </c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1"/>
      <c r="AH206" s="151"/>
      <c r="AI206" s="151"/>
      <c r="AJ206" s="151"/>
      <c r="AK206" s="151"/>
      <c r="AL206" s="151"/>
      <c r="AM206" s="151"/>
      <c r="AN206" s="151"/>
      <c r="AO206" s="151"/>
      <c r="AP206" s="151"/>
      <c r="AQ206" s="151"/>
      <c r="AR206" s="151"/>
      <c r="AS206" s="151"/>
      <c r="AT206" s="152"/>
    </row>
    <row r="207" spans="1:46" x14ac:dyDescent="0.3">
      <c r="A207" s="143"/>
      <c r="B207" s="144"/>
      <c r="C207" s="145"/>
      <c r="D207" s="146"/>
      <c r="E207" s="144"/>
      <c r="F207" s="144"/>
      <c r="G207" s="144"/>
      <c r="H207" s="144"/>
      <c r="I207" s="148"/>
      <c r="J207" s="149">
        <f t="shared" si="13"/>
        <v>0</v>
      </c>
      <c r="K207" s="150">
        <f t="shared" si="14"/>
        <v>0</v>
      </c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1"/>
      <c r="AH207" s="151"/>
      <c r="AI207" s="151"/>
      <c r="AJ207" s="151"/>
      <c r="AK207" s="151"/>
      <c r="AL207" s="151"/>
      <c r="AM207" s="151"/>
      <c r="AN207" s="151"/>
      <c r="AO207" s="151"/>
      <c r="AP207" s="151"/>
      <c r="AQ207" s="151"/>
      <c r="AR207" s="151"/>
      <c r="AS207" s="151"/>
      <c r="AT207" s="152"/>
    </row>
    <row r="208" spans="1:46" x14ac:dyDescent="0.3">
      <c r="A208" s="143"/>
      <c r="B208" s="144"/>
      <c r="C208" s="145"/>
      <c r="D208" s="146"/>
      <c r="E208" s="144"/>
      <c r="F208" s="144"/>
      <c r="G208" s="144"/>
      <c r="H208" s="144"/>
      <c r="I208" s="148"/>
      <c r="J208" s="149">
        <f t="shared" ref="J208:J271" si="15">I208*K208</f>
        <v>0</v>
      </c>
      <c r="K208" s="150">
        <f t="shared" ref="K208:K271" si="16">SUM(L208:AT208)</f>
        <v>0</v>
      </c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1"/>
      <c r="AH208" s="151"/>
      <c r="AI208" s="151"/>
      <c r="AJ208" s="151"/>
      <c r="AK208" s="151"/>
      <c r="AL208" s="151"/>
      <c r="AM208" s="151"/>
      <c r="AN208" s="151"/>
      <c r="AO208" s="151"/>
      <c r="AP208" s="151"/>
      <c r="AQ208" s="151"/>
      <c r="AR208" s="151"/>
      <c r="AS208" s="151"/>
      <c r="AT208" s="152"/>
    </row>
    <row r="209" spans="1:46" x14ac:dyDescent="0.3">
      <c r="A209" s="143"/>
      <c r="B209" s="144"/>
      <c r="C209" s="145"/>
      <c r="D209" s="146"/>
      <c r="E209" s="144"/>
      <c r="F209" s="144"/>
      <c r="G209" s="144"/>
      <c r="H209" s="144"/>
      <c r="I209" s="148"/>
      <c r="J209" s="149">
        <f t="shared" si="15"/>
        <v>0</v>
      </c>
      <c r="K209" s="150">
        <f t="shared" si="16"/>
        <v>0</v>
      </c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1"/>
      <c r="AH209" s="151"/>
      <c r="AI209" s="151"/>
      <c r="AJ209" s="151"/>
      <c r="AK209" s="151"/>
      <c r="AL209" s="151"/>
      <c r="AM209" s="151"/>
      <c r="AN209" s="151"/>
      <c r="AO209" s="151"/>
      <c r="AP209" s="151"/>
      <c r="AQ209" s="151"/>
      <c r="AR209" s="151"/>
      <c r="AS209" s="151"/>
      <c r="AT209" s="152"/>
    </row>
    <row r="210" spans="1:46" x14ac:dyDescent="0.3">
      <c r="A210" s="143"/>
      <c r="B210" s="144"/>
      <c r="C210" s="145"/>
      <c r="D210" s="146"/>
      <c r="E210" s="144"/>
      <c r="F210" s="144"/>
      <c r="G210" s="144"/>
      <c r="H210" s="144"/>
      <c r="I210" s="148"/>
      <c r="J210" s="149">
        <f t="shared" si="15"/>
        <v>0</v>
      </c>
      <c r="K210" s="150">
        <f t="shared" si="16"/>
        <v>0</v>
      </c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1"/>
      <c r="AH210" s="151"/>
      <c r="AI210" s="151"/>
      <c r="AJ210" s="151"/>
      <c r="AK210" s="151"/>
      <c r="AL210" s="151"/>
      <c r="AM210" s="151"/>
      <c r="AN210" s="151"/>
      <c r="AO210" s="151"/>
      <c r="AP210" s="151"/>
      <c r="AQ210" s="151"/>
      <c r="AR210" s="151"/>
      <c r="AS210" s="151"/>
      <c r="AT210" s="152"/>
    </row>
    <row r="211" spans="1:46" x14ac:dyDescent="0.3">
      <c r="A211" s="143"/>
      <c r="B211" s="144"/>
      <c r="C211" s="145"/>
      <c r="D211" s="146"/>
      <c r="E211" s="144"/>
      <c r="F211" s="144"/>
      <c r="G211" s="144"/>
      <c r="H211" s="144"/>
      <c r="I211" s="148"/>
      <c r="J211" s="149">
        <f t="shared" si="15"/>
        <v>0</v>
      </c>
      <c r="K211" s="150">
        <f t="shared" si="16"/>
        <v>0</v>
      </c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1"/>
      <c r="AH211" s="151"/>
      <c r="AI211" s="151"/>
      <c r="AJ211" s="151"/>
      <c r="AK211" s="151"/>
      <c r="AL211" s="151"/>
      <c r="AM211" s="151"/>
      <c r="AN211" s="151"/>
      <c r="AO211" s="151"/>
      <c r="AP211" s="151"/>
      <c r="AQ211" s="151"/>
      <c r="AR211" s="151"/>
      <c r="AS211" s="151"/>
      <c r="AT211" s="152"/>
    </row>
    <row r="212" spans="1:46" x14ac:dyDescent="0.3">
      <c r="A212" s="143"/>
      <c r="B212" s="144"/>
      <c r="C212" s="145"/>
      <c r="D212" s="146"/>
      <c r="E212" s="144"/>
      <c r="F212" s="144"/>
      <c r="G212" s="144"/>
      <c r="H212" s="144"/>
      <c r="I212" s="148"/>
      <c r="J212" s="149">
        <f t="shared" si="15"/>
        <v>0</v>
      </c>
      <c r="K212" s="150">
        <f t="shared" si="16"/>
        <v>0</v>
      </c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1"/>
      <c r="AH212" s="151"/>
      <c r="AI212" s="151"/>
      <c r="AJ212" s="151"/>
      <c r="AK212" s="151"/>
      <c r="AL212" s="151"/>
      <c r="AM212" s="151"/>
      <c r="AN212" s="151"/>
      <c r="AO212" s="151"/>
      <c r="AP212" s="151"/>
      <c r="AQ212" s="151"/>
      <c r="AR212" s="151"/>
      <c r="AS212" s="151"/>
      <c r="AT212" s="152"/>
    </row>
    <row r="213" spans="1:46" x14ac:dyDescent="0.3">
      <c r="A213" s="143"/>
      <c r="B213" s="144"/>
      <c r="C213" s="145"/>
      <c r="D213" s="146"/>
      <c r="E213" s="144"/>
      <c r="F213" s="144"/>
      <c r="G213" s="144"/>
      <c r="H213" s="144"/>
      <c r="I213" s="148"/>
      <c r="J213" s="149">
        <f t="shared" si="15"/>
        <v>0</v>
      </c>
      <c r="K213" s="150">
        <f t="shared" si="16"/>
        <v>0</v>
      </c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1"/>
      <c r="AH213" s="151"/>
      <c r="AI213" s="151"/>
      <c r="AJ213" s="151"/>
      <c r="AK213" s="151"/>
      <c r="AL213" s="151"/>
      <c r="AM213" s="151"/>
      <c r="AN213" s="151"/>
      <c r="AO213" s="151"/>
      <c r="AP213" s="151"/>
      <c r="AQ213" s="151"/>
      <c r="AR213" s="151"/>
      <c r="AS213" s="151"/>
      <c r="AT213" s="152"/>
    </row>
    <row r="214" spans="1:46" x14ac:dyDescent="0.3">
      <c r="A214" s="143"/>
      <c r="B214" s="144"/>
      <c r="C214" s="145"/>
      <c r="D214" s="146"/>
      <c r="E214" s="144"/>
      <c r="F214" s="144"/>
      <c r="G214" s="144"/>
      <c r="H214" s="144"/>
      <c r="I214" s="148"/>
      <c r="J214" s="149">
        <f t="shared" si="15"/>
        <v>0</v>
      </c>
      <c r="K214" s="150">
        <f t="shared" si="16"/>
        <v>0</v>
      </c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1"/>
      <c r="AH214" s="151"/>
      <c r="AI214" s="151"/>
      <c r="AJ214" s="151"/>
      <c r="AK214" s="151"/>
      <c r="AL214" s="151"/>
      <c r="AM214" s="151"/>
      <c r="AN214" s="151"/>
      <c r="AO214" s="151"/>
      <c r="AP214" s="151"/>
      <c r="AQ214" s="151"/>
      <c r="AR214" s="151"/>
      <c r="AS214" s="151"/>
      <c r="AT214" s="152"/>
    </row>
    <row r="215" spans="1:46" x14ac:dyDescent="0.3">
      <c r="A215" s="143"/>
      <c r="B215" s="144"/>
      <c r="C215" s="145"/>
      <c r="D215" s="146"/>
      <c r="E215" s="144"/>
      <c r="F215" s="144"/>
      <c r="G215" s="144"/>
      <c r="H215" s="144"/>
      <c r="I215" s="148"/>
      <c r="J215" s="149">
        <f t="shared" si="15"/>
        <v>0</v>
      </c>
      <c r="K215" s="150">
        <f t="shared" si="16"/>
        <v>0</v>
      </c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1"/>
      <c r="AH215" s="151"/>
      <c r="AI215" s="151"/>
      <c r="AJ215" s="151"/>
      <c r="AK215" s="151"/>
      <c r="AL215" s="151"/>
      <c r="AM215" s="151"/>
      <c r="AN215" s="151"/>
      <c r="AO215" s="151"/>
      <c r="AP215" s="151"/>
      <c r="AQ215" s="151"/>
      <c r="AR215" s="151"/>
      <c r="AS215" s="151"/>
      <c r="AT215" s="152"/>
    </row>
    <row r="216" spans="1:46" x14ac:dyDescent="0.3">
      <c r="A216" s="143"/>
      <c r="B216" s="144"/>
      <c r="C216" s="145"/>
      <c r="D216" s="146"/>
      <c r="E216" s="144"/>
      <c r="F216" s="144"/>
      <c r="G216" s="144"/>
      <c r="H216" s="144"/>
      <c r="I216" s="148"/>
      <c r="J216" s="149">
        <f t="shared" si="15"/>
        <v>0</v>
      </c>
      <c r="K216" s="150">
        <f t="shared" si="16"/>
        <v>0</v>
      </c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1"/>
      <c r="AH216" s="151"/>
      <c r="AI216" s="151"/>
      <c r="AJ216" s="151"/>
      <c r="AK216" s="151"/>
      <c r="AL216" s="151"/>
      <c r="AM216" s="151"/>
      <c r="AN216" s="151"/>
      <c r="AO216" s="151"/>
      <c r="AP216" s="151"/>
      <c r="AQ216" s="151"/>
      <c r="AR216" s="151"/>
      <c r="AS216" s="151"/>
      <c r="AT216" s="152"/>
    </row>
    <row r="217" spans="1:46" x14ac:dyDescent="0.3">
      <c r="A217" s="143"/>
      <c r="B217" s="144"/>
      <c r="C217" s="145"/>
      <c r="D217" s="146"/>
      <c r="E217" s="144"/>
      <c r="F217" s="144"/>
      <c r="G217" s="144"/>
      <c r="H217" s="144"/>
      <c r="I217" s="148"/>
      <c r="J217" s="149">
        <f t="shared" si="15"/>
        <v>0</v>
      </c>
      <c r="K217" s="150">
        <f t="shared" si="16"/>
        <v>0</v>
      </c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1"/>
      <c r="AH217" s="151"/>
      <c r="AI217" s="151"/>
      <c r="AJ217" s="151"/>
      <c r="AK217" s="151"/>
      <c r="AL217" s="151"/>
      <c r="AM217" s="151"/>
      <c r="AN217" s="151"/>
      <c r="AO217" s="151"/>
      <c r="AP217" s="151"/>
      <c r="AQ217" s="151"/>
      <c r="AR217" s="151"/>
      <c r="AS217" s="151"/>
      <c r="AT217" s="152"/>
    </row>
    <row r="218" spans="1:46" x14ac:dyDescent="0.3">
      <c r="A218" s="143"/>
      <c r="B218" s="144"/>
      <c r="C218" s="145"/>
      <c r="D218" s="146"/>
      <c r="E218" s="144"/>
      <c r="F218" s="144"/>
      <c r="G218" s="144"/>
      <c r="H218" s="144"/>
      <c r="I218" s="148"/>
      <c r="J218" s="149">
        <f t="shared" si="15"/>
        <v>0</v>
      </c>
      <c r="K218" s="150">
        <f t="shared" si="16"/>
        <v>0</v>
      </c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1"/>
      <c r="AH218" s="151"/>
      <c r="AI218" s="151"/>
      <c r="AJ218" s="151"/>
      <c r="AK218" s="151"/>
      <c r="AL218" s="151"/>
      <c r="AM218" s="151"/>
      <c r="AN218" s="151"/>
      <c r="AO218" s="151"/>
      <c r="AP218" s="151"/>
      <c r="AQ218" s="151"/>
      <c r="AR218" s="151"/>
      <c r="AS218" s="151"/>
      <c r="AT218" s="152"/>
    </row>
    <row r="219" spans="1:46" x14ac:dyDescent="0.3">
      <c r="A219" s="143"/>
      <c r="B219" s="144"/>
      <c r="C219" s="145"/>
      <c r="D219" s="146"/>
      <c r="E219" s="144"/>
      <c r="F219" s="144"/>
      <c r="G219" s="144"/>
      <c r="H219" s="144"/>
      <c r="I219" s="148"/>
      <c r="J219" s="149">
        <f t="shared" si="15"/>
        <v>0</v>
      </c>
      <c r="K219" s="150">
        <f t="shared" si="16"/>
        <v>0</v>
      </c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1"/>
      <c r="AH219" s="151"/>
      <c r="AI219" s="151"/>
      <c r="AJ219" s="151"/>
      <c r="AK219" s="151"/>
      <c r="AL219" s="151"/>
      <c r="AM219" s="151"/>
      <c r="AN219" s="151"/>
      <c r="AO219" s="151"/>
      <c r="AP219" s="151"/>
      <c r="AQ219" s="151"/>
      <c r="AR219" s="151"/>
      <c r="AS219" s="151"/>
      <c r="AT219" s="152"/>
    </row>
    <row r="220" spans="1:46" x14ac:dyDescent="0.3">
      <c r="A220" s="143"/>
      <c r="B220" s="144"/>
      <c r="C220" s="145"/>
      <c r="D220" s="146"/>
      <c r="E220" s="144"/>
      <c r="F220" s="144"/>
      <c r="G220" s="144"/>
      <c r="H220" s="144"/>
      <c r="I220" s="148"/>
      <c r="J220" s="149">
        <f t="shared" si="15"/>
        <v>0</v>
      </c>
      <c r="K220" s="150">
        <f t="shared" si="16"/>
        <v>0</v>
      </c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1"/>
      <c r="AH220" s="151"/>
      <c r="AI220" s="151"/>
      <c r="AJ220" s="151"/>
      <c r="AK220" s="151"/>
      <c r="AL220" s="151"/>
      <c r="AM220" s="151"/>
      <c r="AN220" s="151"/>
      <c r="AO220" s="151"/>
      <c r="AP220" s="151"/>
      <c r="AQ220" s="151"/>
      <c r="AR220" s="151"/>
      <c r="AS220" s="151"/>
      <c r="AT220" s="152"/>
    </row>
    <row r="221" spans="1:46" x14ac:dyDescent="0.3">
      <c r="A221" s="143"/>
      <c r="B221" s="144"/>
      <c r="C221" s="145"/>
      <c r="D221" s="146"/>
      <c r="E221" s="144"/>
      <c r="F221" s="144"/>
      <c r="G221" s="144"/>
      <c r="H221" s="144"/>
      <c r="I221" s="148"/>
      <c r="J221" s="149">
        <f t="shared" si="15"/>
        <v>0</v>
      </c>
      <c r="K221" s="150">
        <f t="shared" si="16"/>
        <v>0</v>
      </c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1"/>
      <c r="AH221" s="151"/>
      <c r="AI221" s="151"/>
      <c r="AJ221" s="151"/>
      <c r="AK221" s="151"/>
      <c r="AL221" s="151"/>
      <c r="AM221" s="151"/>
      <c r="AN221" s="151"/>
      <c r="AO221" s="151"/>
      <c r="AP221" s="151"/>
      <c r="AQ221" s="151"/>
      <c r="AR221" s="151"/>
      <c r="AS221" s="151"/>
      <c r="AT221" s="152"/>
    </row>
    <row r="222" spans="1:46" x14ac:dyDescent="0.3">
      <c r="A222" s="143"/>
      <c r="B222" s="144"/>
      <c r="C222" s="145"/>
      <c r="D222" s="146"/>
      <c r="E222" s="144"/>
      <c r="F222" s="144"/>
      <c r="G222" s="144"/>
      <c r="H222" s="144"/>
      <c r="I222" s="148"/>
      <c r="J222" s="149">
        <f t="shared" si="15"/>
        <v>0</v>
      </c>
      <c r="K222" s="150">
        <f t="shared" si="16"/>
        <v>0</v>
      </c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1"/>
      <c r="AH222" s="151"/>
      <c r="AI222" s="151"/>
      <c r="AJ222" s="151"/>
      <c r="AK222" s="151"/>
      <c r="AL222" s="151"/>
      <c r="AM222" s="151"/>
      <c r="AN222" s="151"/>
      <c r="AO222" s="151"/>
      <c r="AP222" s="151"/>
      <c r="AQ222" s="151"/>
      <c r="AR222" s="151"/>
      <c r="AS222" s="151"/>
      <c r="AT222" s="152"/>
    </row>
    <row r="223" spans="1:46" x14ac:dyDescent="0.3">
      <c r="A223" s="143"/>
      <c r="B223" s="144"/>
      <c r="C223" s="145"/>
      <c r="D223" s="146"/>
      <c r="E223" s="144"/>
      <c r="F223" s="144"/>
      <c r="G223" s="144"/>
      <c r="H223" s="144"/>
      <c r="I223" s="148"/>
      <c r="J223" s="149">
        <f t="shared" si="15"/>
        <v>0</v>
      </c>
      <c r="K223" s="150">
        <f t="shared" si="16"/>
        <v>0</v>
      </c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1"/>
      <c r="AH223" s="151"/>
      <c r="AI223" s="151"/>
      <c r="AJ223" s="151"/>
      <c r="AK223" s="151"/>
      <c r="AL223" s="151"/>
      <c r="AM223" s="151"/>
      <c r="AN223" s="151"/>
      <c r="AO223" s="151"/>
      <c r="AP223" s="151"/>
      <c r="AQ223" s="151"/>
      <c r="AR223" s="151"/>
      <c r="AS223" s="151"/>
      <c r="AT223" s="152"/>
    </row>
    <row r="224" spans="1:46" x14ac:dyDescent="0.3">
      <c r="A224" s="143"/>
      <c r="B224" s="144"/>
      <c r="C224" s="145"/>
      <c r="D224" s="146"/>
      <c r="E224" s="144"/>
      <c r="F224" s="144"/>
      <c r="G224" s="144"/>
      <c r="H224" s="144"/>
      <c r="I224" s="148"/>
      <c r="J224" s="149">
        <f t="shared" si="15"/>
        <v>0</v>
      </c>
      <c r="K224" s="150">
        <f t="shared" si="16"/>
        <v>0</v>
      </c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1"/>
      <c r="AH224" s="151"/>
      <c r="AI224" s="151"/>
      <c r="AJ224" s="151"/>
      <c r="AK224" s="151"/>
      <c r="AL224" s="151"/>
      <c r="AM224" s="151"/>
      <c r="AN224" s="151"/>
      <c r="AO224" s="151"/>
      <c r="AP224" s="151"/>
      <c r="AQ224" s="151"/>
      <c r="AR224" s="151"/>
      <c r="AS224" s="151"/>
      <c r="AT224" s="152"/>
    </row>
    <row r="225" spans="1:46" x14ac:dyDescent="0.3">
      <c r="A225" s="143"/>
      <c r="B225" s="144"/>
      <c r="C225" s="145"/>
      <c r="D225" s="146"/>
      <c r="E225" s="144"/>
      <c r="F225" s="144"/>
      <c r="G225" s="144"/>
      <c r="H225" s="144"/>
      <c r="I225" s="148"/>
      <c r="J225" s="149">
        <f t="shared" si="15"/>
        <v>0</v>
      </c>
      <c r="K225" s="150">
        <f t="shared" si="16"/>
        <v>0</v>
      </c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1"/>
      <c r="AH225" s="151"/>
      <c r="AI225" s="151"/>
      <c r="AJ225" s="151"/>
      <c r="AK225" s="151"/>
      <c r="AL225" s="151"/>
      <c r="AM225" s="151"/>
      <c r="AN225" s="151"/>
      <c r="AO225" s="151"/>
      <c r="AP225" s="151"/>
      <c r="AQ225" s="151"/>
      <c r="AR225" s="151"/>
      <c r="AS225" s="151"/>
      <c r="AT225" s="152"/>
    </row>
    <row r="226" spans="1:46" x14ac:dyDescent="0.3">
      <c r="A226" s="143"/>
      <c r="B226" s="144"/>
      <c r="C226" s="145"/>
      <c r="D226" s="146"/>
      <c r="E226" s="144"/>
      <c r="F226" s="144"/>
      <c r="G226" s="144"/>
      <c r="H226" s="144"/>
      <c r="I226" s="148"/>
      <c r="J226" s="149">
        <f t="shared" si="15"/>
        <v>0</v>
      </c>
      <c r="K226" s="150">
        <f t="shared" si="16"/>
        <v>0</v>
      </c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1"/>
      <c r="AH226" s="151"/>
      <c r="AI226" s="151"/>
      <c r="AJ226" s="151"/>
      <c r="AK226" s="151"/>
      <c r="AL226" s="151"/>
      <c r="AM226" s="151"/>
      <c r="AN226" s="151"/>
      <c r="AO226" s="151"/>
      <c r="AP226" s="151"/>
      <c r="AQ226" s="151"/>
      <c r="AR226" s="151"/>
      <c r="AS226" s="151"/>
      <c r="AT226" s="152"/>
    </row>
    <row r="227" spans="1:46" x14ac:dyDescent="0.3">
      <c r="A227" s="143"/>
      <c r="B227" s="144"/>
      <c r="C227" s="145"/>
      <c r="D227" s="146"/>
      <c r="E227" s="144"/>
      <c r="F227" s="144"/>
      <c r="G227" s="144"/>
      <c r="H227" s="144"/>
      <c r="I227" s="148"/>
      <c r="J227" s="149">
        <f t="shared" si="15"/>
        <v>0</v>
      </c>
      <c r="K227" s="150">
        <f t="shared" si="16"/>
        <v>0</v>
      </c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1"/>
      <c r="AH227" s="151"/>
      <c r="AI227" s="151"/>
      <c r="AJ227" s="151"/>
      <c r="AK227" s="151"/>
      <c r="AL227" s="151"/>
      <c r="AM227" s="151"/>
      <c r="AN227" s="151"/>
      <c r="AO227" s="151"/>
      <c r="AP227" s="151"/>
      <c r="AQ227" s="151"/>
      <c r="AR227" s="151"/>
      <c r="AS227" s="151"/>
      <c r="AT227" s="152"/>
    </row>
    <row r="228" spans="1:46" x14ac:dyDescent="0.3">
      <c r="A228" s="143"/>
      <c r="B228" s="144"/>
      <c r="C228" s="145"/>
      <c r="D228" s="146"/>
      <c r="E228" s="144"/>
      <c r="F228" s="144"/>
      <c r="G228" s="144"/>
      <c r="H228" s="144"/>
      <c r="I228" s="148"/>
      <c r="J228" s="149">
        <f t="shared" si="15"/>
        <v>0</v>
      </c>
      <c r="K228" s="150">
        <f t="shared" si="16"/>
        <v>0</v>
      </c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1"/>
      <c r="AH228" s="151"/>
      <c r="AI228" s="151"/>
      <c r="AJ228" s="151"/>
      <c r="AK228" s="151"/>
      <c r="AL228" s="151"/>
      <c r="AM228" s="151"/>
      <c r="AN228" s="151"/>
      <c r="AO228" s="151"/>
      <c r="AP228" s="151"/>
      <c r="AQ228" s="151"/>
      <c r="AR228" s="151"/>
      <c r="AS228" s="151"/>
      <c r="AT228" s="152"/>
    </row>
    <row r="229" spans="1:46" x14ac:dyDescent="0.3">
      <c r="A229" s="143"/>
      <c r="B229" s="144"/>
      <c r="C229" s="145"/>
      <c r="D229" s="146"/>
      <c r="E229" s="144"/>
      <c r="F229" s="144"/>
      <c r="G229" s="144"/>
      <c r="H229" s="144"/>
      <c r="I229" s="148"/>
      <c r="J229" s="149">
        <f t="shared" si="15"/>
        <v>0</v>
      </c>
      <c r="K229" s="150">
        <f t="shared" si="16"/>
        <v>0</v>
      </c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1"/>
      <c r="AH229" s="151"/>
      <c r="AI229" s="151"/>
      <c r="AJ229" s="151"/>
      <c r="AK229" s="151"/>
      <c r="AL229" s="151"/>
      <c r="AM229" s="151"/>
      <c r="AN229" s="151"/>
      <c r="AO229" s="151"/>
      <c r="AP229" s="151"/>
      <c r="AQ229" s="151"/>
      <c r="AR229" s="151"/>
      <c r="AS229" s="151"/>
      <c r="AT229" s="152"/>
    </row>
    <row r="230" spans="1:46" x14ac:dyDescent="0.3">
      <c r="A230" s="143"/>
      <c r="B230" s="144"/>
      <c r="C230" s="145"/>
      <c r="D230" s="146"/>
      <c r="E230" s="144"/>
      <c r="F230" s="144"/>
      <c r="G230" s="144"/>
      <c r="H230" s="144"/>
      <c r="I230" s="148"/>
      <c r="J230" s="149">
        <f t="shared" si="15"/>
        <v>0</v>
      </c>
      <c r="K230" s="150">
        <f t="shared" si="16"/>
        <v>0</v>
      </c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1"/>
      <c r="AH230" s="151"/>
      <c r="AI230" s="151"/>
      <c r="AJ230" s="151"/>
      <c r="AK230" s="151"/>
      <c r="AL230" s="151"/>
      <c r="AM230" s="151"/>
      <c r="AN230" s="151"/>
      <c r="AO230" s="151"/>
      <c r="AP230" s="151"/>
      <c r="AQ230" s="151"/>
      <c r="AR230" s="151"/>
      <c r="AS230" s="151"/>
      <c r="AT230" s="152"/>
    </row>
    <row r="231" spans="1:46" x14ac:dyDescent="0.3">
      <c r="A231" s="143"/>
      <c r="B231" s="144"/>
      <c r="C231" s="145"/>
      <c r="D231" s="146"/>
      <c r="E231" s="144"/>
      <c r="F231" s="144"/>
      <c r="G231" s="144"/>
      <c r="H231" s="144"/>
      <c r="I231" s="148"/>
      <c r="J231" s="149">
        <f t="shared" si="15"/>
        <v>0</v>
      </c>
      <c r="K231" s="150">
        <f t="shared" si="16"/>
        <v>0</v>
      </c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1"/>
      <c r="AH231" s="151"/>
      <c r="AI231" s="151"/>
      <c r="AJ231" s="151"/>
      <c r="AK231" s="151"/>
      <c r="AL231" s="151"/>
      <c r="AM231" s="151"/>
      <c r="AN231" s="151"/>
      <c r="AO231" s="151"/>
      <c r="AP231" s="151"/>
      <c r="AQ231" s="151"/>
      <c r="AR231" s="151"/>
      <c r="AS231" s="151"/>
      <c r="AT231" s="152"/>
    </row>
    <row r="232" spans="1:46" x14ac:dyDescent="0.3">
      <c r="A232" s="143"/>
      <c r="B232" s="144"/>
      <c r="C232" s="145"/>
      <c r="D232" s="146"/>
      <c r="E232" s="144"/>
      <c r="F232" s="144"/>
      <c r="G232" s="144"/>
      <c r="H232" s="144"/>
      <c r="I232" s="148"/>
      <c r="J232" s="149">
        <f t="shared" si="15"/>
        <v>0</v>
      </c>
      <c r="K232" s="150">
        <f t="shared" si="16"/>
        <v>0</v>
      </c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1"/>
      <c r="AH232" s="151"/>
      <c r="AI232" s="151"/>
      <c r="AJ232" s="151"/>
      <c r="AK232" s="151"/>
      <c r="AL232" s="151"/>
      <c r="AM232" s="151"/>
      <c r="AN232" s="151"/>
      <c r="AO232" s="151"/>
      <c r="AP232" s="151"/>
      <c r="AQ232" s="151"/>
      <c r="AR232" s="151"/>
      <c r="AS232" s="151"/>
      <c r="AT232" s="152"/>
    </row>
    <row r="233" spans="1:46" x14ac:dyDescent="0.3">
      <c r="A233" s="143"/>
      <c r="B233" s="144"/>
      <c r="C233" s="145"/>
      <c r="D233" s="146"/>
      <c r="E233" s="144"/>
      <c r="F233" s="144"/>
      <c r="G233" s="144"/>
      <c r="H233" s="144"/>
      <c r="I233" s="148"/>
      <c r="J233" s="149">
        <f t="shared" si="15"/>
        <v>0</v>
      </c>
      <c r="K233" s="150">
        <f t="shared" si="16"/>
        <v>0</v>
      </c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1"/>
      <c r="AH233" s="151"/>
      <c r="AI233" s="151"/>
      <c r="AJ233" s="151"/>
      <c r="AK233" s="151"/>
      <c r="AL233" s="151"/>
      <c r="AM233" s="151"/>
      <c r="AN233" s="151"/>
      <c r="AO233" s="151"/>
      <c r="AP233" s="151"/>
      <c r="AQ233" s="151"/>
      <c r="AR233" s="151"/>
      <c r="AS233" s="151"/>
      <c r="AT233" s="152"/>
    </row>
    <row r="234" spans="1:46" x14ac:dyDescent="0.3">
      <c r="A234" s="143"/>
      <c r="B234" s="144"/>
      <c r="C234" s="145"/>
      <c r="D234" s="146"/>
      <c r="E234" s="144"/>
      <c r="F234" s="144"/>
      <c r="G234" s="144"/>
      <c r="H234" s="144"/>
      <c r="I234" s="148"/>
      <c r="J234" s="149">
        <f t="shared" si="15"/>
        <v>0</v>
      </c>
      <c r="K234" s="150">
        <f t="shared" si="16"/>
        <v>0</v>
      </c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1"/>
      <c r="AH234" s="151"/>
      <c r="AI234" s="151"/>
      <c r="AJ234" s="151"/>
      <c r="AK234" s="151"/>
      <c r="AL234" s="151"/>
      <c r="AM234" s="151"/>
      <c r="AN234" s="151"/>
      <c r="AO234" s="151"/>
      <c r="AP234" s="151"/>
      <c r="AQ234" s="151"/>
      <c r="AR234" s="151"/>
      <c r="AS234" s="151"/>
      <c r="AT234" s="152"/>
    </row>
    <row r="235" spans="1:46" x14ac:dyDescent="0.3">
      <c r="A235" s="143"/>
      <c r="B235" s="144"/>
      <c r="C235" s="145"/>
      <c r="D235" s="146"/>
      <c r="E235" s="144"/>
      <c r="F235" s="144"/>
      <c r="G235" s="144"/>
      <c r="H235" s="144"/>
      <c r="I235" s="148"/>
      <c r="J235" s="149">
        <f t="shared" si="15"/>
        <v>0</v>
      </c>
      <c r="K235" s="150">
        <f t="shared" si="16"/>
        <v>0</v>
      </c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1"/>
      <c r="AH235" s="151"/>
      <c r="AI235" s="151"/>
      <c r="AJ235" s="151"/>
      <c r="AK235" s="151"/>
      <c r="AL235" s="151"/>
      <c r="AM235" s="151"/>
      <c r="AN235" s="151"/>
      <c r="AO235" s="151"/>
      <c r="AP235" s="151"/>
      <c r="AQ235" s="151"/>
      <c r="AR235" s="151"/>
      <c r="AS235" s="151"/>
      <c r="AT235" s="152"/>
    </row>
    <row r="236" spans="1:46" x14ac:dyDescent="0.3">
      <c r="A236" s="143"/>
      <c r="B236" s="144"/>
      <c r="C236" s="145"/>
      <c r="D236" s="146"/>
      <c r="E236" s="144"/>
      <c r="F236" s="144"/>
      <c r="G236" s="144"/>
      <c r="H236" s="144"/>
      <c r="I236" s="148"/>
      <c r="J236" s="149">
        <f t="shared" si="15"/>
        <v>0</v>
      </c>
      <c r="K236" s="150">
        <f t="shared" si="16"/>
        <v>0</v>
      </c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1"/>
      <c r="AH236" s="151"/>
      <c r="AI236" s="151"/>
      <c r="AJ236" s="151"/>
      <c r="AK236" s="151"/>
      <c r="AL236" s="151"/>
      <c r="AM236" s="151"/>
      <c r="AN236" s="151"/>
      <c r="AO236" s="151"/>
      <c r="AP236" s="151"/>
      <c r="AQ236" s="151"/>
      <c r="AR236" s="151"/>
      <c r="AS236" s="151"/>
      <c r="AT236" s="152"/>
    </row>
    <row r="237" spans="1:46" x14ac:dyDescent="0.3">
      <c r="A237" s="143"/>
      <c r="B237" s="144"/>
      <c r="C237" s="145"/>
      <c r="D237" s="146"/>
      <c r="E237" s="144"/>
      <c r="F237" s="144"/>
      <c r="G237" s="144"/>
      <c r="H237" s="144"/>
      <c r="I237" s="148"/>
      <c r="J237" s="149">
        <f t="shared" si="15"/>
        <v>0</v>
      </c>
      <c r="K237" s="150">
        <f t="shared" si="16"/>
        <v>0</v>
      </c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1"/>
      <c r="AH237" s="151"/>
      <c r="AI237" s="151"/>
      <c r="AJ237" s="151"/>
      <c r="AK237" s="151"/>
      <c r="AL237" s="151"/>
      <c r="AM237" s="151"/>
      <c r="AN237" s="151"/>
      <c r="AO237" s="151"/>
      <c r="AP237" s="151"/>
      <c r="AQ237" s="151"/>
      <c r="AR237" s="151"/>
      <c r="AS237" s="151"/>
      <c r="AT237" s="152"/>
    </row>
    <row r="238" spans="1:46" x14ac:dyDescent="0.3">
      <c r="A238" s="143"/>
      <c r="B238" s="144"/>
      <c r="C238" s="145"/>
      <c r="D238" s="146"/>
      <c r="E238" s="144"/>
      <c r="F238" s="144"/>
      <c r="G238" s="144"/>
      <c r="H238" s="144"/>
      <c r="I238" s="148"/>
      <c r="J238" s="149">
        <f t="shared" si="15"/>
        <v>0</v>
      </c>
      <c r="K238" s="150">
        <f t="shared" si="16"/>
        <v>0</v>
      </c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1"/>
      <c r="AH238" s="151"/>
      <c r="AI238" s="151"/>
      <c r="AJ238" s="151"/>
      <c r="AK238" s="151"/>
      <c r="AL238" s="151"/>
      <c r="AM238" s="151"/>
      <c r="AN238" s="151"/>
      <c r="AO238" s="151"/>
      <c r="AP238" s="151"/>
      <c r="AQ238" s="151"/>
      <c r="AR238" s="151"/>
      <c r="AS238" s="151"/>
      <c r="AT238" s="152"/>
    </row>
    <row r="239" spans="1:46" x14ac:dyDescent="0.3">
      <c r="A239" s="143"/>
      <c r="B239" s="144"/>
      <c r="C239" s="145"/>
      <c r="D239" s="146"/>
      <c r="E239" s="144"/>
      <c r="F239" s="144"/>
      <c r="G239" s="144"/>
      <c r="H239" s="144"/>
      <c r="I239" s="148"/>
      <c r="J239" s="149">
        <f t="shared" si="15"/>
        <v>0</v>
      </c>
      <c r="K239" s="150">
        <f t="shared" si="16"/>
        <v>0</v>
      </c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1"/>
      <c r="AH239" s="151"/>
      <c r="AI239" s="151"/>
      <c r="AJ239" s="151"/>
      <c r="AK239" s="151"/>
      <c r="AL239" s="151"/>
      <c r="AM239" s="151"/>
      <c r="AN239" s="151"/>
      <c r="AO239" s="151"/>
      <c r="AP239" s="151"/>
      <c r="AQ239" s="151"/>
      <c r="AR239" s="151"/>
      <c r="AS239" s="151"/>
      <c r="AT239" s="152"/>
    </row>
    <row r="240" spans="1:46" x14ac:dyDescent="0.3">
      <c r="A240" s="143"/>
      <c r="B240" s="144"/>
      <c r="C240" s="145"/>
      <c r="D240" s="146"/>
      <c r="E240" s="144"/>
      <c r="F240" s="144"/>
      <c r="G240" s="144"/>
      <c r="H240" s="144"/>
      <c r="I240" s="148"/>
      <c r="J240" s="149">
        <f t="shared" si="15"/>
        <v>0</v>
      </c>
      <c r="K240" s="150">
        <f t="shared" si="16"/>
        <v>0</v>
      </c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1"/>
      <c r="AH240" s="151"/>
      <c r="AI240" s="151"/>
      <c r="AJ240" s="151"/>
      <c r="AK240" s="151"/>
      <c r="AL240" s="151"/>
      <c r="AM240" s="151"/>
      <c r="AN240" s="151"/>
      <c r="AO240" s="151"/>
      <c r="AP240" s="151"/>
      <c r="AQ240" s="151"/>
      <c r="AR240" s="151"/>
      <c r="AS240" s="151"/>
      <c r="AT240" s="152"/>
    </row>
    <row r="241" spans="1:46" x14ac:dyDescent="0.3">
      <c r="A241" s="143"/>
      <c r="B241" s="144"/>
      <c r="C241" s="145"/>
      <c r="D241" s="146"/>
      <c r="E241" s="144"/>
      <c r="F241" s="144"/>
      <c r="G241" s="144"/>
      <c r="H241" s="144"/>
      <c r="I241" s="148"/>
      <c r="J241" s="149">
        <f t="shared" si="15"/>
        <v>0</v>
      </c>
      <c r="K241" s="150">
        <f t="shared" si="16"/>
        <v>0</v>
      </c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1"/>
      <c r="AH241" s="151"/>
      <c r="AI241" s="151"/>
      <c r="AJ241" s="151"/>
      <c r="AK241" s="151"/>
      <c r="AL241" s="151"/>
      <c r="AM241" s="151"/>
      <c r="AN241" s="151"/>
      <c r="AO241" s="151"/>
      <c r="AP241" s="151"/>
      <c r="AQ241" s="151"/>
      <c r="AR241" s="151"/>
      <c r="AS241" s="151"/>
      <c r="AT241" s="152"/>
    </row>
    <row r="242" spans="1:46" x14ac:dyDescent="0.3">
      <c r="A242" s="143"/>
      <c r="B242" s="144"/>
      <c r="C242" s="145"/>
      <c r="D242" s="146"/>
      <c r="E242" s="144"/>
      <c r="F242" s="144"/>
      <c r="G242" s="144"/>
      <c r="H242" s="144"/>
      <c r="I242" s="148"/>
      <c r="J242" s="149">
        <f t="shared" si="15"/>
        <v>0</v>
      </c>
      <c r="K242" s="150">
        <f t="shared" si="16"/>
        <v>0</v>
      </c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1"/>
      <c r="AH242" s="151"/>
      <c r="AI242" s="151"/>
      <c r="AJ242" s="151"/>
      <c r="AK242" s="151"/>
      <c r="AL242" s="151"/>
      <c r="AM242" s="151"/>
      <c r="AN242" s="151"/>
      <c r="AO242" s="151"/>
      <c r="AP242" s="151"/>
      <c r="AQ242" s="151"/>
      <c r="AR242" s="151"/>
      <c r="AS242" s="151"/>
      <c r="AT242" s="152"/>
    </row>
    <row r="243" spans="1:46" x14ac:dyDescent="0.3">
      <c r="A243" s="143"/>
      <c r="B243" s="144"/>
      <c r="C243" s="145"/>
      <c r="D243" s="146"/>
      <c r="E243" s="144"/>
      <c r="F243" s="144"/>
      <c r="G243" s="144"/>
      <c r="H243" s="144"/>
      <c r="I243" s="148"/>
      <c r="J243" s="149">
        <f t="shared" si="15"/>
        <v>0</v>
      </c>
      <c r="K243" s="150">
        <f t="shared" si="16"/>
        <v>0</v>
      </c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  <c r="AA243" s="151"/>
      <c r="AB243" s="151"/>
      <c r="AC243" s="151"/>
      <c r="AD243" s="151"/>
      <c r="AE243" s="151"/>
      <c r="AF243" s="151"/>
      <c r="AG243" s="151"/>
      <c r="AH243" s="151"/>
      <c r="AI243" s="151"/>
      <c r="AJ243" s="151"/>
      <c r="AK243" s="151"/>
      <c r="AL243" s="151"/>
      <c r="AM243" s="151"/>
      <c r="AN243" s="151"/>
      <c r="AO243" s="151"/>
      <c r="AP243" s="151"/>
      <c r="AQ243" s="151"/>
      <c r="AR243" s="151"/>
      <c r="AS243" s="151"/>
      <c r="AT243" s="152"/>
    </row>
    <row r="244" spans="1:46" x14ac:dyDescent="0.3">
      <c r="A244" s="143"/>
      <c r="B244" s="144"/>
      <c r="C244" s="145"/>
      <c r="D244" s="146"/>
      <c r="E244" s="144"/>
      <c r="F244" s="144"/>
      <c r="G244" s="144"/>
      <c r="H244" s="144"/>
      <c r="I244" s="148"/>
      <c r="J244" s="149">
        <f t="shared" si="15"/>
        <v>0</v>
      </c>
      <c r="K244" s="150">
        <f t="shared" si="16"/>
        <v>0</v>
      </c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  <c r="AB244" s="151"/>
      <c r="AC244" s="151"/>
      <c r="AD244" s="151"/>
      <c r="AE244" s="151"/>
      <c r="AF244" s="151"/>
      <c r="AG244" s="151"/>
      <c r="AH244" s="151"/>
      <c r="AI244" s="151"/>
      <c r="AJ244" s="151"/>
      <c r="AK244" s="151"/>
      <c r="AL244" s="151"/>
      <c r="AM244" s="151"/>
      <c r="AN244" s="151"/>
      <c r="AO244" s="151"/>
      <c r="AP244" s="151"/>
      <c r="AQ244" s="151"/>
      <c r="AR244" s="151"/>
      <c r="AS244" s="151"/>
      <c r="AT244" s="152"/>
    </row>
    <row r="245" spans="1:46" x14ac:dyDescent="0.3">
      <c r="A245" s="143"/>
      <c r="B245" s="144"/>
      <c r="C245" s="145"/>
      <c r="D245" s="146"/>
      <c r="E245" s="144"/>
      <c r="F245" s="144"/>
      <c r="G245" s="144"/>
      <c r="H245" s="144"/>
      <c r="I245" s="148"/>
      <c r="J245" s="149">
        <f t="shared" si="15"/>
        <v>0</v>
      </c>
      <c r="K245" s="150">
        <f t="shared" si="16"/>
        <v>0</v>
      </c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  <c r="AB245" s="151"/>
      <c r="AC245" s="151"/>
      <c r="AD245" s="151"/>
      <c r="AE245" s="151"/>
      <c r="AF245" s="151"/>
      <c r="AG245" s="151"/>
      <c r="AH245" s="151"/>
      <c r="AI245" s="151"/>
      <c r="AJ245" s="151"/>
      <c r="AK245" s="151"/>
      <c r="AL245" s="151"/>
      <c r="AM245" s="151"/>
      <c r="AN245" s="151"/>
      <c r="AO245" s="151"/>
      <c r="AP245" s="151"/>
      <c r="AQ245" s="151"/>
      <c r="AR245" s="151"/>
      <c r="AS245" s="151"/>
      <c r="AT245" s="152"/>
    </row>
    <row r="246" spans="1:46" x14ac:dyDescent="0.3">
      <c r="A246" s="143"/>
      <c r="B246" s="144"/>
      <c r="C246" s="145"/>
      <c r="D246" s="146"/>
      <c r="E246" s="144"/>
      <c r="F246" s="144"/>
      <c r="G246" s="144"/>
      <c r="H246" s="144"/>
      <c r="I246" s="148"/>
      <c r="J246" s="149">
        <f t="shared" si="15"/>
        <v>0</v>
      </c>
      <c r="K246" s="150">
        <f t="shared" si="16"/>
        <v>0</v>
      </c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  <c r="AB246" s="151"/>
      <c r="AC246" s="151"/>
      <c r="AD246" s="151"/>
      <c r="AE246" s="151"/>
      <c r="AF246" s="151"/>
      <c r="AG246" s="151"/>
      <c r="AH246" s="151"/>
      <c r="AI246" s="151"/>
      <c r="AJ246" s="151"/>
      <c r="AK246" s="151"/>
      <c r="AL246" s="151"/>
      <c r="AM246" s="151"/>
      <c r="AN246" s="151"/>
      <c r="AO246" s="151"/>
      <c r="AP246" s="151"/>
      <c r="AQ246" s="151"/>
      <c r="AR246" s="151"/>
      <c r="AS246" s="151"/>
      <c r="AT246" s="152"/>
    </row>
    <row r="247" spans="1:46" x14ac:dyDescent="0.3">
      <c r="A247" s="143"/>
      <c r="B247" s="144"/>
      <c r="C247" s="145"/>
      <c r="D247" s="146"/>
      <c r="E247" s="144"/>
      <c r="F247" s="144"/>
      <c r="G247" s="144"/>
      <c r="H247" s="144"/>
      <c r="I247" s="148"/>
      <c r="J247" s="149">
        <f t="shared" si="15"/>
        <v>0</v>
      </c>
      <c r="K247" s="150">
        <f t="shared" si="16"/>
        <v>0</v>
      </c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  <c r="AB247" s="151"/>
      <c r="AC247" s="151"/>
      <c r="AD247" s="151"/>
      <c r="AE247" s="151"/>
      <c r="AF247" s="151"/>
      <c r="AG247" s="151"/>
      <c r="AH247" s="151"/>
      <c r="AI247" s="151"/>
      <c r="AJ247" s="151"/>
      <c r="AK247" s="151"/>
      <c r="AL247" s="151"/>
      <c r="AM247" s="151"/>
      <c r="AN247" s="151"/>
      <c r="AO247" s="151"/>
      <c r="AP247" s="151"/>
      <c r="AQ247" s="151"/>
      <c r="AR247" s="151"/>
      <c r="AS247" s="151"/>
      <c r="AT247" s="152"/>
    </row>
    <row r="248" spans="1:46" x14ac:dyDescent="0.3">
      <c r="A248" s="143"/>
      <c r="B248" s="144"/>
      <c r="C248" s="145"/>
      <c r="D248" s="146"/>
      <c r="E248" s="144"/>
      <c r="F248" s="144"/>
      <c r="G248" s="144"/>
      <c r="H248" s="144"/>
      <c r="I248" s="148"/>
      <c r="J248" s="149">
        <f t="shared" si="15"/>
        <v>0</v>
      </c>
      <c r="K248" s="150">
        <f t="shared" si="16"/>
        <v>0</v>
      </c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1"/>
      <c r="AG248" s="151"/>
      <c r="AH248" s="151"/>
      <c r="AI248" s="151"/>
      <c r="AJ248" s="151"/>
      <c r="AK248" s="151"/>
      <c r="AL248" s="151"/>
      <c r="AM248" s="151"/>
      <c r="AN248" s="151"/>
      <c r="AO248" s="151"/>
      <c r="AP248" s="151"/>
      <c r="AQ248" s="151"/>
      <c r="AR248" s="151"/>
      <c r="AS248" s="151"/>
      <c r="AT248" s="152"/>
    </row>
    <row r="249" spans="1:46" x14ac:dyDescent="0.3">
      <c r="A249" s="143"/>
      <c r="B249" s="144"/>
      <c r="C249" s="145"/>
      <c r="D249" s="146"/>
      <c r="E249" s="144"/>
      <c r="F249" s="144"/>
      <c r="G249" s="144"/>
      <c r="H249" s="144"/>
      <c r="I249" s="148"/>
      <c r="J249" s="149">
        <f t="shared" si="15"/>
        <v>0</v>
      </c>
      <c r="K249" s="150">
        <f t="shared" si="16"/>
        <v>0</v>
      </c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  <c r="AB249" s="151"/>
      <c r="AC249" s="151"/>
      <c r="AD249" s="151"/>
      <c r="AE249" s="151"/>
      <c r="AF249" s="151"/>
      <c r="AG249" s="151"/>
      <c r="AH249" s="151"/>
      <c r="AI249" s="151"/>
      <c r="AJ249" s="151"/>
      <c r="AK249" s="151"/>
      <c r="AL249" s="151"/>
      <c r="AM249" s="151"/>
      <c r="AN249" s="151"/>
      <c r="AO249" s="151"/>
      <c r="AP249" s="151"/>
      <c r="AQ249" s="151"/>
      <c r="AR249" s="151"/>
      <c r="AS249" s="151"/>
      <c r="AT249" s="152"/>
    </row>
    <row r="250" spans="1:46" x14ac:dyDescent="0.3">
      <c r="A250" s="143"/>
      <c r="B250" s="144"/>
      <c r="C250" s="145"/>
      <c r="D250" s="146"/>
      <c r="E250" s="144"/>
      <c r="F250" s="144"/>
      <c r="G250" s="144"/>
      <c r="H250" s="144"/>
      <c r="I250" s="148"/>
      <c r="J250" s="149">
        <f t="shared" si="15"/>
        <v>0</v>
      </c>
      <c r="K250" s="150">
        <f t="shared" si="16"/>
        <v>0</v>
      </c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  <c r="AB250" s="151"/>
      <c r="AC250" s="151"/>
      <c r="AD250" s="151"/>
      <c r="AE250" s="151"/>
      <c r="AF250" s="151"/>
      <c r="AG250" s="151"/>
      <c r="AH250" s="151"/>
      <c r="AI250" s="151"/>
      <c r="AJ250" s="151"/>
      <c r="AK250" s="151"/>
      <c r="AL250" s="151"/>
      <c r="AM250" s="151"/>
      <c r="AN250" s="151"/>
      <c r="AO250" s="151"/>
      <c r="AP250" s="151"/>
      <c r="AQ250" s="151"/>
      <c r="AR250" s="151"/>
      <c r="AS250" s="151"/>
      <c r="AT250" s="152"/>
    </row>
    <row r="251" spans="1:46" x14ac:dyDescent="0.3">
      <c r="A251" s="143"/>
      <c r="B251" s="144"/>
      <c r="C251" s="145"/>
      <c r="D251" s="146"/>
      <c r="E251" s="144"/>
      <c r="F251" s="144"/>
      <c r="G251" s="144"/>
      <c r="H251" s="144"/>
      <c r="I251" s="148"/>
      <c r="J251" s="149">
        <f t="shared" si="15"/>
        <v>0</v>
      </c>
      <c r="K251" s="150">
        <f t="shared" si="16"/>
        <v>0</v>
      </c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  <c r="AB251" s="151"/>
      <c r="AC251" s="151"/>
      <c r="AD251" s="151"/>
      <c r="AE251" s="151"/>
      <c r="AF251" s="151"/>
      <c r="AG251" s="151"/>
      <c r="AH251" s="151"/>
      <c r="AI251" s="151"/>
      <c r="AJ251" s="151"/>
      <c r="AK251" s="151"/>
      <c r="AL251" s="151"/>
      <c r="AM251" s="151"/>
      <c r="AN251" s="151"/>
      <c r="AO251" s="151"/>
      <c r="AP251" s="151"/>
      <c r="AQ251" s="151"/>
      <c r="AR251" s="151"/>
      <c r="AS251" s="151"/>
      <c r="AT251" s="152"/>
    </row>
    <row r="252" spans="1:46" x14ac:dyDescent="0.3">
      <c r="A252" s="143"/>
      <c r="B252" s="144"/>
      <c r="C252" s="145"/>
      <c r="D252" s="146"/>
      <c r="E252" s="144"/>
      <c r="F252" s="144"/>
      <c r="G252" s="144"/>
      <c r="H252" s="144"/>
      <c r="I252" s="148"/>
      <c r="J252" s="149">
        <f t="shared" si="15"/>
        <v>0</v>
      </c>
      <c r="K252" s="150">
        <f t="shared" si="16"/>
        <v>0</v>
      </c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  <c r="AK252" s="151"/>
      <c r="AL252" s="151"/>
      <c r="AM252" s="151"/>
      <c r="AN252" s="151"/>
      <c r="AO252" s="151"/>
      <c r="AP252" s="151"/>
      <c r="AQ252" s="151"/>
      <c r="AR252" s="151"/>
      <c r="AS252" s="151"/>
      <c r="AT252" s="152"/>
    </row>
    <row r="253" spans="1:46" x14ac:dyDescent="0.3">
      <c r="A253" s="143"/>
      <c r="B253" s="144"/>
      <c r="C253" s="145"/>
      <c r="D253" s="146"/>
      <c r="E253" s="144"/>
      <c r="F253" s="144"/>
      <c r="G253" s="144"/>
      <c r="H253" s="144"/>
      <c r="I253" s="148"/>
      <c r="J253" s="149">
        <f t="shared" si="15"/>
        <v>0</v>
      </c>
      <c r="K253" s="150">
        <f t="shared" si="16"/>
        <v>0</v>
      </c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  <c r="AB253" s="151"/>
      <c r="AC253" s="151"/>
      <c r="AD253" s="151"/>
      <c r="AE253" s="151"/>
      <c r="AF253" s="151"/>
      <c r="AG253" s="151"/>
      <c r="AH253" s="151"/>
      <c r="AI253" s="151"/>
      <c r="AJ253" s="151"/>
      <c r="AK253" s="151"/>
      <c r="AL253" s="151"/>
      <c r="AM253" s="151"/>
      <c r="AN253" s="151"/>
      <c r="AO253" s="151"/>
      <c r="AP253" s="151"/>
      <c r="AQ253" s="151"/>
      <c r="AR253" s="151"/>
      <c r="AS253" s="151"/>
      <c r="AT253" s="152"/>
    </row>
    <row r="254" spans="1:46" x14ac:dyDescent="0.3">
      <c r="A254" s="143"/>
      <c r="B254" s="144"/>
      <c r="C254" s="145"/>
      <c r="D254" s="146"/>
      <c r="E254" s="144"/>
      <c r="F254" s="144"/>
      <c r="G254" s="144"/>
      <c r="H254" s="144"/>
      <c r="I254" s="148"/>
      <c r="J254" s="149">
        <f t="shared" si="15"/>
        <v>0</v>
      </c>
      <c r="K254" s="150">
        <f t="shared" si="16"/>
        <v>0</v>
      </c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  <c r="AB254" s="151"/>
      <c r="AC254" s="151"/>
      <c r="AD254" s="151"/>
      <c r="AE254" s="151"/>
      <c r="AF254" s="151"/>
      <c r="AG254" s="151"/>
      <c r="AH254" s="151"/>
      <c r="AI254" s="151"/>
      <c r="AJ254" s="151"/>
      <c r="AK254" s="151"/>
      <c r="AL254" s="151"/>
      <c r="AM254" s="151"/>
      <c r="AN254" s="151"/>
      <c r="AO254" s="151"/>
      <c r="AP254" s="151"/>
      <c r="AQ254" s="151"/>
      <c r="AR254" s="151"/>
      <c r="AS254" s="151"/>
      <c r="AT254" s="152"/>
    </row>
    <row r="255" spans="1:46" x14ac:dyDescent="0.3">
      <c r="A255" s="143"/>
      <c r="B255" s="144"/>
      <c r="C255" s="145"/>
      <c r="D255" s="146"/>
      <c r="E255" s="144"/>
      <c r="F255" s="144"/>
      <c r="G255" s="144"/>
      <c r="H255" s="144"/>
      <c r="I255" s="148"/>
      <c r="J255" s="149">
        <f t="shared" si="15"/>
        <v>0</v>
      </c>
      <c r="K255" s="150">
        <f t="shared" si="16"/>
        <v>0</v>
      </c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  <c r="AB255" s="151"/>
      <c r="AC255" s="151"/>
      <c r="AD255" s="151"/>
      <c r="AE255" s="151"/>
      <c r="AF255" s="151"/>
      <c r="AG255" s="151"/>
      <c r="AH255" s="151"/>
      <c r="AI255" s="151"/>
      <c r="AJ255" s="151"/>
      <c r="AK255" s="151"/>
      <c r="AL255" s="151"/>
      <c r="AM255" s="151"/>
      <c r="AN255" s="151"/>
      <c r="AO255" s="151"/>
      <c r="AP255" s="151"/>
      <c r="AQ255" s="151"/>
      <c r="AR255" s="151"/>
      <c r="AS255" s="151"/>
      <c r="AT255" s="152"/>
    </row>
    <row r="256" spans="1:46" x14ac:dyDescent="0.3">
      <c r="A256" s="143"/>
      <c r="B256" s="144"/>
      <c r="C256" s="145"/>
      <c r="D256" s="146"/>
      <c r="E256" s="144"/>
      <c r="F256" s="144"/>
      <c r="G256" s="144"/>
      <c r="H256" s="144"/>
      <c r="I256" s="148"/>
      <c r="J256" s="149">
        <f t="shared" si="15"/>
        <v>0</v>
      </c>
      <c r="K256" s="150">
        <f t="shared" si="16"/>
        <v>0</v>
      </c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  <c r="AB256" s="151"/>
      <c r="AC256" s="151"/>
      <c r="AD256" s="151"/>
      <c r="AE256" s="151"/>
      <c r="AF256" s="151"/>
      <c r="AG256" s="151"/>
      <c r="AH256" s="151"/>
      <c r="AI256" s="151"/>
      <c r="AJ256" s="151"/>
      <c r="AK256" s="151"/>
      <c r="AL256" s="151"/>
      <c r="AM256" s="151"/>
      <c r="AN256" s="151"/>
      <c r="AO256" s="151"/>
      <c r="AP256" s="151"/>
      <c r="AQ256" s="151"/>
      <c r="AR256" s="151"/>
      <c r="AS256" s="151"/>
      <c r="AT256" s="152"/>
    </row>
    <row r="257" spans="1:46" x14ac:dyDescent="0.3">
      <c r="A257" s="143"/>
      <c r="B257" s="144"/>
      <c r="C257" s="145"/>
      <c r="D257" s="146"/>
      <c r="E257" s="144"/>
      <c r="F257" s="144"/>
      <c r="G257" s="144"/>
      <c r="H257" s="144"/>
      <c r="I257" s="148"/>
      <c r="J257" s="149">
        <f t="shared" si="15"/>
        <v>0</v>
      </c>
      <c r="K257" s="150">
        <f t="shared" si="16"/>
        <v>0</v>
      </c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  <c r="AB257" s="151"/>
      <c r="AC257" s="151"/>
      <c r="AD257" s="151"/>
      <c r="AE257" s="151"/>
      <c r="AF257" s="151"/>
      <c r="AG257" s="151"/>
      <c r="AH257" s="151"/>
      <c r="AI257" s="151"/>
      <c r="AJ257" s="151"/>
      <c r="AK257" s="151"/>
      <c r="AL257" s="151"/>
      <c r="AM257" s="151"/>
      <c r="AN257" s="151"/>
      <c r="AO257" s="151"/>
      <c r="AP257" s="151"/>
      <c r="AQ257" s="151"/>
      <c r="AR257" s="151"/>
      <c r="AS257" s="151"/>
      <c r="AT257" s="152"/>
    </row>
    <row r="258" spans="1:46" x14ac:dyDescent="0.3">
      <c r="A258" s="143"/>
      <c r="B258" s="144"/>
      <c r="C258" s="145"/>
      <c r="D258" s="146"/>
      <c r="E258" s="144"/>
      <c r="F258" s="144"/>
      <c r="G258" s="144"/>
      <c r="H258" s="144"/>
      <c r="I258" s="148"/>
      <c r="J258" s="149">
        <f t="shared" si="15"/>
        <v>0</v>
      </c>
      <c r="K258" s="150">
        <f t="shared" si="16"/>
        <v>0</v>
      </c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  <c r="AB258" s="151"/>
      <c r="AC258" s="151"/>
      <c r="AD258" s="151"/>
      <c r="AE258" s="151"/>
      <c r="AF258" s="151"/>
      <c r="AG258" s="151"/>
      <c r="AH258" s="151"/>
      <c r="AI258" s="151"/>
      <c r="AJ258" s="151"/>
      <c r="AK258" s="151"/>
      <c r="AL258" s="151"/>
      <c r="AM258" s="151"/>
      <c r="AN258" s="151"/>
      <c r="AO258" s="151"/>
      <c r="AP258" s="151"/>
      <c r="AQ258" s="151"/>
      <c r="AR258" s="151"/>
      <c r="AS258" s="151"/>
      <c r="AT258" s="152"/>
    </row>
    <row r="259" spans="1:46" x14ac:dyDescent="0.3">
      <c r="A259" s="143"/>
      <c r="B259" s="144"/>
      <c r="C259" s="145"/>
      <c r="D259" s="146"/>
      <c r="E259" s="144"/>
      <c r="F259" s="144"/>
      <c r="G259" s="144"/>
      <c r="H259" s="144"/>
      <c r="I259" s="148"/>
      <c r="J259" s="149">
        <f t="shared" si="15"/>
        <v>0</v>
      </c>
      <c r="K259" s="150">
        <f t="shared" si="16"/>
        <v>0</v>
      </c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  <c r="AB259" s="151"/>
      <c r="AC259" s="151"/>
      <c r="AD259" s="151"/>
      <c r="AE259" s="151"/>
      <c r="AF259" s="151"/>
      <c r="AG259" s="151"/>
      <c r="AH259" s="151"/>
      <c r="AI259" s="151"/>
      <c r="AJ259" s="151"/>
      <c r="AK259" s="151"/>
      <c r="AL259" s="151"/>
      <c r="AM259" s="151"/>
      <c r="AN259" s="151"/>
      <c r="AO259" s="151"/>
      <c r="AP259" s="151"/>
      <c r="AQ259" s="151"/>
      <c r="AR259" s="151"/>
      <c r="AS259" s="151"/>
      <c r="AT259" s="152"/>
    </row>
    <row r="260" spans="1:46" x14ac:dyDescent="0.3">
      <c r="A260" s="143"/>
      <c r="B260" s="144"/>
      <c r="C260" s="145"/>
      <c r="D260" s="146"/>
      <c r="E260" s="144"/>
      <c r="F260" s="144"/>
      <c r="G260" s="144"/>
      <c r="H260" s="144"/>
      <c r="I260" s="148"/>
      <c r="J260" s="149">
        <f t="shared" si="15"/>
        <v>0</v>
      </c>
      <c r="K260" s="150">
        <f t="shared" si="16"/>
        <v>0</v>
      </c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  <c r="AB260" s="151"/>
      <c r="AC260" s="151"/>
      <c r="AD260" s="151"/>
      <c r="AE260" s="151"/>
      <c r="AF260" s="151"/>
      <c r="AG260" s="151"/>
      <c r="AH260" s="151"/>
      <c r="AI260" s="151"/>
      <c r="AJ260" s="151"/>
      <c r="AK260" s="151"/>
      <c r="AL260" s="151"/>
      <c r="AM260" s="151"/>
      <c r="AN260" s="151"/>
      <c r="AO260" s="151"/>
      <c r="AP260" s="151"/>
      <c r="AQ260" s="151"/>
      <c r="AR260" s="151"/>
      <c r="AS260" s="151"/>
      <c r="AT260" s="152"/>
    </row>
    <row r="261" spans="1:46" x14ac:dyDescent="0.3">
      <c r="A261" s="143"/>
      <c r="B261" s="144"/>
      <c r="C261" s="145"/>
      <c r="D261" s="146"/>
      <c r="E261" s="144"/>
      <c r="F261" s="144"/>
      <c r="G261" s="144"/>
      <c r="H261" s="144"/>
      <c r="I261" s="148"/>
      <c r="J261" s="149">
        <f t="shared" si="15"/>
        <v>0</v>
      </c>
      <c r="K261" s="150">
        <f t="shared" si="16"/>
        <v>0</v>
      </c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  <c r="AB261" s="151"/>
      <c r="AC261" s="151"/>
      <c r="AD261" s="151"/>
      <c r="AE261" s="151"/>
      <c r="AF261" s="151"/>
      <c r="AG261" s="151"/>
      <c r="AH261" s="151"/>
      <c r="AI261" s="151"/>
      <c r="AJ261" s="151"/>
      <c r="AK261" s="151"/>
      <c r="AL261" s="151"/>
      <c r="AM261" s="151"/>
      <c r="AN261" s="151"/>
      <c r="AO261" s="151"/>
      <c r="AP261" s="151"/>
      <c r="AQ261" s="151"/>
      <c r="AR261" s="151"/>
      <c r="AS261" s="151"/>
      <c r="AT261" s="152"/>
    </row>
    <row r="262" spans="1:46" x14ac:dyDescent="0.3">
      <c r="A262" s="143"/>
      <c r="B262" s="144"/>
      <c r="C262" s="145"/>
      <c r="D262" s="146"/>
      <c r="E262" s="144"/>
      <c r="F262" s="144"/>
      <c r="G262" s="144"/>
      <c r="H262" s="144"/>
      <c r="I262" s="148"/>
      <c r="J262" s="149">
        <f t="shared" si="15"/>
        <v>0</v>
      </c>
      <c r="K262" s="150">
        <f t="shared" si="16"/>
        <v>0</v>
      </c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  <c r="AB262" s="151"/>
      <c r="AC262" s="151"/>
      <c r="AD262" s="151"/>
      <c r="AE262" s="151"/>
      <c r="AF262" s="151"/>
      <c r="AG262" s="151"/>
      <c r="AH262" s="151"/>
      <c r="AI262" s="151"/>
      <c r="AJ262" s="151"/>
      <c r="AK262" s="151"/>
      <c r="AL262" s="151"/>
      <c r="AM262" s="151"/>
      <c r="AN262" s="151"/>
      <c r="AO262" s="151"/>
      <c r="AP262" s="151"/>
      <c r="AQ262" s="151"/>
      <c r="AR262" s="151"/>
      <c r="AS262" s="151"/>
      <c r="AT262" s="152"/>
    </row>
    <row r="263" spans="1:46" x14ac:dyDescent="0.3">
      <c r="A263" s="143"/>
      <c r="B263" s="144"/>
      <c r="C263" s="145"/>
      <c r="D263" s="146"/>
      <c r="E263" s="144"/>
      <c r="F263" s="144"/>
      <c r="G263" s="144"/>
      <c r="H263" s="144"/>
      <c r="I263" s="148"/>
      <c r="J263" s="149">
        <f t="shared" si="15"/>
        <v>0</v>
      </c>
      <c r="K263" s="150">
        <f t="shared" si="16"/>
        <v>0</v>
      </c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  <c r="AB263" s="151"/>
      <c r="AC263" s="151"/>
      <c r="AD263" s="151"/>
      <c r="AE263" s="151"/>
      <c r="AF263" s="151"/>
      <c r="AG263" s="151"/>
      <c r="AH263" s="151"/>
      <c r="AI263" s="151"/>
      <c r="AJ263" s="151"/>
      <c r="AK263" s="151"/>
      <c r="AL263" s="151"/>
      <c r="AM263" s="151"/>
      <c r="AN263" s="151"/>
      <c r="AO263" s="151"/>
      <c r="AP263" s="151"/>
      <c r="AQ263" s="151"/>
      <c r="AR263" s="151"/>
      <c r="AS263" s="151"/>
      <c r="AT263" s="152"/>
    </row>
    <row r="264" spans="1:46" x14ac:dyDescent="0.3">
      <c r="A264" s="143"/>
      <c r="B264" s="144"/>
      <c r="C264" s="145"/>
      <c r="D264" s="146"/>
      <c r="E264" s="144"/>
      <c r="F264" s="144"/>
      <c r="G264" s="144"/>
      <c r="H264" s="144"/>
      <c r="I264" s="148"/>
      <c r="J264" s="149">
        <f t="shared" si="15"/>
        <v>0</v>
      </c>
      <c r="K264" s="150">
        <f t="shared" si="16"/>
        <v>0</v>
      </c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  <c r="AB264" s="151"/>
      <c r="AC264" s="151"/>
      <c r="AD264" s="151"/>
      <c r="AE264" s="151"/>
      <c r="AF264" s="151"/>
      <c r="AG264" s="151"/>
      <c r="AH264" s="151"/>
      <c r="AI264" s="151"/>
      <c r="AJ264" s="151"/>
      <c r="AK264" s="151"/>
      <c r="AL264" s="151"/>
      <c r="AM264" s="151"/>
      <c r="AN264" s="151"/>
      <c r="AO264" s="151"/>
      <c r="AP264" s="151"/>
      <c r="AQ264" s="151"/>
      <c r="AR264" s="151"/>
      <c r="AS264" s="151"/>
      <c r="AT264" s="152"/>
    </row>
    <row r="265" spans="1:46" x14ac:dyDescent="0.3">
      <c r="A265" s="143"/>
      <c r="B265" s="144"/>
      <c r="C265" s="145"/>
      <c r="D265" s="146"/>
      <c r="E265" s="144"/>
      <c r="F265" s="144"/>
      <c r="G265" s="144"/>
      <c r="H265" s="144"/>
      <c r="I265" s="148"/>
      <c r="J265" s="149">
        <f t="shared" si="15"/>
        <v>0</v>
      </c>
      <c r="K265" s="150">
        <f t="shared" si="16"/>
        <v>0</v>
      </c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  <c r="AB265" s="151"/>
      <c r="AC265" s="151"/>
      <c r="AD265" s="151"/>
      <c r="AE265" s="151"/>
      <c r="AF265" s="151"/>
      <c r="AG265" s="151"/>
      <c r="AH265" s="151"/>
      <c r="AI265" s="151"/>
      <c r="AJ265" s="151"/>
      <c r="AK265" s="151"/>
      <c r="AL265" s="151"/>
      <c r="AM265" s="151"/>
      <c r="AN265" s="151"/>
      <c r="AO265" s="151"/>
      <c r="AP265" s="151"/>
      <c r="AQ265" s="151"/>
      <c r="AR265" s="151"/>
      <c r="AS265" s="151"/>
      <c r="AT265" s="152"/>
    </row>
    <row r="266" spans="1:46" x14ac:dyDescent="0.3">
      <c r="A266" s="143"/>
      <c r="B266" s="144"/>
      <c r="C266" s="145"/>
      <c r="D266" s="146"/>
      <c r="E266" s="144"/>
      <c r="F266" s="144"/>
      <c r="G266" s="144"/>
      <c r="H266" s="144"/>
      <c r="I266" s="148"/>
      <c r="J266" s="149">
        <f t="shared" si="15"/>
        <v>0</v>
      </c>
      <c r="K266" s="150">
        <f t="shared" si="16"/>
        <v>0</v>
      </c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  <c r="AB266" s="151"/>
      <c r="AC266" s="151"/>
      <c r="AD266" s="151"/>
      <c r="AE266" s="151"/>
      <c r="AF266" s="151"/>
      <c r="AG266" s="151"/>
      <c r="AH266" s="151"/>
      <c r="AI266" s="151"/>
      <c r="AJ266" s="151"/>
      <c r="AK266" s="151"/>
      <c r="AL266" s="151"/>
      <c r="AM266" s="151"/>
      <c r="AN266" s="151"/>
      <c r="AO266" s="151"/>
      <c r="AP266" s="151"/>
      <c r="AQ266" s="151"/>
      <c r="AR266" s="151"/>
      <c r="AS266" s="151"/>
      <c r="AT266" s="152"/>
    </row>
    <row r="267" spans="1:46" x14ac:dyDescent="0.3">
      <c r="A267" s="143"/>
      <c r="B267" s="144"/>
      <c r="C267" s="145"/>
      <c r="D267" s="146"/>
      <c r="E267" s="144"/>
      <c r="F267" s="144"/>
      <c r="G267" s="144"/>
      <c r="H267" s="144"/>
      <c r="I267" s="148"/>
      <c r="J267" s="149">
        <f t="shared" si="15"/>
        <v>0</v>
      </c>
      <c r="K267" s="150">
        <f t="shared" si="16"/>
        <v>0</v>
      </c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  <c r="AB267" s="151"/>
      <c r="AC267" s="151"/>
      <c r="AD267" s="151"/>
      <c r="AE267" s="151"/>
      <c r="AF267" s="151"/>
      <c r="AG267" s="151"/>
      <c r="AH267" s="151"/>
      <c r="AI267" s="151"/>
      <c r="AJ267" s="151"/>
      <c r="AK267" s="151"/>
      <c r="AL267" s="151"/>
      <c r="AM267" s="151"/>
      <c r="AN267" s="151"/>
      <c r="AO267" s="151"/>
      <c r="AP267" s="151"/>
      <c r="AQ267" s="151"/>
      <c r="AR267" s="151"/>
      <c r="AS267" s="151"/>
      <c r="AT267" s="152"/>
    </row>
    <row r="268" spans="1:46" x14ac:dyDescent="0.3">
      <c r="A268" s="143"/>
      <c r="B268" s="144"/>
      <c r="C268" s="145"/>
      <c r="D268" s="146"/>
      <c r="E268" s="144"/>
      <c r="F268" s="144"/>
      <c r="G268" s="144"/>
      <c r="H268" s="144"/>
      <c r="I268" s="148"/>
      <c r="J268" s="149">
        <f t="shared" si="15"/>
        <v>0</v>
      </c>
      <c r="K268" s="150">
        <f t="shared" si="16"/>
        <v>0</v>
      </c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  <c r="AB268" s="151"/>
      <c r="AC268" s="151"/>
      <c r="AD268" s="151"/>
      <c r="AE268" s="151"/>
      <c r="AF268" s="151"/>
      <c r="AG268" s="151"/>
      <c r="AH268" s="151"/>
      <c r="AI268" s="151"/>
      <c r="AJ268" s="151"/>
      <c r="AK268" s="151"/>
      <c r="AL268" s="151"/>
      <c r="AM268" s="151"/>
      <c r="AN268" s="151"/>
      <c r="AO268" s="151"/>
      <c r="AP268" s="151"/>
      <c r="AQ268" s="151"/>
      <c r="AR268" s="151"/>
      <c r="AS268" s="151"/>
      <c r="AT268" s="152"/>
    </row>
    <row r="269" spans="1:46" x14ac:dyDescent="0.3">
      <c r="A269" s="143"/>
      <c r="B269" s="144"/>
      <c r="C269" s="145"/>
      <c r="D269" s="146"/>
      <c r="E269" s="144"/>
      <c r="F269" s="144"/>
      <c r="G269" s="144"/>
      <c r="H269" s="144"/>
      <c r="I269" s="148"/>
      <c r="J269" s="149">
        <f t="shared" si="15"/>
        <v>0</v>
      </c>
      <c r="K269" s="150">
        <f t="shared" si="16"/>
        <v>0</v>
      </c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  <c r="AB269" s="151"/>
      <c r="AC269" s="151"/>
      <c r="AD269" s="151"/>
      <c r="AE269" s="151"/>
      <c r="AF269" s="151"/>
      <c r="AG269" s="151"/>
      <c r="AH269" s="151"/>
      <c r="AI269" s="151"/>
      <c r="AJ269" s="151"/>
      <c r="AK269" s="151"/>
      <c r="AL269" s="151"/>
      <c r="AM269" s="151"/>
      <c r="AN269" s="151"/>
      <c r="AO269" s="151"/>
      <c r="AP269" s="151"/>
      <c r="AQ269" s="151"/>
      <c r="AR269" s="151"/>
      <c r="AS269" s="151"/>
      <c r="AT269" s="152"/>
    </row>
    <row r="270" spans="1:46" x14ac:dyDescent="0.3">
      <c r="A270" s="143"/>
      <c r="B270" s="144"/>
      <c r="C270" s="145"/>
      <c r="D270" s="146"/>
      <c r="E270" s="144"/>
      <c r="F270" s="144"/>
      <c r="G270" s="144"/>
      <c r="H270" s="144"/>
      <c r="I270" s="148"/>
      <c r="J270" s="149">
        <f t="shared" si="15"/>
        <v>0</v>
      </c>
      <c r="K270" s="150">
        <f t="shared" si="16"/>
        <v>0</v>
      </c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  <c r="AB270" s="151"/>
      <c r="AC270" s="151"/>
      <c r="AD270" s="151"/>
      <c r="AE270" s="151"/>
      <c r="AF270" s="151"/>
      <c r="AG270" s="151"/>
      <c r="AH270" s="151"/>
      <c r="AI270" s="151"/>
      <c r="AJ270" s="151"/>
      <c r="AK270" s="151"/>
      <c r="AL270" s="151"/>
      <c r="AM270" s="151"/>
      <c r="AN270" s="151"/>
      <c r="AO270" s="151"/>
      <c r="AP270" s="151"/>
      <c r="AQ270" s="151"/>
      <c r="AR270" s="151"/>
      <c r="AS270" s="151"/>
      <c r="AT270" s="152"/>
    </row>
    <row r="271" spans="1:46" x14ac:dyDescent="0.3">
      <c r="A271" s="143"/>
      <c r="B271" s="144"/>
      <c r="C271" s="145"/>
      <c r="D271" s="146"/>
      <c r="E271" s="144"/>
      <c r="F271" s="144"/>
      <c r="G271" s="144"/>
      <c r="H271" s="144"/>
      <c r="I271" s="148"/>
      <c r="J271" s="149">
        <f t="shared" si="15"/>
        <v>0</v>
      </c>
      <c r="K271" s="150">
        <f t="shared" si="16"/>
        <v>0</v>
      </c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  <c r="AB271" s="151"/>
      <c r="AC271" s="151"/>
      <c r="AD271" s="151"/>
      <c r="AE271" s="151"/>
      <c r="AF271" s="151"/>
      <c r="AG271" s="151"/>
      <c r="AH271" s="151"/>
      <c r="AI271" s="151"/>
      <c r="AJ271" s="151"/>
      <c r="AK271" s="151"/>
      <c r="AL271" s="151"/>
      <c r="AM271" s="151"/>
      <c r="AN271" s="151"/>
      <c r="AO271" s="151"/>
      <c r="AP271" s="151"/>
      <c r="AQ271" s="151"/>
      <c r="AR271" s="151"/>
      <c r="AS271" s="151"/>
      <c r="AT271" s="152"/>
    </row>
    <row r="272" spans="1:46" x14ac:dyDescent="0.3">
      <c r="A272" s="143"/>
      <c r="B272" s="144"/>
      <c r="C272" s="145"/>
      <c r="D272" s="146"/>
      <c r="E272" s="144"/>
      <c r="F272" s="144"/>
      <c r="G272" s="144"/>
      <c r="H272" s="144"/>
      <c r="I272" s="148"/>
      <c r="J272" s="149">
        <f t="shared" ref="J272:J335" si="17">I272*K272</f>
        <v>0</v>
      </c>
      <c r="K272" s="150">
        <f t="shared" ref="K272:K335" si="18">SUM(L272:AT272)</f>
        <v>0</v>
      </c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  <c r="AB272" s="151"/>
      <c r="AC272" s="151"/>
      <c r="AD272" s="151"/>
      <c r="AE272" s="151"/>
      <c r="AF272" s="151"/>
      <c r="AG272" s="151"/>
      <c r="AH272" s="151"/>
      <c r="AI272" s="151"/>
      <c r="AJ272" s="151"/>
      <c r="AK272" s="151"/>
      <c r="AL272" s="151"/>
      <c r="AM272" s="151"/>
      <c r="AN272" s="151"/>
      <c r="AO272" s="151"/>
      <c r="AP272" s="151"/>
      <c r="AQ272" s="151"/>
      <c r="AR272" s="151"/>
      <c r="AS272" s="151"/>
      <c r="AT272" s="152"/>
    </row>
    <row r="273" spans="1:46" x14ac:dyDescent="0.3">
      <c r="A273" s="143"/>
      <c r="B273" s="144"/>
      <c r="C273" s="145"/>
      <c r="D273" s="146"/>
      <c r="E273" s="144"/>
      <c r="F273" s="144"/>
      <c r="G273" s="144"/>
      <c r="H273" s="144"/>
      <c r="I273" s="148"/>
      <c r="J273" s="149">
        <f t="shared" si="17"/>
        <v>0</v>
      </c>
      <c r="K273" s="150">
        <f t="shared" si="18"/>
        <v>0</v>
      </c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  <c r="AB273" s="151"/>
      <c r="AC273" s="151"/>
      <c r="AD273" s="151"/>
      <c r="AE273" s="151"/>
      <c r="AF273" s="151"/>
      <c r="AG273" s="151"/>
      <c r="AH273" s="151"/>
      <c r="AI273" s="151"/>
      <c r="AJ273" s="151"/>
      <c r="AK273" s="151"/>
      <c r="AL273" s="151"/>
      <c r="AM273" s="151"/>
      <c r="AN273" s="151"/>
      <c r="AO273" s="151"/>
      <c r="AP273" s="151"/>
      <c r="AQ273" s="151"/>
      <c r="AR273" s="151"/>
      <c r="AS273" s="151"/>
      <c r="AT273" s="152"/>
    </row>
    <row r="274" spans="1:46" x14ac:dyDescent="0.3">
      <c r="A274" s="143"/>
      <c r="B274" s="144"/>
      <c r="C274" s="145"/>
      <c r="D274" s="146"/>
      <c r="E274" s="144"/>
      <c r="F274" s="144"/>
      <c r="G274" s="144"/>
      <c r="H274" s="144"/>
      <c r="I274" s="148"/>
      <c r="J274" s="149">
        <f t="shared" si="17"/>
        <v>0</v>
      </c>
      <c r="K274" s="150">
        <f t="shared" si="18"/>
        <v>0</v>
      </c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1"/>
      <c r="AH274" s="151"/>
      <c r="AI274" s="151"/>
      <c r="AJ274" s="151"/>
      <c r="AK274" s="151"/>
      <c r="AL274" s="151"/>
      <c r="AM274" s="151"/>
      <c r="AN274" s="151"/>
      <c r="AO274" s="151"/>
      <c r="AP274" s="151"/>
      <c r="AQ274" s="151"/>
      <c r="AR274" s="151"/>
      <c r="AS274" s="151"/>
      <c r="AT274" s="152"/>
    </row>
    <row r="275" spans="1:46" x14ac:dyDescent="0.3">
      <c r="A275" s="143"/>
      <c r="B275" s="144"/>
      <c r="C275" s="145"/>
      <c r="D275" s="146"/>
      <c r="E275" s="144"/>
      <c r="F275" s="144"/>
      <c r="G275" s="144"/>
      <c r="H275" s="144"/>
      <c r="I275" s="148"/>
      <c r="J275" s="149">
        <f t="shared" si="17"/>
        <v>0</v>
      </c>
      <c r="K275" s="150">
        <f t="shared" si="18"/>
        <v>0</v>
      </c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1"/>
      <c r="AH275" s="151"/>
      <c r="AI275" s="151"/>
      <c r="AJ275" s="151"/>
      <c r="AK275" s="151"/>
      <c r="AL275" s="151"/>
      <c r="AM275" s="151"/>
      <c r="AN275" s="151"/>
      <c r="AO275" s="151"/>
      <c r="AP275" s="151"/>
      <c r="AQ275" s="151"/>
      <c r="AR275" s="151"/>
      <c r="AS275" s="151"/>
      <c r="AT275" s="152"/>
    </row>
    <row r="276" spans="1:46" x14ac:dyDescent="0.3">
      <c r="A276" s="143"/>
      <c r="B276" s="144"/>
      <c r="C276" s="145"/>
      <c r="D276" s="146"/>
      <c r="E276" s="144"/>
      <c r="F276" s="144"/>
      <c r="G276" s="144"/>
      <c r="H276" s="144"/>
      <c r="I276" s="148"/>
      <c r="J276" s="149">
        <f t="shared" si="17"/>
        <v>0</v>
      </c>
      <c r="K276" s="150">
        <f t="shared" si="18"/>
        <v>0</v>
      </c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1"/>
      <c r="AH276" s="151"/>
      <c r="AI276" s="151"/>
      <c r="AJ276" s="151"/>
      <c r="AK276" s="151"/>
      <c r="AL276" s="151"/>
      <c r="AM276" s="151"/>
      <c r="AN276" s="151"/>
      <c r="AO276" s="151"/>
      <c r="AP276" s="151"/>
      <c r="AQ276" s="151"/>
      <c r="AR276" s="151"/>
      <c r="AS276" s="151"/>
      <c r="AT276" s="152"/>
    </row>
    <row r="277" spans="1:46" x14ac:dyDescent="0.3">
      <c r="A277" s="143"/>
      <c r="B277" s="144"/>
      <c r="C277" s="145"/>
      <c r="D277" s="146"/>
      <c r="E277" s="144"/>
      <c r="F277" s="144"/>
      <c r="G277" s="144"/>
      <c r="H277" s="144"/>
      <c r="I277" s="148"/>
      <c r="J277" s="149">
        <f t="shared" si="17"/>
        <v>0</v>
      </c>
      <c r="K277" s="150">
        <f t="shared" si="18"/>
        <v>0</v>
      </c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1"/>
      <c r="AH277" s="151"/>
      <c r="AI277" s="151"/>
      <c r="AJ277" s="151"/>
      <c r="AK277" s="151"/>
      <c r="AL277" s="151"/>
      <c r="AM277" s="151"/>
      <c r="AN277" s="151"/>
      <c r="AO277" s="151"/>
      <c r="AP277" s="151"/>
      <c r="AQ277" s="151"/>
      <c r="AR277" s="151"/>
      <c r="AS277" s="151"/>
      <c r="AT277" s="152"/>
    </row>
    <row r="278" spans="1:46" x14ac:dyDescent="0.3">
      <c r="A278" s="143"/>
      <c r="B278" s="144"/>
      <c r="C278" s="145"/>
      <c r="D278" s="146"/>
      <c r="E278" s="144"/>
      <c r="F278" s="144"/>
      <c r="G278" s="144"/>
      <c r="H278" s="144"/>
      <c r="I278" s="148"/>
      <c r="J278" s="149">
        <f t="shared" si="17"/>
        <v>0</v>
      </c>
      <c r="K278" s="150">
        <f t="shared" si="18"/>
        <v>0</v>
      </c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1"/>
      <c r="AH278" s="151"/>
      <c r="AI278" s="151"/>
      <c r="AJ278" s="151"/>
      <c r="AK278" s="151"/>
      <c r="AL278" s="151"/>
      <c r="AM278" s="151"/>
      <c r="AN278" s="151"/>
      <c r="AO278" s="151"/>
      <c r="AP278" s="151"/>
      <c r="AQ278" s="151"/>
      <c r="AR278" s="151"/>
      <c r="AS278" s="151"/>
      <c r="AT278" s="152"/>
    </row>
    <row r="279" spans="1:46" x14ac:dyDescent="0.3">
      <c r="A279" s="143"/>
      <c r="B279" s="144"/>
      <c r="C279" s="145"/>
      <c r="D279" s="146"/>
      <c r="E279" s="144"/>
      <c r="F279" s="144"/>
      <c r="G279" s="144"/>
      <c r="H279" s="144"/>
      <c r="I279" s="148"/>
      <c r="J279" s="149">
        <f t="shared" si="17"/>
        <v>0</v>
      </c>
      <c r="K279" s="150">
        <f t="shared" si="18"/>
        <v>0</v>
      </c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1"/>
      <c r="AH279" s="151"/>
      <c r="AI279" s="151"/>
      <c r="AJ279" s="151"/>
      <c r="AK279" s="151"/>
      <c r="AL279" s="151"/>
      <c r="AM279" s="151"/>
      <c r="AN279" s="151"/>
      <c r="AO279" s="151"/>
      <c r="AP279" s="151"/>
      <c r="AQ279" s="151"/>
      <c r="AR279" s="151"/>
      <c r="AS279" s="151"/>
      <c r="AT279" s="152"/>
    </row>
    <row r="280" spans="1:46" x14ac:dyDescent="0.3">
      <c r="A280" s="143"/>
      <c r="B280" s="144"/>
      <c r="C280" s="145"/>
      <c r="D280" s="146"/>
      <c r="E280" s="144"/>
      <c r="F280" s="144"/>
      <c r="G280" s="144"/>
      <c r="H280" s="144"/>
      <c r="I280" s="148"/>
      <c r="J280" s="149">
        <f t="shared" si="17"/>
        <v>0</v>
      </c>
      <c r="K280" s="150">
        <f t="shared" si="18"/>
        <v>0</v>
      </c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1"/>
      <c r="AH280" s="151"/>
      <c r="AI280" s="151"/>
      <c r="AJ280" s="151"/>
      <c r="AK280" s="151"/>
      <c r="AL280" s="151"/>
      <c r="AM280" s="151"/>
      <c r="AN280" s="151"/>
      <c r="AO280" s="151"/>
      <c r="AP280" s="151"/>
      <c r="AQ280" s="151"/>
      <c r="AR280" s="151"/>
      <c r="AS280" s="151"/>
      <c r="AT280" s="152"/>
    </row>
    <row r="281" spans="1:46" x14ac:dyDescent="0.3">
      <c r="A281" s="143"/>
      <c r="B281" s="144"/>
      <c r="C281" s="145"/>
      <c r="D281" s="146"/>
      <c r="E281" s="144"/>
      <c r="F281" s="144"/>
      <c r="G281" s="144"/>
      <c r="H281" s="144"/>
      <c r="I281" s="148"/>
      <c r="J281" s="149">
        <f t="shared" si="17"/>
        <v>0</v>
      </c>
      <c r="K281" s="150">
        <f t="shared" si="18"/>
        <v>0</v>
      </c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1"/>
      <c r="AH281" s="151"/>
      <c r="AI281" s="151"/>
      <c r="AJ281" s="151"/>
      <c r="AK281" s="151"/>
      <c r="AL281" s="151"/>
      <c r="AM281" s="151"/>
      <c r="AN281" s="151"/>
      <c r="AO281" s="151"/>
      <c r="AP281" s="151"/>
      <c r="AQ281" s="151"/>
      <c r="AR281" s="151"/>
      <c r="AS281" s="151"/>
      <c r="AT281" s="152"/>
    </row>
    <row r="282" spans="1:46" x14ac:dyDescent="0.3">
      <c r="A282" s="143"/>
      <c r="B282" s="144"/>
      <c r="C282" s="145"/>
      <c r="D282" s="146"/>
      <c r="E282" s="144"/>
      <c r="F282" s="144"/>
      <c r="G282" s="144"/>
      <c r="H282" s="144"/>
      <c r="I282" s="148"/>
      <c r="J282" s="149">
        <f t="shared" si="17"/>
        <v>0</v>
      </c>
      <c r="K282" s="150">
        <f t="shared" si="18"/>
        <v>0</v>
      </c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  <c r="AB282" s="151"/>
      <c r="AC282" s="151"/>
      <c r="AD282" s="151"/>
      <c r="AE282" s="151"/>
      <c r="AF282" s="151"/>
      <c r="AG282" s="151"/>
      <c r="AH282" s="151"/>
      <c r="AI282" s="151"/>
      <c r="AJ282" s="151"/>
      <c r="AK282" s="151"/>
      <c r="AL282" s="151"/>
      <c r="AM282" s="151"/>
      <c r="AN282" s="151"/>
      <c r="AO282" s="151"/>
      <c r="AP282" s="151"/>
      <c r="AQ282" s="151"/>
      <c r="AR282" s="151"/>
      <c r="AS282" s="151"/>
      <c r="AT282" s="152"/>
    </row>
    <row r="283" spans="1:46" x14ac:dyDescent="0.3">
      <c r="A283" s="143"/>
      <c r="B283" s="144"/>
      <c r="C283" s="145"/>
      <c r="D283" s="146"/>
      <c r="E283" s="144"/>
      <c r="F283" s="144"/>
      <c r="G283" s="144"/>
      <c r="H283" s="144"/>
      <c r="I283" s="148"/>
      <c r="J283" s="149">
        <f t="shared" si="17"/>
        <v>0</v>
      </c>
      <c r="K283" s="150">
        <f t="shared" si="18"/>
        <v>0</v>
      </c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  <c r="AA283" s="151"/>
      <c r="AB283" s="151"/>
      <c r="AC283" s="151"/>
      <c r="AD283" s="151"/>
      <c r="AE283" s="151"/>
      <c r="AF283" s="151"/>
      <c r="AG283" s="151"/>
      <c r="AH283" s="151"/>
      <c r="AI283" s="151"/>
      <c r="AJ283" s="151"/>
      <c r="AK283" s="151"/>
      <c r="AL283" s="151"/>
      <c r="AM283" s="151"/>
      <c r="AN283" s="151"/>
      <c r="AO283" s="151"/>
      <c r="AP283" s="151"/>
      <c r="AQ283" s="151"/>
      <c r="AR283" s="151"/>
      <c r="AS283" s="151"/>
      <c r="AT283" s="152"/>
    </row>
    <row r="284" spans="1:46" x14ac:dyDescent="0.3">
      <c r="A284" s="143"/>
      <c r="B284" s="144"/>
      <c r="C284" s="145"/>
      <c r="D284" s="146"/>
      <c r="E284" s="144"/>
      <c r="F284" s="144"/>
      <c r="G284" s="144"/>
      <c r="H284" s="144"/>
      <c r="I284" s="148"/>
      <c r="J284" s="149">
        <f t="shared" si="17"/>
        <v>0</v>
      </c>
      <c r="K284" s="150">
        <f t="shared" si="18"/>
        <v>0</v>
      </c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  <c r="AB284" s="151"/>
      <c r="AC284" s="151"/>
      <c r="AD284" s="151"/>
      <c r="AE284" s="151"/>
      <c r="AF284" s="151"/>
      <c r="AG284" s="151"/>
      <c r="AH284" s="151"/>
      <c r="AI284" s="151"/>
      <c r="AJ284" s="151"/>
      <c r="AK284" s="151"/>
      <c r="AL284" s="151"/>
      <c r="AM284" s="151"/>
      <c r="AN284" s="151"/>
      <c r="AO284" s="151"/>
      <c r="AP284" s="151"/>
      <c r="AQ284" s="151"/>
      <c r="AR284" s="151"/>
      <c r="AS284" s="151"/>
      <c r="AT284" s="152"/>
    </row>
    <row r="285" spans="1:46" x14ac:dyDescent="0.3">
      <c r="A285" s="143"/>
      <c r="B285" s="144"/>
      <c r="C285" s="145"/>
      <c r="D285" s="146"/>
      <c r="E285" s="144"/>
      <c r="F285" s="144"/>
      <c r="G285" s="144"/>
      <c r="H285" s="144"/>
      <c r="I285" s="148"/>
      <c r="J285" s="149">
        <f t="shared" si="17"/>
        <v>0</v>
      </c>
      <c r="K285" s="150">
        <f t="shared" si="18"/>
        <v>0</v>
      </c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  <c r="AA285" s="151"/>
      <c r="AB285" s="151"/>
      <c r="AC285" s="151"/>
      <c r="AD285" s="151"/>
      <c r="AE285" s="151"/>
      <c r="AF285" s="151"/>
      <c r="AG285" s="151"/>
      <c r="AH285" s="151"/>
      <c r="AI285" s="151"/>
      <c r="AJ285" s="151"/>
      <c r="AK285" s="151"/>
      <c r="AL285" s="151"/>
      <c r="AM285" s="151"/>
      <c r="AN285" s="151"/>
      <c r="AO285" s="151"/>
      <c r="AP285" s="151"/>
      <c r="AQ285" s="151"/>
      <c r="AR285" s="151"/>
      <c r="AS285" s="151"/>
      <c r="AT285" s="152"/>
    </row>
    <row r="286" spans="1:46" x14ac:dyDescent="0.3">
      <c r="A286" s="143"/>
      <c r="B286" s="144"/>
      <c r="C286" s="145"/>
      <c r="D286" s="146"/>
      <c r="E286" s="144"/>
      <c r="F286" s="144"/>
      <c r="G286" s="144"/>
      <c r="H286" s="144"/>
      <c r="I286" s="148"/>
      <c r="J286" s="149">
        <f t="shared" si="17"/>
        <v>0</v>
      </c>
      <c r="K286" s="150">
        <f t="shared" si="18"/>
        <v>0</v>
      </c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  <c r="AB286" s="151"/>
      <c r="AC286" s="151"/>
      <c r="AD286" s="151"/>
      <c r="AE286" s="151"/>
      <c r="AF286" s="151"/>
      <c r="AG286" s="151"/>
      <c r="AH286" s="151"/>
      <c r="AI286" s="151"/>
      <c r="AJ286" s="151"/>
      <c r="AK286" s="151"/>
      <c r="AL286" s="151"/>
      <c r="AM286" s="151"/>
      <c r="AN286" s="151"/>
      <c r="AO286" s="151"/>
      <c r="AP286" s="151"/>
      <c r="AQ286" s="151"/>
      <c r="AR286" s="151"/>
      <c r="AS286" s="151"/>
      <c r="AT286" s="152"/>
    </row>
    <row r="287" spans="1:46" x14ac:dyDescent="0.3">
      <c r="A287" s="143"/>
      <c r="B287" s="144"/>
      <c r="C287" s="145"/>
      <c r="D287" s="146"/>
      <c r="E287" s="144"/>
      <c r="F287" s="144"/>
      <c r="G287" s="144"/>
      <c r="H287" s="144"/>
      <c r="I287" s="148"/>
      <c r="J287" s="149">
        <f t="shared" si="17"/>
        <v>0</v>
      </c>
      <c r="K287" s="150">
        <f t="shared" si="18"/>
        <v>0</v>
      </c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  <c r="AA287" s="151"/>
      <c r="AB287" s="151"/>
      <c r="AC287" s="151"/>
      <c r="AD287" s="151"/>
      <c r="AE287" s="151"/>
      <c r="AF287" s="151"/>
      <c r="AG287" s="151"/>
      <c r="AH287" s="151"/>
      <c r="AI287" s="151"/>
      <c r="AJ287" s="151"/>
      <c r="AK287" s="151"/>
      <c r="AL287" s="151"/>
      <c r="AM287" s="151"/>
      <c r="AN287" s="151"/>
      <c r="AO287" s="151"/>
      <c r="AP287" s="151"/>
      <c r="AQ287" s="151"/>
      <c r="AR287" s="151"/>
      <c r="AS287" s="151"/>
      <c r="AT287" s="152"/>
    </row>
    <row r="288" spans="1:46" x14ac:dyDescent="0.3">
      <c r="A288" s="143"/>
      <c r="B288" s="144"/>
      <c r="C288" s="145"/>
      <c r="D288" s="146"/>
      <c r="E288" s="144"/>
      <c r="F288" s="144"/>
      <c r="G288" s="144"/>
      <c r="H288" s="144"/>
      <c r="I288" s="148"/>
      <c r="J288" s="149">
        <f t="shared" si="17"/>
        <v>0</v>
      </c>
      <c r="K288" s="150">
        <f t="shared" si="18"/>
        <v>0</v>
      </c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  <c r="AB288" s="151"/>
      <c r="AC288" s="151"/>
      <c r="AD288" s="151"/>
      <c r="AE288" s="151"/>
      <c r="AF288" s="151"/>
      <c r="AG288" s="151"/>
      <c r="AH288" s="151"/>
      <c r="AI288" s="151"/>
      <c r="AJ288" s="151"/>
      <c r="AK288" s="151"/>
      <c r="AL288" s="151"/>
      <c r="AM288" s="151"/>
      <c r="AN288" s="151"/>
      <c r="AO288" s="151"/>
      <c r="AP288" s="151"/>
      <c r="AQ288" s="151"/>
      <c r="AR288" s="151"/>
      <c r="AS288" s="151"/>
      <c r="AT288" s="152"/>
    </row>
    <row r="289" spans="1:46" x14ac:dyDescent="0.3">
      <c r="A289" s="143"/>
      <c r="B289" s="144"/>
      <c r="C289" s="145"/>
      <c r="D289" s="146"/>
      <c r="E289" s="144"/>
      <c r="F289" s="144"/>
      <c r="G289" s="144"/>
      <c r="H289" s="144"/>
      <c r="I289" s="148"/>
      <c r="J289" s="149">
        <f t="shared" si="17"/>
        <v>0</v>
      </c>
      <c r="K289" s="150">
        <f t="shared" si="18"/>
        <v>0</v>
      </c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  <c r="AB289" s="151"/>
      <c r="AC289" s="151"/>
      <c r="AD289" s="151"/>
      <c r="AE289" s="151"/>
      <c r="AF289" s="151"/>
      <c r="AG289" s="151"/>
      <c r="AH289" s="151"/>
      <c r="AI289" s="151"/>
      <c r="AJ289" s="151"/>
      <c r="AK289" s="151"/>
      <c r="AL289" s="151"/>
      <c r="AM289" s="151"/>
      <c r="AN289" s="151"/>
      <c r="AO289" s="151"/>
      <c r="AP289" s="151"/>
      <c r="AQ289" s="151"/>
      <c r="AR289" s="151"/>
      <c r="AS289" s="151"/>
      <c r="AT289" s="152"/>
    </row>
    <row r="290" spans="1:46" x14ac:dyDescent="0.3">
      <c r="A290" s="143"/>
      <c r="B290" s="144"/>
      <c r="C290" s="145"/>
      <c r="D290" s="146"/>
      <c r="E290" s="144"/>
      <c r="F290" s="144"/>
      <c r="G290" s="144"/>
      <c r="H290" s="144"/>
      <c r="I290" s="148"/>
      <c r="J290" s="149">
        <f t="shared" si="17"/>
        <v>0</v>
      </c>
      <c r="K290" s="150">
        <f t="shared" si="18"/>
        <v>0</v>
      </c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  <c r="AB290" s="151"/>
      <c r="AC290" s="151"/>
      <c r="AD290" s="151"/>
      <c r="AE290" s="151"/>
      <c r="AF290" s="151"/>
      <c r="AG290" s="151"/>
      <c r="AH290" s="151"/>
      <c r="AI290" s="151"/>
      <c r="AJ290" s="151"/>
      <c r="AK290" s="151"/>
      <c r="AL290" s="151"/>
      <c r="AM290" s="151"/>
      <c r="AN290" s="151"/>
      <c r="AO290" s="151"/>
      <c r="AP290" s="151"/>
      <c r="AQ290" s="151"/>
      <c r="AR290" s="151"/>
      <c r="AS290" s="151"/>
      <c r="AT290" s="152"/>
    </row>
    <row r="291" spans="1:46" x14ac:dyDescent="0.3">
      <c r="A291" s="143"/>
      <c r="B291" s="144"/>
      <c r="C291" s="145"/>
      <c r="D291" s="146"/>
      <c r="E291" s="144"/>
      <c r="F291" s="144"/>
      <c r="G291" s="144"/>
      <c r="H291" s="144"/>
      <c r="I291" s="148"/>
      <c r="J291" s="149">
        <f t="shared" si="17"/>
        <v>0</v>
      </c>
      <c r="K291" s="150">
        <f t="shared" si="18"/>
        <v>0</v>
      </c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  <c r="AB291" s="151"/>
      <c r="AC291" s="151"/>
      <c r="AD291" s="151"/>
      <c r="AE291" s="151"/>
      <c r="AF291" s="151"/>
      <c r="AG291" s="151"/>
      <c r="AH291" s="151"/>
      <c r="AI291" s="151"/>
      <c r="AJ291" s="151"/>
      <c r="AK291" s="151"/>
      <c r="AL291" s="151"/>
      <c r="AM291" s="151"/>
      <c r="AN291" s="151"/>
      <c r="AO291" s="151"/>
      <c r="AP291" s="151"/>
      <c r="AQ291" s="151"/>
      <c r="AR291" s="151"/>
      <c r="AS291" s="151"/>
      <c r="AT291" s="152"/>
    </row>
    <row r="292" spans="1:46" x14ac:dyDescent="0.3">
      <c r="A292" s="143"/>
      <c r="B292" s="144"/>
      <c r="C292" s="145"/>
      <c r="D292" s="146"/>
      <c r="E292" s="144"/>
      <c r="F292" s="144"/>
      <c r="G292" s="144"/>
      <c r="H292" s="144"/>
      <c r="I292" s="148"/>
      <c r="J292" s="149">
        <f t="shared" si="17"/>
        <v>0</v>
      </c>
      <c r="K292" s="150">
        <f t="shared" si="18"/>
        <v>0</v>
      </c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  <c r="AB292" s="151"/>
      <c r="AC292" s="151"/>
      <c r="AD292" s="151"/>
      <c r="AE292" s="151"/>
      <c r="AF292" s="151"/>
      <c r="AG292" s="151"/>
      <c r="AH292" s="151"/>
      <c r="AI292" s="151"/>
      <c r="AJ292" s="151"/>
      <c r="AK292" s="151"/>
      <c r="AL292" s="151"/>
      <c r="AM292" s="151"/>
      <c r="AN292" s="151"/>
      <c r="AO292" s="151"/>
      <c r="AP292" s="151"/>
      <c r="AQ292" s="151"/>
      <c r="AR292" s="151"/>
      <c r="AS292" s="151"/>
      <c r="AT292" s="152"/>
    </row>
    <row r="293" spans="1:46" x14ac:dyDescent="0.3">
      <c r="A293" s="143"/>
      <c r="B293" s="144"/>
      <c r="C293" s="145"/>
      <c r="D293" s="146"/>
      <c r="E293" s="144"/>
      <c r="F293" s="144"/>
      <c r="G293" s="144"/>
      <c r="H293" s="144"/>
      <c r="I293" s="148"/>
      <c r="J293" s="149">
        <f t="shared" si="17"/>
        <v>0</v>
      </c>
      <c r="K293" s="150">
        <f t="shared" si="18"/>
        <v>0</v>
      </c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  <c r="AA293" s="151"/>
      <c r="AB293" s="151"/>
      <c r="AC293" s="151"/>
      <c r="AD293" s="151"/>
      <c r="AE293" s="151"/>
      <c r="AF293" s="151"/>
      <c r="AG293" s="151"/>
      <c r="AH293" s="151"/>
      <c r="AI293" s="151"/>
      <c r="AJ293" s="151"/>
      <c r="AK293" s="151"/>
      <c r="AL293" s="151"/>
      <c r="AM293" s="151"/>
      <c r="AN293" s="151"/>
      <c r="AO293" s="151"/>
      <c r="AP293" s="151"/>
      <c r="AQ293" s="151"/>
      <c r="AR293" s="151"/>
      <c r="AS293" s="151"/>
      <c r="AT293" s="152"/>
    </row>
    <row r="294" spans="1:46" x14ac:dyDescent="0.3">
      <c r="A294" s="143"/>
      <c r="B294" s="144"/>
      <c r="C294" s="145"/>
      <c r="D294" s="146"/>
      <c r="E294" s="144"/>
      <c r="F294" s="144"/>
      <c r="G294" s="144"/>
      <c r="H294" s="144"/>
      <c r="I294" s="148"/>
      <c r="J294" s="149">
        <f t="shared" si="17"/>
        <v>0</v>
      </c>
      <c r="K294" s="150">
        <f t="shared" si="18"/>
        <v>0</v>
      </c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  <c r="AB294" s="151"/>
      <c r="AC294" s="151"/>
      <c r="AD294" s="151"/>
      <c r="AE294" s="151"/>
      <c r="AF294" s="151"/>
      <c r="AG294" s="151"/>
      <c r="AH294" s="151"/>
      <c r="AI294" s="151"/>
      <c r="AJ294" s="151"/>
      <c r="AK294" s="151"/>
      <c r="AL294" s="151"/>
      <c r="AM294" s="151"/>
      <c r="AN294" s="151"/>
      <c r="AO294" s="151"/>
      <c r="AP294" s="151"/>
      <c r="AQ294" s="151"/>
      <c r="AR294" s="151"/>
      <c r="AS294" s="151"/>
      <c r="AT294" s="152"/>
    </row>
    <row r="295" spans="1:46" x14ac:dyDescent="0.3">
      <c r="A295" s="143"/>
      <c r="B295" s="144"/>
      <c r="C295" s="145"/>
      <c r="D295" s="146"/>
      <c r="E295" s="144"/>
      <c r="F295" s="144"/>
      <c r="G295" s="144"/>
      <c r="H295" s="144"/>
      <c r="I295" s="148"/>
      <c r="J295" s="149">
        <f t="shared" si="17"/>
        <v>0</v>
      </c>
      <c r="K295" s="150">
        <f t="shared" si="18"/>
        <v>0</v>
      </c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  <c r="AB295" s="151"/>
      <c r="AC295" s="151"/>
      <c r="AD295" s="151"/>
      <c r="AE295" s="151"/>
      <c r="AF295" s="151"/>
      <c r="AG295" s="151"/>
      <c r="AH295" s="151"/>
      <c r="AI295" s="151"/>
      <c r="AJ295" s="151"/>
      <c r="AK295" s="151"/>
      <c r="AL295" s="151"/>
      <c r="AM295" s="151"/>
      <c r="AN295" s="151"/>
      <c r="AO295" s="151"/>
      <c r="AP295" s="151"/>
      <c r="AQ295" s="151"/>
      <c r="AR295" s="151"/>
      <c r="AS295" s="151"/>
      <c r="AT295" s="152"/>
    </row>
    <row r="296" spans="1:46" x14ac:dyDescent="0.3">
      <c r="A296" s="143"/>
      <c r="B296" s="144"/>
      <c r="C296" s="145"/>
      <c r="D296" s="146"/>
      <c r="E296" s="144"/>
      <c r="F296" s="144"/>
      <c r="G296" s="144"/>
      <c r="H296" s="144"/>
      <c r="I296" s="148"/>
      <c r="J296" s="149">
        <f t="shared" si="17"/>
        <v>0</v>
      </c>
      <c r="K296" s="150">
        <f t="shared" si="18"/>
        <v>0</v>
      </c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  <c r="AB296" s="151"/>
      <c r="AC296" s="151"/>
      <c r="AD296" s="151"/>
      <c r="AE296" s="151"/>
      <c r="AF296" s="151"/>
      <c r="AG296" s="151"/>
      <c r="AH296" s="151"/>
      <c r="AI296" s="151"/>
      <c r="AJ296" s="151"/>
      <c r="AK296" s="151"/>
      <c r="AL296" s="151"/>
      <c r="AM296" s="151"/>
      <c r="AN296" s="151"/>
      <c r="AO296" s="151"/>
      <c r="AP296" s="151"/>
      <c r="AQ296" s="151"/>
      <c r="AR296" s="151"/>
      <c r="AS296" s="151"/>
      <c r="AT296" s="152"/>
    </row>
    <row r="297" spans="1:46" x14ac:dyDescent="0.3">
      <c r="A297" s="143"/>
      <c r="B297" s="144"/>
      <c r="C297" s="145"/>
      <c r="D297" s="146"/>
      <c r="E297" s="144"/>
      <c r="F297" s="144"/>
      <c r="G297" s="144"/>
      <c r="H297" s="144"/>
      <c r="I297" s="148"/>
      <c r="J297" s="149">
        <f t="shared" si="17"/>
        <v>0</v>
      </c>
      <c r="K297" s="150">
        <f t="shared" si="18"/>
        <v>0</v>
      </c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  <c r="AB297" s="151"/>
      <c r="AC297" s="151"/>
      <c r="AD297" s="151"/>
      <c r="AE297" s="151"/>
      <c r="AF297" s="151"/>
      <c r="AG297" s="151"/>
      <c r="AH297" s="151"/>
      <c r="AI297" s="151"/>
      <c r="AJ297" s="151"/>
      <c r="AK297" s="151"/>
      <c r="AL297" s="151"/>
      <c r="AM297" s="151"/>
      <c r="AN297" s="151"/>
      <c r="AO297" s="151"/>
      <c r="AP297" s="151"/>
      <c r="AQ297" s="151"/>
      <c r="AR297" s="151"/>
      <c r="AS297" s="151"/>
      <c r="AT297" s="152"/>
    </row>
    <row r="298" spans="1:46" x14ac:dyDescent="0.3">
      <c r="A298" s="143"/>
      <c r="B298" s="144"/>
      <c r="C298" s="145"/>
      <c r="D298" s="146"/>
      <c r="E298" s="144"/>
      <c r="F298" s="144"/>
      <c r="G298" s="144"/>
      <c r="H298" s="144"/>
      <c r="I298" s="148"/>
      <c r="J298" s="149">
        <f t="shared" si="17"/>
        <v>0</v>
      </c>
      <c r="K298" s="150">
        <f t="shared" si="18"/>
        <v>0</v>
      </c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  <c r="AA298" s="151"/>
      <c r="AB298" s="151"/>
      <c r="AC298" s="151"/>
      <c r="AD298" s="151"/>
      <c r="AE298" s="151"/>
      <c r="AF298" s="151"/>
      <c r="AG298" s="151"/>
      <c r="AH298" s="151"/>
      <c r="AI298" s="151"/>
      <c r="AJ298" s="151"/>
      <c r="AK298" s="151"/>
      <c r="AL298" s="151"/>
      <c r="AM298" s="151"/>
      <c r="AN298" s="151"/>
      <c r="AO298" s="151"/>
      <c r="AP298" s="151"/>
      <c r="AQ298" s="151"/>
      <c r="AR298" s="151"/>
      <c r="AS298" s="151"/>
      <c r="AT298" s="152"/>
    </row>
    <row r="299" spans="1:46" x14ac:dyDescent="0.3">
      <c r="A299" s="143"/>
      <c r="B299" s="144"/>
      <c r="C299" s="145"/>
      <c r="D299" s="146"/>
      <c r="E299" s="144"/>
      <c r="F299" s="144"/>
      <c r="G299" s="144"/>
      <c r="H299" s="144"/>
      <c r="I299" s="148"/>
      <c r="J299" s="149">
        <f t="shared" si="17"/>
        <v>0</v>
      </c>
      <c r="K299" s="150">
        <f t="shared" si="18"/>
        <v>0</v>
      </c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  <c r="AB299" s="151"/>
      <c r="AC299" s="151"/>
      <c r="AD299" s="151"/>
      <c r="AE299" s="151"/>
      <c r="AF299" s="151"/>
      <c r="AG299" s="151"/>
      <c r="AH299" s="151"/>
      <c r="AI299" s="151"/>
      <c r="AJ299" s="151"/>
      <c r="AK299" s="151"/>
      <c r="AL299" s="151"/>
      <c r="AM299" s="151"/>
      <c r="AN299" s="151"/>
      <c r="AO299" s="151"/>
      <c r="AP299" s="151"/>
      <c r="AQ299" s="151"/>
      <c r="AR299" s="151"/>
      <c r="AS299" s="151"/>
      <c r="AT299" s="152"/>
    </row>
    <row r="300" spans="1:46" x14ac:dyDescent="0.3">
      <c r="A300" s="143"/>
      <c r="B300" s="144"/>
      <c r="C300" s="145"/>
      <c r="D300" s="146"/>
      <c r="E300" s="144"/>
      <c r="F300" s="144"/>
      <c r="G300" s="144"/>
      <c r="H300" s="144"/>
      <c r="I300" s="148"/>
      <c r="J300" s="149">
        <f t="shared" si="17"/>
        <v>0</v>
      </c>
      <c r="K300" s="150">
        <f t="shared" si="18"/>
        <v>0</v>
      </c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  <c r="AB300" s="151"/>
      <c r="AC300" s="151"/>
      <c r="AD300" s="151"/>
      <c r="AE300" s="151"/>
      <c r="AF300" s="151"/>
      <c r="AG300" s="151"/>
      <c r="AH300" s="151"/>
      <c r="AI300" s="151"/>
      <c r="AJ300" s="151"/>
      <c r="AK300" s="151"/>
      <c r="AL300" s="151"/>
      <c r="AM300" s="151"/>
      <c r="AN300" s="151"/>
      <c r="AO300" s="151"/>
      <c r="AP300" s="151"/>
      <c r="AQ300" s="151"/>
      <c r="AR300" s="151"/>
      <c r="AS300" s="151"/>
      <c r="AT300" s="152"/>
    </row>
    <row r="301" spans="1:46" x14ac:dyDescent="0.3">
      <c r="A301" s="143"/>
      <c r="B301" s="144"/>
      <c r="C301" s="145"/>
      <c r="D301" s="146"/>
      <c r="E301" s="144"/>
      <c r="F301" s="144"/>
      <c r="G301" s="144"/>
      <c r="H301" s="144"/>
      <c r="I301" s="148"/>
      <c r="J301" s="149">
        <f t="shared" si="17"/>
        <v>0</v>
      </c>
      <c r="K301" s="150">
        <f t="shared" si="18"/>
        <v>0</v>
      </c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  <c r="AB301" s="151"/>
      <c r="AC301" s="151"/>
      <c r="AD301" s="151"/>
      <c r="AE301" s="151"/>
      <c r="AF301" s="151"/>
      <c r="AG301" s="151"/>
      <c r="AH301" s="151"/>
      <c r="AI301" s="151"/>
      <c r="AJ301" s="151"/>
      <c r="AK301" s="151"/>
      <c r="AL301" s="151"/>
      <c r="AM301" s="151"/>
      <c r="AN301" s="151"/>
      <c r="AO301" s="151"/>
      <c r="AP301" s="151"/>
      <c r="AQ301" s="151"/>
      <c r="AR301" s="151"/>
      <c r="AS301" s="151"/>
      <c r="AT301" s="152"/>
    </row>
    <row r="302" spans="1:46" x14ac:dyDescent="0.3">
      <c r="A302" s="143"/>
      <c r="B302" s="144"/>
      <c r="C302" s="145"/>
      <c r="D302" s="146"/>
      <c r="E302" s="144"/>
      <c r="F302" s="144"/>
      <c r="G302" s="144"/>
      <c r="H302" s="144"/>
      <c r="I302" s="148"/>
      <c r="J302" s="149">
        <f t="shared" si="17"/>
        <v>0</v>
      </c>
      <c r="K302" s="150">
        <f t="shared" si="18"/>
        <v>0</v>
      </c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  <c r="AB302" s="151"/>
      <c r="AC302" s="151"/>
      <c r="AD302" s="151"/>
      <c r="AE302" s="151"/>
      <c r="AF302" s="151"/>
      <c r="AG302" s="151"/>
      <c r="AH302" s="151"/>
      <c r="AI302" s="151"/>
      <c r="AJ302" s="151"/>
      <c r="AK302" s="151"/>
      <c r="AL302" s="151"/>
      <c r="AM302" s="151"/>
      <c r="AN302" s="151"/>
      <c r="AO302" s="151"/>
      <c r="AP302" s="151"/>
      <c r="AQ302" s="151"/>
      <c r="AR302" s="151"/>
      <c r="AS302" s="151"/>
      <c r="AT302" s="152"/>
    </row>
    <row r="303" spans="1:46" x14ac:dyDescent="0.3">
      <c r="A303" s="143"/>
      <c r="B303" s="144"/>
      <c r="C303" s="145"/>
      <c r="D303" s="146"/>
      <c r="E303" s="144"/>
      <c r="F303" s="144"/>
      <c r="G303" s="144"/>
      <c r="H303" s="144"/>
      <c r="I303" s="148"/>
      <c r="J303" s="149">
        <f t="shared" si="17"/>
        <v>0</v>
      </c>
      <c r="K303" s="150">
        <f t="shared" si="18"/>
        <v>0</v>
      </c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  <c r="AB303" s="151"/>
      <c r="AC303" s="151"/>
      <c r="AD303" s="151"/>
      <c r="AE303" s="151"/>
      <c r="AF303" s="151"/>
      <c r="AG303" s="151"/>
      <c r="AH303" s="151"/>
      <c r="AI303" s="151"/>
      <c r="AJ303" s="151"/>
      <c r="AK303" s="151"/>
      <c r="AL303" s="151"/>
      <c r="AM303" s="151"/>
      <c r="AN303" s="151"/>
      <c r="AO303" s="151"/>
      <c r="AP303" s="151"/>
      <c r="AQ303" s="151"/>
      <c r="AR303" s="151"/>
      <c r="AS303" s="151"/>
      <c r="AT303" s="152"/>
    </row>
    <row r="304" spans="1:46" x14ac:dyDescent="0.3">
      <c r="A304" s="143"/>
      <c r="B304" s="144"/>
      <c r="C304" s="145"/>
      <c r="D304" s="146"/>
      <c r="E304" s="144"/>
      <c r="F304" s="144"/>
      <c r="G304" s="144"/>
      <c r="H304" s="144"/>
      <c r="I304" s="148"/>
      <c r="J304" s="149">
        <f t="shared" si="17"/>
        <v>0</v>
      </c>
      <c r="K304" s="150">
        <f t="shared" si="18"/>
        <v>0</v>
      </c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  <c r="AB304" s="151"/>
      <c r="AC304" s="151"/>
      <c r="AD304" s="151"/>
      <c r="AE304" s="151"/>
      <c r="AF304" s="151"/>
      <c r="AG304" s="151"/>
      <c r="AH304" s="151"/>
      <c r="AI304" s="151"/>
      <c r="AJ304" s="151"/>
      <c r="AK304" s="151"/>
      <c r="AL304" s="151"/>
      <c r="AM304" s="151"/>
      <c r="AN304" s="151"/>
      <c r="AO304" s="151"/>
      <c r="AP304" s="151"/>
      <c r="AQ304" s="151"/>
      <c r="AR304" s="151"/>
      <c r="AS304" s="151"/>
      <c r="AT304" s="152"/>
    </row>
    <row r="305" spans="1:46" x14ac:dyDescent="0.3">
      <c r="A305" s="143"/>
      <c r="B305" s="144"/>
      <c r="C305" s="145"/>
      <c r="D305" s="146"/>
      <c r="E305" s="144"/>
      <c r="F305" s="144"/>
      <c r="G305" s="144"/>
      <c r="H305" s="144"/>
      <c r="I305" s="148"/>
      <c r="J305" s="149">
        <f t="shared" si="17"/>
        <v>0</v>
      </c>
      <c r="K305" s="150">
        <f t="shared" si="18"/>
        <v>0</v>
      </c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  <c r="AB305" s="151"/>
      <c r="AC305" s="151"/>
      <c r="AD305" s="151"/>
      <c r="AE305" s="151"/>
      <c r="AF305" s="151"/>
      <c r="AG305" s="151"/>
      <c r="AH305" s="151"/>
      <c r="AI305" s="151"/>
      <c r="AJ305" s="151"/>
      <c r="AK305" s="151"/>
      <c r="AL305" s="151"/>
      <c r="AM305" s="151"/>
      <c r="AN305" s="151"/>
      <c r="AO305" s="151"/>
      <c r="AP305" s="151"/>
      <c r="AQ305" s="151"/>
      <c r="AR305" s="151"/>
      <c r="AS305" s="151"/>
      <c r="AT305" s="152"/>
    </row>
    <row r="306" spans="1:46" x14ac:dyDescent="0.3">
      <c r="A306" s="143"/>
      <c r="B306" s="144"/>
      <c r="C306" s="145"/>
      <c r="D306" s="146"/>
      <c r="E306" s="144"/>
      <c r="F306" s="144"/>
      <c r="G306" s="144"/>
      <c r="H306" s="144"/>
      <c r="I306" s="148"/>
      <c r="J306" s="149">
        <f t="shared" si="17"/>
        <v>0</v>
      </c>
      <c r="K306" s="150">
        <f t="shared" si="18"/>
        <v>0</v>
      </c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  <c r="AB306" s="151"/>
      <c r="AC306" s="151"/>
      <c r="AD306" s="151"/>
      <c r="AE306" s="151"/>
      <c r="AF306" s="151"/>
      <c r="AG306" s="151"/>
      <c r="AH306" s="151"/>
      <c r="AI306" s="151"/>
      <c r="AJ306" s="151"/>
      <c r="AK306" s="151"/>
      <c r="AL306" s="151"/>
      <c r="AM306" s="151"/>
      <c r="AN306" s="151"/>
      <c r="AO306" s="151"/>
      <c r="AP306" s="151"/>
      <c r="AQ306" s="151"/>
      <c r="AR306" s="151"/>
      <c r="AS306" s="151"/>
      <c r="AT306" s="152"/>
    </row>
    <row r="307" spans="1:46" x14ac:dyDescent="0.3">
      <c r="A307" s="143"/>
      <c r="B307" s="144"/>
      <c r="C307" s="145"/>
      <c r="D307" s="146"/>
      <c r="E307" s="144"/>
      <c r="F307" s="144"/>
      <c r="G307" s="144"/>
      <c r="H307" s="144"/>
      <c r="I307" s="148"/>
      <c r="J307" s="149">
        <f t="shared" si="17"/>
        <v>0</v>
      </c>
      <c r="K307" s="150">
        <f t="shared" si="18"/>
        <v>0</v>
      </c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  <c r="AB307" s="151"/>
      <c r="AC307" s="151"/>
      <c r="AD307" s="151"/>
      <c r="AE307" s="151"/>
      <c r="AF307" s="151"/>
      <c r="AG307" s="151"/>
      <c r="AH307" s="151"/>
      <c r="AI307" s="151"/>
      <c r="AJ307" s="151"/>
      <c r="AK307" s="151"/>
      <c r="AL307" s="151"/>
      <c r="AM307" s="151"/>
      <c r="AN307" s="151"/>
      <c r="AO307" s="151"/>
      <c r="AP307" s="151"/>
      <c r="AQ307" s="151"/>
      <c r="AR307" s="151"/>
      <c r="AS307" s="151"/>
      <c r="AT307" s="152"/>
    </row>
    <row r="308" spans="1:46" x14ac:dyDescent="0.3">
      <c r="A308" s="143"/>
      <c r="B308" s="144"/>
      <c r="C308" s="145"/>
      <c r="D308" s="146"/>
      <c r="E308" s="144"/>
      <c r="F308" s="144"/>
      <c r="G308" s="144"/>
      <c r="H308" s="144"/>
      <c r="I308" s="148"/>
      <c r="J308" s="149">
        <f t="shared" si="17"/>
        <v>0</v>
      </c>
      <c r="K308" s="150">
        <f t="shared" si="18"/>
        <v>0</v>
      </c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  <c r="AB308" s="151"/>
      <c r="AC308" s="151"/>
      <c r="AD308" s="151"/>
      <c r="AE308" s="151"/>
      <c r="AF308" s="151"/>
      <c r="AG308" s="151"/>
      <c r="AH308" s="151"/>
      <c r="AI308" s="151"/>
      <c r="AJ308" s="151"/>
      <c r="AK308" s="151"/>
      <c r="AL308" s="151"/>
      <c r="AM308" s="151"/>
      <c r="AN308" s="151"/>
      <c r="AO308" s="151"/>
      <c r="AP308" s="151"/>
      <c r="AQ308" s="151"/>
      <c r="AR308" s="151"/>
      <c r="AS308" s="151"/>
      <c r="AT308" s="152"/>
    </row>
    <row r="309" spans="1:46" x14ac:dyDescent="0.3">
      <c r="A309" s="143"/>
      <c r="B309" s="144"/>
      <c r="C309" s="145"/>
      <c r="D309" s="146"/>
      <c r="E309" s="144"/>
      <c r="F309" s="144"/>
      <c r="G309" s="144"/>
      <c r="H309" s="144"/>
      <c r="I309" s="148"/>
      <c r="J309" s="149">
        <f t="shared" si="17"/>
        <v>0</v>
      </c>
      <c r="K309" s="150">
        <f t="shared" si="18"/>
        <v>0</v>
      </c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  <c r="AB309" s="151"/>
      <c r="AC309" s="151"/>
      <c r="AD309" s="151"/>
      <c r="AE309" s="151"/>
      <c r="AF309" s="151"/>
      <c r="AG309" s="151"/>
      <c r="AH309" s="151"/>
      <c r="AI309" s="151"/>
      <c r="AJ309" s="151"/>
      <c r="AK309" s="151"/>
      <c r="AL309" s="151"/>
      <c r="AM309" s="151"/>
      <c r="AN309" s="151"/>
      <c r="AO309" s="151"/>
      <c r="AP309" s="151"/>
      <c r="AQ309" s="151"/>
      <c r="AR309" s="151"/>
      <c r="AS309" s="151"/>
      <c r="AT309" s="152"/>
    </row>
    <row r="310" spans="1:46" x14ac:dyDescent="0.3">
      <c r="A310" s="143"/>
      <c r="B310" s="144"/>
      <c r="C310" s="145"/>
      <c r="D310" s="146"/>
      <c r="E310" s="144"/>
      <c r="F310" s="144"/>
      <c r="G310" s="144"/>
      <c r="H310" s="144"/>
      <c r="I310" s="148"/>
      <c r="J310" s="149">
        <f t="shared" si="17"/>
        <v>0</v>
      </c>
      <c r="K310" s="150">
        <f t="shared" si="18"/>
        <v>0</v>
      </c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  <c r="AB310" s="151"/>
      <c r="AC310" s="151"/>
      <c r="AD310" s="151"/>
      <c r="AE310" s="151"/>
      <c r="AF310" s="151"/>
      <c r="AG310" s="151"/>
      <c r="AH310" s="151"/>
      <c r="AI310" s="151"/>
      <c r="AJ310" s="151"/>
      <c r="AK310" s="151"/>
      <c r="AL310" s="151"/>
      <c r="AM310" s="151"/>
      <c r="AN310" s="151"/>
      <c r="AO310" s="151"/>
      <c r="AP310" s="151"/>
      <c r="AQ310" s="151"/>
      <c r="AR310" s="151"/>
      <c r="AS310" s="151"/>
      <c r="AT310" s="152"/>
    </row>
    <row r="311" spans="1:46" x14ac:dyDescent="0.3">
      <c r="A311" s="143"/>
      <c r="B311" s="144"/>
      <c r="C311" s="145"/>
      <c r="D311" s="146"/>
      <c r="E311" s="144"/>
      <c r="F311" s="144"/>
      <c r="G311" s="144"/>
      <c r="H311" s="144"/>
      <c r="I311" s="148"/>
      <c r="J311" s="149">
        <f t="shared" si="17"/>
        <v>0</v>
      </c>
      <c r="K311" s="150">
        <f t="shared" si="18"/>
        <v>0</v>
      </c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  <c r="AB311" s="151"/>
      <c r="AC311" s="151"/>
      <c r="AD311" s="151"/>
      <c r="AE311" s="151"/>
      <c r="AF311" s="151"/>
      <c r="AG311" s="151"/>
      <c r="AH311" s="151"/>
      <c r="AI311" s="151"/>
      <c r="AJ311" s="151"/>
      <c r="AK311" s="151"/>
      <c r="AL311" s="151"/>
      <c r="AM311" s="151"/>
      <c r="AN311" s="151"/>
      <c r="AO311" s="151"/>
      <c r="AP311" s="151"/>
      <c r="AQ311" s="151"/>
      <c r="AR311" s="151"/>
      <c r="AS311" s="151"/>
      <c r="AT311" s="152"/>
    </row>
    <row r="312" spans="1:46" x14ac:dyDescent="0.3">
      <c r="A312" s="143"/>
      <c r="B312" s="144"/>
      <c r="C312" s="145"/>
      <c r="D312" s="146"/>
      <c r="E312" s="144"/>
      <c r="F312" s="144"/>
      <c r="G312" s="144"/>
      <c r="H312" s="144"/>
      <c r="I312" s="148"/>
      <c r="J312" s="149">
        <f t="shared" si="17"/>
        <v>0</v>
      </c>
      <c r="K312" s="150">
        <f t="shared" si="18"/>
        <v>0</v>
      </c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  <c r="AB312" s="151"/>
      <c r="AC312" s="151"/>
      <c r="AD312" s="151"/>
      <c r="AE312" s="151"/>
      <c r="AF312" s="151"/>
      <c r="AG312" s="151"/>
      <c r="AH312" s="151"/>
      <c r="AI312" s="151"/>
      <c r="AJ312" s="151"/>
      <c r="AK312" s="151"/>
      <c r="AL312" s="151"/>
      <c r="AM312" s="151"/>
      <c r="AN312" s="151"/>
      <c r="AO312" s="151"/>
      <c r="AP312" s="151"/>
      <c r="AQ312" s="151"/>
      <c r="AR312" s="151"/>
      <c r="AS312" s="151"/>
      <c r="AT312" s="152"/>
    </row>
    <row r="313" spans="1:46" x14ac:dyDescent="0.3">
      <c r="A313" s="143"/>
      <c r="B313" s="144"/>
      <c r="C313" s="145"/>
      <c r="D313" s="146"/>
      <c r="E313" s="144"/>
      <c r="F313" s="144"/>
      <c r="G313" s="144"/>
      <c r="H313" s="144"/>
      <c r="I313" s="148"/>
      <c r="J313" s="149">
        <f t="shared" si="17"/>
        <v>0</v>
      </c>
      <c r="K313" s="150">
        <f t="shared" si="18"/>
        <v>0</v>
      </c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  <c r="AB313" s="151"/>
      <c r="AC313" s="151"/>
      <c r="AD313" s="151"/>
      <c r="AE313" s="151"/>
      <c r="AF313" s="151"/>
      <c r="AG313" s="151"/>
      <c r="AH313" s="151"/>
      <c r="AI313" s="151"/>
      <c r="AJ313" s="151"/>
      <c r="AK313" s="151"/>
      <c r="AL313" s="151"/>
      <c r="AM313" s="151"/>
      <c r="AN313" s="151"/>
      <c r="AO313" s="151"/>
      <c r="AP313" s="151"/>
      <c r="AQ313" s="151"/>
      <c r="AR313" s="151"/>
      <c r="AS313" s="151"/>
      <c r="AT313" s="152"/>
    </row>
    <row r="314" spans="1:46" x14ac:dyDescent="0.3">
      <c r="A314" s="143"/>
      <c r="B314" s="144"/>
      <c r="C314" s="145"/>
      <c r="D314" s="146"/>
      <c r="E314" s="144"/>
      <c r="F314" s="144"/>
      <c r="G314" s="144"/>
      <c r="H314" s="144"/>
      <c r="I314" s="148"/>
      <c r="J314" s="149">
        <f t="shared" si="17"/>
        <v>0</v>
      </c>
      <c r="K314" s="150">
        <f t="shared" si="18"/>
        <v>0</v>
      </c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  <c r="AB314" s="151"/>
      <c r="AC314" s="151"/>
      <c r="AD314" s="151"/>
      <c r="AE314" s="151"/>
      <c r="AF314" s="151"/>
      <c r="AG314" s="151"/>
      <c r="AH314" s="151"/>
      <c r="AI314" s="151"/>
      <c r="AJ314" s="151"/>
      <c r="AK314" s="151"/>
      <c r="AL314" s="151"/>
      <c r="AM314" s="151"/>
      <c r="AN314" s="151"/>
      <c r="AO314" s="151"/>
      <c r="AP314" s="151"/>
      <c r="AQ314" s="151"/>
      <c r="AR314" s="151"/>
      <c r="AS314" s="151"/>
      <c r="AT314" s="152"/>
    </row>
    <row r="315" spans="1:46" x14ac:dyDescent="0.3">
      <c r="A315" s="143"/>
      <c r="B315" s="144"/>
      <c r="C315" s="145"/>
      <c r="D315" s="146"/>
      <c r="E315" s="144"/>
      <c r="F315" s="144"/>
      <c r="G315" s="144"/>
      <c r="H315" s="144"/>
      <c r="I315" s="148"/>
      <c r="J315" s="149">
        <f t="shared" si="17"/>
        <v>0</v>
      </c>
      <c r="K315" s="150">
        <f t="shared" si="18"/>
        <v>0</v>
      </c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  <c r="AA315" s="151"/>
      <c r="AB315" s="151"/>
      <c r="AC315" s="151"/>
      <c r="AD315" s="151"/>
      <c r="AE315" s="151"/>
      <c r="AF315" s="151"/>
      <c r="AG315" s="151"/>
      <c r="AH315" s="151"/>
      <c r="AI315" s="151"/>
      <c r="AJ315" s="151"/>
      <c r="AK315" s="151"/>
      <c r="AL315" s="151"/>
      <c r="AM315" s="151"/>
      <c r="AN315" s="151"/>
      <c r="AO315" s="151"/>
      <c r="AP315" s="151"/>
      <c r="AQ315" s="151"/>
      <c r="AR315" s="151"/>
      <c r="AS315" s="151"/>
      <c r="AT315" s="152"/>
    </row>
    <row r="316" spans="1:46" x14ac:dyDescent="0.3">
      <c r="A316" s="143"/>
      <c r="B316" s="144"/>
      <c r="C316" s="145"/>
      <c r="D316" s="146"/>
      <c r="E316" s="144"/>
      <c r="F316" s="144"/>
      <c r="G316" s="144"/>
      <c r="H316" s="144"/>
      <c r="I316" s="148"/>
      <c r="J316" s="149">
        <f t="shared" si="17"/>
        <v>0</v>
      </c>
      <c r="K316" s="150">
        <f t="shared" si="18"/>
        <v>0</v>
      </c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  <c r="AA316" s="151"/>
      <c r="AB316" s="151"/>
      <c r="AC316" s="151"/>
      <c r="AD316" s="151"/>
      <c r="AE316" s="151"/>
      <c r="AF316" s="151"/>
      <c r="AG316" s="151"/>
      <c r="AH316" s="151"/>
      <c r="AI316" s="151"/>
      <c r="AJ316" s="151"/>
      <c r="AK316" s="151"/>
      <c r="AL316" s="151"/>
      <c r="AM316" s="151"/>
      <c r="AN316" s="151"/>
      <c r="AO316" s="151"/>
      <c r="AP316" s="151"/>
      <c r="AQ316" s="151"/>
      <c r="AR316" s="151"/>
      <c r="AS316" s="151"/>
      <c r="AT316" s="152"/>
    </row>
    <row r="317" spans="1:46" x14ac:dyDescent="0.3">
      <c r="A317" s="143"/>
      <c r="B317" s="144"/>
      <c r="C317" s="145"/>
      <c r="D317" s="146"/>
      <c r="E317" s="144"/>
      <c r="F317" s="144"/>
      <c r="G317" s="144"/>
      <c r="H317" s="144"/>
      <c r="I317" s="148"/>
      <c r="J317" s="149">
        <f t="shared" si="17"/>
        <v>0</v>
      </c>
      <c r="K317" s="150">
        <f t="shared" si="18"/>
        <v>0</v>
      </c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  <c r="AA317" s="151"/>
      <c r="AB317" s="151"/>
      <c r="AC317" s="151"/>
      <c r="AD317" s="151"/>
      <c r="AE317" s="151"/>
      <c r="AF317" s="151"/>
      <c r="AG317" s="151"/>
      <c r="AH317" s="151"/>
      <c r="AI317" s="151"/>
      <c r="AJ317" s="151"/>
      <c r="AK317" s="151"/>
      <c r="AL317" s="151"/>
      <c r="AM317" s="151"/>
      <c r="AN317" s="151"/>
      <c r="AO317" s="151"/>
      <c r="AP317" s="151"/>
      <c r="AQ317" s="151"/>
      <c r="AR317" s="151"/>
      <c r="AS317" s="151"/>
      <c r="AT317" s="152"/>
    </row>
    <row r="318" spans="1:46" x14ac:dyDescent="0.3">
      <c r="A318" s="143"/>
      <c r="B318" s="144"/>
      <c r="C318" s="145"/>
      <c r="D318" s="146"/>
      <c r="E318" s="144"/>
      <c r="F318" s="144"/>
      <c r="G318" s="144"/>
      <c r="H318" s="144"/>
      <c r="I318" s="148"/>
      <c r="J318" s="149">
        <f t="shared" si="17"/>
        <v>0</v>
      </c>
      <c r="K318" s="150">
        <f t="shared" si="18"/>
        <v>0</v>
      </c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  <c r="AB318" s="151"/>
      <c r="AC318" s="151"/>
      <c r="AD318" s="151"/>
      <c r="AE318" s="151"/>
      <c r="AF318" s="151"/>
      <c r="AG318" s="151"/>
      <c r="AH318" s="151"/>
      <c r="AI318" s="151"/>
      <c r="AJ318" s="151"/>
      <c r="AK318" s="151"/>
      <c r="AL318" s="151"/>
      <c r="AM318" s="151"/>
      <c r="AN318" s="151"/>
      <c r="AO318" s="151"/>
      <c r="AP318" s="151"/>
      <c r="AQ318" s="151"/>
      <c r="AR318" s="151"/>
      <c r="AS318" s="151"/>
      <c r="AT318" s="152"/>
    </row>
    <row r="319" spans="1:46" x14ac:dyDescent="0.3">
      <c r="A319" s="143"/>
      <c r="B319" s="144"/>
      <c r="C319" s="145"/>
      <c r="D319" s="146"/>
      <c r="E319" s="144"/>
      <c r="F319" s="144"/>
      <c r="G319" s="144"/>
      <c r="H319" s="144"/>
      <c r="I319" s="148"/>
      <c r="J319" s="149">
        <f t="shared" si="17"/>
        <v>0</v>
      </c>
      <c r="K319" s="150">
        <f t="shared" si="18"/>
        <v>0</v>
      </c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  <c r="AB319" s="151"/>
      <c r="AC319" s="151"/>
      <c r="AD319" s="151"/>
      <c r="AE319" s="151"/>
      <c r="AF319" s="151"/>
      <c r="AG319" s="151"/>
      <c r="AH319" s="151"/>
      <c r="AI319" s="151"/>
      <c r="AJ319" s="151"/>
      <c r="AK319" s="151"/>
      <c r="AL319" s="151"/>
      <c r="AM319" s="151"/>
      <c r="AN319" s="151"/>
      <c r="AO319" s="151"/>
      <c r="AP319" s="151"/>
      <c r="AQ319" s="151"/>
      <c r="AR319" s="151"/>
      <c r="AS319" s="151"/>
      <c r="AT319" s="152"/>
    </row>
    <row r="320" spans="1:46" x14ac:dyDescent="0.3">
      <c r="A320" s="143"/>
      <c r="B320" s="144"/>
      <c r="C320" s="145"/>
      <c r="D320" s="146"/>
      <c r="E320" s="144"/>
      <c r="F320" s="144"/>
      <c r="G320" s="144"/>
      <c r="H320" s="144"/>
      <c r="I320" s="148"/>
      <c r="J320" s="149">
        <f t="shared" si="17"/>
        <v>0</v>
      </c>
      <c r="K320" s="150">
        <f t="shared" si="18"/>
        <v>0</v>
      </c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  <c r="AB320" s="151"/>
      <c r="AC320" s="151"/>
      <c r="AD320" s="151"/>
      <c r="AE320" s="151"/>
      <c r="AF320" s="151"/>
      <c r="AG320" s="151"/>
      <c r="AH320" s="151"/>
      <c r="AI320" s="151"/>
      <c r="AJ320" s="151"/>
      <c r="AK320" s="151"/>
      <c r="AL320" s="151"/>
      <c r="AM320" s="151"/>
      <c r="AN320" s="151"/>
      <c r="AO320" s="151"/>
      <c r="AP320" s="151"/>
      <c r="AQ320" s="151"/>
      <c r="AR320" s="151"/>
      <c r="AS320" s="151"/>
      <c r="AT320" s="152"/>
    </row>
    <row r="321" spans="1:46" x14ac:dyDescent="0.3">
      <c r="A321" s="143"/>
      <c r="B321" s="144"/>
      <c r="C321" s="145"/>
      <c r="D321" s="146"/>
      <c r="E321" s="144"/>
      <c r="F321" s="144"/>
      <c r="G321" s="144"/>
      <c r="H321" s="144"/>
      <c r="I321" s="148"/>
      <c r="J321" s="149">
        <f t="shared" si="17"/>
        <v>0</v>
      </c>
      <c r="K321" s="150">
        <f t="shared" si="18"/>
        <v>0</v>
      </c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  <c r="AB321" s="151"/>
      <c r="AC321" s="151"/>
      <c r="AD321" s="151"/>
      <c r="AE321" s="151"/>
      <c r="AF321" s="151"/>
      <c r="AG321" s="151"/>
      <c r="AH321" s="151"/>
      <c r="AI321" s="151"/>
      <c r="AJ321" s="151"/>
      <c r="AK321" s="151"/>
      <c r="AL321" s="151"/>
      <c r="AM321" s="151"/>
      <c r="AN321" s="151"/>
      <c r="AO321" s="151"/>
      <c r="AP321" s="151"/>
      <c r="AQ321" s="151"/>
      <c r="AR321" s="151"/>
      <c r="AS321" s="151"/>
      <c r="AT321" s="152"/>
    </row>
    <row r="322" spans="1:46" x14ac:dyDescent="0.3">
      <c r="A322" s="143"/>
      <c r="B322" s="144"/>
      <c r="C322" s="145"/>
      <c r="D322" s="146"/>
      <c r="E322" s="144"/>
      <c r="F322" s="144"/>
      <c r="G322" s="144"/>
      <c r="H322" s="144"/>
      <c r="I322" s="148"/>
      <c r="J322" s="149">
        <f t="shared" si="17"/>
        <v>0</v>
      </c>
      <c r="K322" s="150">
        <f t="shared" si="18"/>
        <v>0</v>
      </c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  <c r="AB322" s="151"/>
      <c r="AC322" s="151"/>
      <c r="AD322" s="151"/>
      <c r="AE322" s="151"/>
      <c r="AF322" s="151"/>
      <c r="AG322" s="151"/>
      <c r="AH322" s="151"/>
      <c r="AI322" s="151"/>
      <c r="AJ322" s="151"/>
      <c r="AK322" s="151"/>
      <c r="AL322" s="151"/>
      <c r="AM322" s="151"/>
      <c r="AN322" s="151"/>
      <c r="AO322" s="151"/>
      <c r="AP322" s="151"/>
      <c r="AQ322" s="151"/>
      <c r="AR322" s="151"/>
      <c r="AS322" s="151"/>
      <c r="AT322" s="152"/>
    </row>
    <row r="323" spans="1:46" x14ac:dyDescent="0.3">
      <c r="A323" s="143"/>
      <c r="B323" s="144"/>
      <c r="C323" s="145"/>
      <c r="D323" s="146"/>
      <c r="E323" s="144"/>
      <c r="F323" s="144"/>
      <c r="G323" s="144"/>
      <c r="H323" s="144"/>
      <c r="I323" s="148"/>
      <c r="J323" s="149">
        <f t="shared" si="17"/>
        <v>0</v>
      </c>
      <c r="K323" s="150">
        <f t="shared" si="18"/>
        <v>0</v>
      </c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  <c r="AB323" s="151"/>
      <c r="AC323" s="151"/>
      <c r="AD323" s="151"/>
      <c r="AE323" s="151"/>
      <c r="AF323" s="151"/>
      <c r="AG323" s="151"/>
      <c r="AH323" s="151"/>
      <c r="AI323" s="151"/>
      <c r="AJ323" s="151"/>
      <c r="AK323" s="151"/>
      <c r="AL323" s="151"/>
      <c r="AM323" s="151"/>
      <c r="AN323" s="151"/>
      <c r="AO323" s="151"/>
      <c r="AP323" s="151"/>
      <c r="AQ323" s="151"/>
      <c r="AR323" s="151"/>
      <c r="AS323" s="151"/>
      <c r="AT323" s="152"/>
    </row>
    <row r="324" spans="1:46" x14ac:dyDescent="0.3">
      <c r="A324" s="143"/>
      <c r="B324" s="144"/>
      <c r="C324" s="145"/>
      <c r="D324" s="146"/>
      <c r="E324" s="144"/>
      <c r="F324" s="144"/>
      <c r="G324" s="144"/>
      <c r="H324" s="144"/>
      <c r="I324" s="148"/>
      <c r="J324" s="149">
        <f t="shared" si="17"/>
        <v>0</v>
      </c>
      <c r="K324" s="150">
        <f t="shared" si="18"/>
        <v>0</v>
      </c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  <c r="AB324" s="151"/>
      <c r="AC324" s="151"/>
      <c r="AD324" s="151"/>
      <c r="AE324" s="151"/>
      <c r="AF324" s="151"/>
      <c r="AG324" s="151"/>
      <c r="AH324" s="151"/>
      <c r="AI324" s="151"/>
      <c r="AJ324" s="151"/>
      <c r="AK324" s="151"/>
      <c r="AL324" s="151"/>
      <c r="AM324" s="151"/>
      <c r="AN324" s="151"/>
      <c r="AO324" s="151"/>
      <c r="AP324" s="151"/>
      <c r="AQ324" s="151"/>
      <c r="AR324" s="151"/>
      <c r="AS324" s="151"/>
      <c r="AT324" s="152"/>
    </row>
    <row r="325" spans="1:46" x14ac:dyDescent="0.3">
      <c r="A325" s="143"/>
      <c r="B325" s="144"/>
      <c r="C325" s="145"/>
      <c r="D325" s="146"/>
      <c r="E325" s="144"/>
      <c r="F325" s="144"/>
      <c r="G325" s="144"/>
      <c r="H325" s="144"/>
      <c r="I325" s="148"/>
      <c r="J325" s="149">
        <f t="shared" si="17"/>
        <v>0</v>
      </c>
      <c r="K325" s="150">
        <f t="shared" si="18"/>
        <v>0</v>
      </c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  <c r="AB325" s="151"/>
      <c r="AC325" s="151"/>
      <c r="AD325" s="151"/>
      <c r="AE325" s="151"/>
      <c r="AF325" s="151"/>
      <c r="AG325" s="151"/>
      <c r="AH325" s="151"/>
      <c r="AI325" s="151"/>
      <c r="AJ325" s="151"/>
      <c r="AK325" s="151"/>
      <c r="AL325" s="151"/>
      <c r="AM325" s="151"/>
      <c r="AN325" s="151"/>
      <c r="AO325" s="151"/>
      <c r="AP325" s="151"/>
      <c r="AQ325" s="151"/>
      <c r="AR325" s="151"/>
      <c r="AS325" s="151"/>
      <c r="AT325" s="152"/>
    </row>
    <row r="326" spans="1:46" x14ac:dyDescent="0.3">
      <c r="A326" s="143"/>
      <c r="B326" s="144"/>
      <c r="C326" s="145"/>
      <c r="D326" s="146"/>
      <c r="E326" s="144"/>
      <c r="F326" s="144"/>
      <c r="G326" s="144"/>
      <c r="H326" s="144"/>
      <c r="I326" s="148"/>
      <c r="J326" s="149">
        <f t="shared" si="17"/>
        <v>0</v>
      </c>
      <c r="K326" s="150">
        <f t="shared" si="18"/>
        <v>0</v>
      </c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1"/>
      <c r="AH326" s="151"/>
      <c r="AI326" s="151"/>
      <c r="AJ326" s="151"/>
      <c r="AK326" s="151"/>
      <c r="AL326" s="151"/>
      <c r="AM326" s="151"/>
      <c r="AN326" s="151"/>
      <c r="AO326" s="151"/>
      <c r="AP326" s="151"/>
      <c r="AQ326" s="151"/>
      <c r="AR326" s="151"/>
      <c r="AS326" s="151"/>
      <c r="AT326" s="152"/>
    </row>
    <row r="327" spans="1:46" x14ac:dyDescent="0.3">
      <c r="A327" s="143"/>
      <c r="B327" s="144"/>
      <c r="C327" s="145"/>
      <c r="D327" s="146"/>
      <c r="E327" s="144"/>
      <c r="F327" s="144"/>
      <c r="G327" s="144"/>
      <c r="H327" s="144"/>
      <c r="I327" s="148"/>
      <c r="J327" s="149">
        <f t="shared" si="17"/>
        <v>0</v>
      </c>
      <c r="K327" s="150">
        <f t="shared" si="18"/>
        <v>0</v>
      </c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1"/>
      <c r="AH327" s="151"/>
      <c r="AI327" s="151"/>
      <c r="AJ327" s="151"/>
      <c r="AK327" s="151"/>
      <c r="AL327" s="151"/>
      <c r="AM327" s="151"/>
      <c r="AN327" s="151"/>
      <c r="AO327" s="151"/>
      <c r="AP327" s="151"/>
      <c r="AQ327" s="151"/>
      <c r="AR327" s="151"/>
      <c r="AS327" s="151"/>
      <c r="AT327" s="152"/>
    </row>
    <row r="328" spans="1:46" x14ac:dyDescent="0.3">
      <c r="A328" s="143"/>
      <c r="B328" s="144"/>
      <c r="C328" s="145"/>
      <c r="D328" s="146"/>
      <c r="E328" s="144"/>
      <c r="F328" s="144"/>
      <c r="G328" s="144"/>
      <c r="H328" s="144"/>
      <c r="I328" s="148"/>
      <c r="J328" s="149">
        <f t="shared" si="17"/>
        <v>0</v>
      </c>
      <c r="K328" s="150">
        <f t="shared" si="18"/>
        <v>0</v>
      </c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1"/>
      <c r="AH328" s="151"/>
      <c r="AI328" s="151"/>
      <c r="AJ328" s="151"/>
      <c r="AK328" s="151"/>
      <c r="AL328" s="151"/>
      <c r="AM328" s="151"/>
      <c r="AN328" s="151"/>
      <c r="AO328" s="151"/>
      <c r="AP328" s="151"/>
      <c r="AQ328" s="151"/>
      <c r="AR328" s="151"/>
      <c r="AS328" s="151"/>
      <c r="AT328" s="152"/>
    </row>
    <row r="329" spans="1:46" x14ac:dyDescent="0.3">
      <c r="A329" s="143"/>
      <c r="B329" s="144"/>
      <c r="C329" s="145"/>
      <c r="D329" s="146"/>
      <c r="E329" s="144"/>
      <c r="F329" s="144"/>
      <c r="G329" s="144"/>
      <c r="H329" s="144"/>
      <c r="I329" s="148"/>
      <c r="J329" s="149">
        <f t="shared" si="17"/>
        <v>0</v>
      </c>
      <c r="K329" s="150">
        <f t="shared" si="18"/>
        <v>0</v>
      </c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1"/>
      <c r="AH329" s="151"/>
      <c r="AI329" s="151"/>
      <c r="AJ329" s="151"/>
      <c r="AK329" s="151"/>
      <c r="AL329" s="151"/>
      <c r="AM329" s="151"/>
      <c r="AN329" s="151"/>
      <c r="AO329" s="151"/>
      <c r="AP329" s="151"/>
      <c r="AQ329" s="151"/>
      <c r="AR329" s="151"/>
      <c r="AS329" s="151"/>
      <c r="AT329" s="152"/>
    </row>
    <row r="330" spans="1:46" x14ac:dyDescent="0.3">
      <c r="A330" s="143"/>
      <c r="B330" s="144"/>
      <c r="C330" s="145"/>
      <c r="D330" s="146"/>
      <c r="E330" s="144"/>
      <c r="F330" s="144"/>
      <c r="G330" s="144"/>
      <c r="H330" s="144"/>
      <c r="I330" s="148"/>
      <c r="J330" s="149">
        <f t="shared" si="17"/>
        <v>0</v>
      </c>
      <c r="K330" s="150">
        <f t="shared" si="18"/>
        <v>0</v>
      </c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1"/>
      <c r="AH330" s="151"/>
      <c r="AI330" s="151"/>
      <c r="AJ330" s="151"/>
      <c r="AK330" s="151"/>
      <c r="AL330" s="151"/>
      <c r="AM330" s="151"/>
      <c r="AN330" s="151"/>
      <c r="AO330" s="151"/>
      <c r="AP330" s="151"/>
      <c r="AQ330" s="151"/>
      <c r="AR330" s="151"/>
      <c r="AS330" s="151"/>
      <c r="AT330" s="152"/>
    </row>
    <row r="331" spans="1:46" x14ac:dyDescent="0.3">
      <c r="A331" s="143"/>
      <c r="B331" s="144"/>
      <c r="C331" s="145"/>
      <c r="D331" s="146"/>
      <c r="E331" s="144"/>
      <c r="F331" s="144"/>
      <c r="G331" s="144"/>
      <c r="H331" s="144"/>
      <c r="I331" s="148"/>
      <c r="J331" s="149">
        <f t="shared" si="17"/>
        <v>0</v>
      </c>
      <c r="K331" s="150">
        <f t="shared" si="18"/>
        <v>0</v>
      </c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1"/>
      <c r="AH331" s="151"/>
      <c r="AI331" s="151"/>
      <c r="AJ331" s="151"/>
      <c r="AK331" s="151"/>
      <c r="AL331" s="151"/>
      <c r="AM331" s="151"/>
      <c r="AN331" s="151"/>
      <c r="AO331" s="151"/>
      <c r="AP331" s="151"/>
      <c r="AQ331" s="151"/>
      <c r="AR331" s="151"/>
      <c r="AS331" s="151"/>
      <c r="AT331" s="152"/>
    </row>
    <row r="332" spans="1:46" x14ac:dyDescent="0.3">
      <c r="A332" s="143"/>
      <c r="B332" s="144"/>
      <c r="C332" s="145"/>
      <c r="D332" s="146"/>
      <c r="E332" s="144"/>
      <c r="F332" s="144"/>
      <c r="G332" s="144"/>
      <c r="H332" s="144"/>
      <c r="I332" s="148"/>
      <c r="J332" s="149">
        <f t="shared" si="17"/>
        <v>0</v>
      </c>
      <c r="K332" s="150">
        <f t="shared" si="18"/>
        <v>0</v>
      </c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1"/>
      <c r="AH332" s="151"/>
      <c r="AI332" s="151"/>
      <c r="AJ332" s="151"/>
      <c r="AK332" s="151"/>
      <c r="AL332" s="151"/>
      <c r="AM332" s="151"/>
      <c r="AN332" s="151"/>
      <c r="AO332" s="151"/>
      <c r="AP332" s="151"/>
      <c r="AQ332" s="151"/>
      <c r="AR332" s="151"/>
      <c r="AS332" s="151"/>
      <c r="AT332" s="152"/>
    </row>
    <row r="333" spans="1:46" x14ac:dyDescent="0.3">
      <c r="A333" s="143"/>
      <c r="B333" s="144"/>
      <c r="C333" s="145"/>
      <c r="D333" s="146"/>
      <c r="E333" s="144"/>
      <c r="F333" s="144"/>
      <c r="G333" s="144"/>
      <c r="H333" s="144"/>
      <c r="I333" s="148"/>
      <c r="J333" s="149">
        <f t="shared" si="17"/>
        <v>0</v>
      </c>
      <c r="K333" s="150">
        <f t="shared" si="18"/>
        <v>0</v>
      </c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1"/>
      <c r="AH333" s="151"/>
      <c r="AI333" s="151"/>
      <c r="AJ333" s="151"/>
      <c r="AK333" s="151"/>
      <c r="AL333" s="151"/>
      <c r="AM333" s="151"/>
      <c r="AN333" s="151"/>
      <c r="AO333" s="151"/>
      <c r="AP333" s="151"/>
      <c r="AQ333" s="151"/>
      <c r="AR333" s="151"/>
      <c r="AS333" s="151"/>
      <c r="AT333" s="152"/>
    </row>
    <row r="334" spans="1:46" x14ac:dyDescent="0.3">
      <c r="A334" s="143"/>
      <c r="B334" s="144"/>
      <c r="C334" s="145"/>
      <c r="D334" s="146"/>
      <c r="E334" s="144"/>
      <c r="F334" s="144"/>
      <c r="G334" s="144"/>
      <c r="H334" s="144"/>
      <c r="I334" s="148"/>
      <c r="J334" s="149">
        <f t="shared" si="17"/>
        <v>0</v>
      </c>
      <c r="K334" s="150">
        <f t="shared" si="18"/>
        <v>0</v>
      </c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  <c r="AA334" s="151"/>
      <c r="AB334" s="151"/>
      <c r="AC334" s="151"/>
      <c r="AD334" s="151"/>
      <c r="AE334" s="151"/>
      <c r="AF334" s="151"/>
      <c r="AG334" s="151"/>
      <c r="AH334" s="151"/>
      <c r="AI334" s="151"/>
      <c r="AJ334" s="151"/>
      <c r="AK334" s="151"/>
      <c r="AL334" s="151"/>
      <c r="AM334" s="151"/>
      <c r="AN334" s="151"/>
      <c r="AO334" s="151"/>
      <c r="AP334" s="151"/>
      <c r="AQ334" s="151"/>
      <c r="AR334" s="151"/>
      <c r="AS334" s="151"/>
      <c r="AT334" s="152"/>
    </row>
    <row r="335" spans="1:46" x14ac:dyDescent="0.3">
      <c r="A335" s="143"/>
      <c r="B335" s="144"/>
      <c r="C335" s="145"/>
      <c r="D335" s="146"/>
      <c r="E335" s="144"/>
      <c r="F335" s="144"/>
      <c r="G335" s="144"/>
      <c r="H335" s="144"/>
      <c r="I335" s="148"/>
      <c r="J335" s="149">
        <f t="shared" si="17"/>
        <v>0</v>
      </c>
      <c r="K335" s="150">
        <f t="shared" si="18"/>
        <v>0</v>
      </c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  <c r="AA335" s="151"/>
      <c r="AB335" s="151"/>
      <c r="AC335" s="151"/>
      <c r="AD335" s="151"/>
      <c r="AE335" s="151"/>
      <c r="AF335" s="151"/>
      <c r="AG335" s="151"/>
      <c r="AH335" s="151"/>
      <c r="AI335" s="151"/>
      <c r="AJ335" s="151"/>
      <c r="AK335" s="151"/>
      <c r="AL335" s="151"/>
      <c r="AM335" s="151"/>
      <c r="AN335" s="151"/>
      <c r="AO335" s="151"/>
      <c r="AP335" s="151"/>
      <c r="AQ335" s="151"/>
      <c r="AR335" s="151"/>
      <c r="AS335" s="151"/>
      <c r="AT335" s="152"/>
    </row>
    <row r="336" spans="1:46" x14ac:dyDescent="0.3">
      <c r="A336" s="143"/>
      <c r="B336" s="144"/>
      <c r="C336" s="145"/>
      <c r="D336" s="146"/>
      <c r="E336" s="144"/>
      <c r="F336" s="144"/>
      <c r="G336" s="144"/>
      <c r="H336" s="144"/>
      <c r="I336" s="148"/>
      <c r="J336" s="149">
        <f t="shared" ref="J336:J399" si="19">I336*K336</f>
        <v>0</v>
      </c>
      <c r="K336" s="150">
        <f t="shared" ref="K336:K399" si="20">SUM(L336:AT336)</f>
        <v>0</v>
      </c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  <c r="AA336" s="151"/>
      <c r="AB336" s="151"/>
      <c r="AC336" s="151"/>
      <c r="AD336" s="151"/>
      <c r="AE336" s="151"/>
      <c r="AF336" s="151"/>
      <c r="AG336" s="151"/>
      <c r="AH336" s="151"/>
      <c r="AI336" s="151"/>
      <c r="AJ336" s="151"/>
      <c r="AK336" s="151"/>
      <c r="AL336" s="151"/>
      <c r="AM336" s="151"/>
      <c r="AN336" s="151"/>
      <c r="AO336" s="151"/>
      <c r="AP336" s="151"/>
      <c r="AQ336" s="151"/>
      <c r="AR336" s="151"/>
      <c r="AS336" s="151"/>
      <c r="AT336" s="152"/>
    </row>
    <row r="337" spans="1:46" x14ac:dyDescent="0.3">
      <c r="A337" s="143"/>
      <c r="B337" s="144"/>
      <c r="C337" s="145"/>
      <c r="D337" s="146"/>
      <c r="E337" s="144"/>
      <c r="F337" s="144"/>
      <c r="G337" s="144"/>
      <c r="H337" s="144"/>
      <c r="I337" s="148"/>
      <c r="J337" s="149">
        <f t="shared" si="19"/>
        <v>0</v>
      </c>
      <c r="K337" s="150">
        <f t="shared" si="20"/>
        <v>0</v>
      </c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  <c r="AB337" s="151"/>
      <c r="AC337" s="151"/>
      <c r="AD337" s="151"/>
      <c r="AE337" s="151"/>
      <c r="AF337" s="151"/>
      <c r="AG337" s="151"/>
      <c r="AH337" s="151"/>
      <c r="AI337" s="151"/>
      <c r="AJ337" s="151"/>
      <c r="AK337" s="151"/>
      <c r="AL337" s="151"/>
      <c r="AM337" s="151"/>
      <c r="AN337" s="151"/>
      <c r="AO337" s="151"/>
      <c r="AP337" s="151"/>
      <c r="AQ337" s="151"/>
      <c r="AR337" s="151"/>
      <c r="AS337" s="151"/>
      <c r="AT337" s="152"/>
    </row>
    <row r="338" spans="1:46" x14ac:dyDescent="0.3">
      <c r="A338" s="143"/>
      <c r="B338" s="144"/>
      <c r="C338" s="145"/>
      <c r="D338" s="146"/>
      <c r="E338" s="144"/>
      <c r="F338" s="144"/>
      <c r="G338" s="144"/>
      <c r="H338" s="144"/>
      <c r="I338" s="148"/>
      <c r="J338" s="149">
        <f t="shared" si="19"/>
        <v>0</v>
      </c>
      <c r="K338" s="150">
        <f t="shared" si="20"/>
        <v>0</v>
      </c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  <c r="AB338" s="151"/>
      <c r="AC338" s="151"/>
      <c r="AD338" s="151"/>
      <c r="AE338" s="151"/>
      <c r="AF338" s="151"/>
      <c r="AG338" s="151"/>
      <c r="AH338" s="151"/>
      <c r="AI338" s="151"/>
      <c r="AJ338" s="151"/>
      <c r="AK338" s="151"/>
      <c r="AL338" s="151"/>
      <c r="AM338" s="151"/>
      <c r="AN338" s="151"/>
      <c r="AO338" s="151"/>
      <c r="AP338" s="151"/>
      <c r="AQ338" s="151"/>
      <c r="AR338" s="151"/>
      <c r="AS338" s="151"/>
      <c r="AT338" s="152"/>
    </row>
    <row r="339" spans="1:46" x14ac:dyDescent="0.3">
      <c r="A339" s="143"/>
      <c r="B339" s="144"/>
      <c r="C339" s="145"/>
      <c r="D339" s="146"/>
      <c r="E339" s="144"/>
      <c r="F339" s="144"/>
      <c r="G339" s="144"/>
      <c r="H339" s="144"/>
      <c r="I339" s="148"/>
      <c r="J339" s="149">
        <f t="shared" si="19"/>
        <v>0</v>
      </c>
      <c r="K339" s="150">
        <f t="shared" si="20"/>
        <v>0</v>
      </c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  <c r="AA339" s="151"/>
      <c r="AB339" s="151"/>
      <c r="AC339" s="151"/>
      <c r="AD339" s="151"/>
      <c r="AE339" s="151"/>
      <c r="AF339" s="151"/>
      <c r="AG339" s="151"/>
      <c r="AH339" s="151"/>
      <c r="AI339" s="151"/>
      <c r="AJ339" s="151"/>
      <c r="AK339" s="151"/>
      <c r="AL339" s="151"/>
      <c r="AM339" s="151"/>
      <c r="AN339" s="151"/>
      <c r="AO339" s="151"/>
      <c r="AP339" s="151"/>
      <c r="AQ339" s="151"/>
      <c r="AR339" s="151"/>
      <c r="AS339" s="151"/>
      <c r="AT339" s="152"/>
    </row>
    <row r="340" spans="1:46" x14ac:dyDescent="0.3">
      <c r="A340" s="143"/>
      <c r="B340" s="144"/>
      <c r="C340" s="145"/>
      <c r="D340" s="146"/>
      <c r="E340" s="144"/>
      <c r="F340" s="144"/>
      <c r="G340" s="144"/>
      <c r="H340" s="144"/>
      <c r="I340" s="148"/>
      <c r="J340" s="149">
        <f t="shared" si="19"/>
        <v>0</v>
      </c>
      <c r="K340" s="150">
        <f t="shared" si="20"/>
        <v>0</v>
      </c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  <c r="AA340" s="151"/>
      <c r="AB340" s="151"/>
      <c r="AC340" s="151"/>
      <c r="AD340" s="151"/>
      <c r="AE340" s="151"/>
      <c r="AF340" s="151"/>
      <c r="AG340" s="151"/>
      <c r="AH340" s="151"/>
      <c r="AI340" s="151"/>
      <c r="AJ340" s="151"/>
      <c r="AK340" s="151"/>
      <c r="AL340" s="151"/>
      <c r="AM340" s="151"/>
      <c r="AN340" s="151"/>
      <c r="AO340" s="151"/>
      <c r="AP340" s="151"/>
      <c r="AQ340" s="151"/>
      <c r="AR340" s="151"/>
      <c r="AS340" s="151"/>
      <c r="AT340" s="152"/>
    </row>
    <row r="341" spans="1:46" x14ac:dyDescent="0.3">
      <c r="A341" s="143"/>
      <c r="B341" s="144"/>
      <c r="C341" s="145"/>
      <c r="D341" s="146"/>
      <c r="E341" s="144"/>
      <c r="F341" s="144"/>
      <c r="G341" s="144"/>
      <c r="H341" s="144"/>
      <c r="I341" s="148"/>
      <c r="J341" s="149">
        <f t="shared" si="19"/>
        <v>0</v>
      </c>
      <c r="K341" s="150">
        <f t="shared" si="20"/>
        <v>0</v>
      </c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  <c r="AA341" s="151"/>
      <c r="AB341" s="151"/>
      <c r="AC341" s="151"/>
      <c r="AD341" s="151"/>
      <c r="AE341" s="151"/>
      <c r="AF341" s="151"/>
      <c r="AG341" s="151"/>
      <c r="AH341" s="151"/>
      <c r="AI341" s="151"/>
      <c r="AJ341" s="151"/>
      <c r="AK341" s="151"/>
      <c r="AL341" s="151"/>
      <c r="AM341" s="151"/>
      <c r="AN341" s="151"/>
      <c r="AO341" s="151"/>
      <c r="AP341" s="151"/>
      <c r="AQ341" s="151"/>
      <c r="AR341" s="151"/>
      <c r="AS341" s="151"/>
      <c r="AT341" s="152"/>
    </row>
    <row r="342" spans="1:46" x14ac:dyDescent="0.3">
      <c r="A342" s="143"/>
      <c r="B342" s="144"/>
      <c r="C342" s="145"/>
      <c r="D342" s="146"/>
      <c r="E342" s="144"/>
      <c r="F342" s="144"/>
      <c r="G342" s="144"/>
      <c r="H342" s="144"/>
      <c r="I342" s="148"/>
      <c r="J342" s="149">
        <f t="shared" si="19"/>
        <v>0</v>
      </c>
      <c r="K342" s="150">
        <f t="shared" si="20"/>
        <v>0</v>
      </c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  <c r="AB342" s="151"/>
      <c r="AC342" s="151"/>
      <c r="AD342" s="151"/>
      <c r="AE342" s="151"/>
      <c r="AF342" s="151"/>
      <c r="AG342" s="151"/>
      <c r="AH342" s="151"/>
      <c r="AI342" s="151"/>
      <c r="AJ342" s="151"/>
      <c r="AK342" s="151"/>
      <c r="AL342" s="151"/>
      <c r="AM342" s="151"/>
      <c r="AN342" s="151"/>
      <c r="AO342" s="151"/>
      <c r="AP342" s="151"/>
      <c r="AQ342" s="151"/>
      <c r="AR342" s="151"/>
      <c r="AS342" s="151"/>
      <c r="AT342" s="152"/>
    </row>
    <row r="343" spans="1:46" x14ac:dyDescent="0.3">
      <c r="A343" s="143"/>
      <c r="B343" s="144"/>
      <c r="C343" s="145"/>
      <c r="D343" s="146"/>
      <c r="E343" s="144"/>
      <c r="F343" s="144"/>
      <c r="G343" s="144"/>
      <c r="H343" s="144"/>
      <c r="I343" s="148"/>
      <c r="J343" s="149">
        <f t="shared" si="19"/>
        <v>0</v>
      </c>
      <c r="K343" s="150">
        <f t="shared" si="20"/>
        <v>0</v>
      </c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  <c r="AA343" s="151"/>
      <c r="AB343" s="151"/>
      <c r="AC343" s="151"/>
      <c r="AD343" s="151"/>
      <c r="AE343" s="151"/>
      <c r="AF343" s="151"/>
      <c r="AG343" s="151"/>
      <c r="AH343" s="151"/>
      <c r="AI343" s="151"/>
      <c r="AJ343" s="151"/>
      <c r="AK343" s="151"/>
      <c r="AL343" s="151"/>
      <c r="AM343" s="151"/>
      <c r="AN343" s="151"/>
      <c r="AO343" s="151"/>
      <c r="AP343" s="151"/>
      <c r="AQ343" s="151"/>
      <c r="AR343" s="151"/>
      <c r="AS343" s="151"/>
      <c r="AT343" s="152"/>
    </row>
    <row r="344" spans="1:46" x14ac:dyDescent="0.3">
      <c r="A344" s="143"/>
      <c r="B344" s="144"/>
      <c r="C344" s="145"/>
      <c r="D344" s="146"/>
      <c r="E344" s="144"/>
      <c r="F344" s="144"/>
      <c r="G344" s="144"/>
      <c r="H344" s="144"/>
      <c r="I344" s="148"/>
      <c r="J344" s="149">
        <f t="shared" si="19"/>
        <v>0</v>
      </c>
      <c r="K344" s="150">
        <f t="shared" si="20"/>
        <v>0</v>
      </c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  <c r="AA344" s="151"/>
      <c r="AB344" s="151"/>
      <c r="AC344" s="151"/>
      <c r="AD344" s="151"/>
      <c r="AE344" s="151"/>
      <c r="AF344" s="151"/>
      <c r="AG344" s="151"/>
      <c r="AH344" s="151"/>
      <c r="AI344" s="151"/>
      <c r="AJ344" s="151"/>
      <c r="AK344" s="151"/>
      <c r="AL344" s="151"/>
      <c r="AM344" s="151"/>
      <c r="AN344" s="151"/>
      <c r="AO344" s="151"/>
      <c r="AP344" s="151"/>
      <c r="AQ344" s="151"/>
      <c r="AR344" s="151"/>
      <c r="AS344" s="151"/>
      <c r="AT344" s="152"/>
    </row>
    <row r="345" spans="1:46" x14ac:dyDescent="0.3">
      <c r="A345" s="143"/>
      <c r="B345" s="144"/>
      <c r="C345" s="145"/>
      <c r="D345" s="146"/>
      <c r="E345" s="144"/>
      <c r="F345" s="144"/>
      <c r="G345" s="144"/>
      <c r="H345" s="144"/>
      <c r="I345" s="148"/>
      <c r="J345" s="149">
        <f t="shared" si="19"/>
        <v>0</v>
      </c>
      <c r="K345" s="150">
        <f t="shared" si="20"/>
        <v>0</v>
      </c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  <c r="AA345" s="151"/>
      <c r="AB345" s="151"/>
      <c r="AC345" s="151"/>
      <c r="AD345" s="151"/>
      <c r="AE345" s="151"/>
      <c r="AF345" s="151"/>
      <c r="AG345" s="151"/>
      <c r="AH345" s="151"/>
      <c r="AI345" s="151"/>
      <c r="AJ345" s="151"/>
      <c r="AK345" s="151"/>
      <c r="AL345" s="151"/>
      <c r="AM345" s="151"/>
      <c r="AN345" s="151"/>
      <c r="AO345" s="151"/>
      <c r="AP345" s="151"/>
      <c r="AQ345" s="151"/>
      <c r="AR345" s="151"/>
      <c r="AS345" s="151"/>
      <c r="AT345" s="152"/>
    </row>
    <row r="346" spans="1:46" x14ac:dyDescent="0.3">
      <c r="A346" s="143"/>
      <c r="B346" s="144"/>
      <c r="C346" s="145"/>
      <c r="D346" s="146"/>
      <c r="E346" s="144"/>
      <c r="F346" s="144"/>
      <c r="G346" s="144"/>
      <c r="H346" s="144"/>
      <c r="I346" s="148"/>
      <c r="J346" s="149">
        <f t="shared" si="19"/>
        <v>0</v>
      </c>
      <c r="K346" s="150">
        <f t="shared" si="20"/>
        <v>0</v>
      </c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  <c r="AA346" s="151"/>
      <c r="AB346" s="151"/>
      <c r="AC346" s="151"/>
      <c r="AD346" s="151"/>
      <c r="AE346" s="151"/>
      <c r="AF346" s="151"/>
      <c r="AG346" s="151"/>
      <c r="AH346" s="151"/>
      <c r="AI346" s="151"/>
      <c r="AJ346" s="151"/>
      <c r="AK346" s="151"/>
      <c r="AL346" s="151"/>
      <c r="AM346" s="151"/>
      <c r="AN346" s="151"/>
      <c r="AO346" s="151"/>
      <c r="AP346" s="151"/>
      <c r="AQ346" s="151"/>
      <c r="AR346" s="151"/>
      <c r="AS346" s="151"/>
      <c r="AT346" s="152"/>
    </row>
    <row r="347" spans="1:46" x14ac:dyDescent="0.3">
      <c r="A347" s="143"/>
      <c r="B347" s="144"/>
      <c r="C347" s="145"/>
      <c r="D347" s="146"/>
      <c r="E347" s="144"/>
      <c r="F347" s="144"/>
      <c r="G347" s="144"/>
      <c r="H347" s="144"/>
      <c r="I347" s="148"/>
      <c r="J347" s="149">
        <f t="shared" si="19"/>
        <v>0</v>
      </c>
      <c r="K347" s="150">
        <f t="shared" si="20"/>
        <v>0</v>
      </c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  <c r="AB347" s="151"/>
      <c r="AC347" s="151"/>
      <c r="AD347" s="151"/>
      <c r="AE347" s="151"/>
      <c r="AF347" s="151"/>
      <c r="AG347" s="151"/>
      <c r="AH347" s="151"/>
      <c r="AI347" s="151"/>
      <c r="AJ347" s="151"/>
      <c r="AK347" s="151"/>
      <c r="AL347" s="151"/>
      <c r="AM347" s="151"/>
      <c r="AN347" s="151"/>
      <c r="AO347" s="151"/>
      <c r="AP347" s="151"/>
      <c r="AQ347" s="151"/>
      <c r="AR347" s="151"/>
      <c r="AS347" s="151"/>
      <c r="AT347" s="152"/>
    </row>
    <row r="348" spans="1:46" x14ac:dyDescent="0.3">
      <c r="A348" s="143"/>
      <c r="B348" s="144"/>
      <c r="C348" s="145"/>
      <c r="D348" s="154"/>
      <c r="E348" s="144"/>
      <c r="F348" s="144"/>
      <c r="G348" s="144"/>
      <c r="H348" s="144"/>
      <c r="I348" s="148"/>
      <c r="J348" s="149">
        <f t="shared" si="19"/>
        <v>0</v>
      </c>
      <c r="K348" s="150">
        <f t="shared" si="20"/>
        <v>0</v>
      </c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  <c r="AB348" s="151"/>
      <c r="AC348" s="151"/>
      <c r="AD348" s="151"/>
      <c r="AE348" s="151"/>
      <c r="AF348" s="151"/>
      <c r="AG348" s="151"/>
      <c r="AH348" s="151"/>
      <c r="AI348" s="151"/>
      <c r="AJ348" s="151"/>
      <c r="AK348" s="151"/>
      <c r="AL348" s="151"/>
      <c r="AM348" s="151"/>
      <c r="AN348" s="151"/>
      <c r="AO348" s="151"/>
      <c r="AP348" s="151"/>
      <c r="AQ348" s="151"/>
      <c r="AR348" s="151"/>
      <c r="AS348" s="151"/>
      <c r="AT348" s="152"/>
    </row>
    <row r="349" spans="1:46" x14ac:dyDescent="0.3">
      <c r="A349" s="143"/>
      <c r="B349" s="144"/>
      <c r="C349" s="145"/>
      <c r="D349" s="146"/>
      <c r="E349" s="144"/>
      <c r="F349" s="144"/>
      <c r="G349" s="144"/>
      <c r="H349" s="144"/>
      <c r="I349" s="148"/>
      <c r="J349" s="149">
        <f t="shared" si="19"/>
        <v>0</v>
      </c>
      <c r="K349" s="150">
        <f t="shared" si="20"/>
        <v>0</v>
      </c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  <c r="AA349" s="151"/>
      <c r="AB349" s="151"/>
      <c r="AC349" s="151"/>
      <c r="AD349" s="151"/>
      <c r="AE349" s="151"/>
      <c r="AF349" s="151"/>
      <c r="AG349" s="151"/>
      <c r="AH349" s="151"/>
      <c r="AI349" s="151"/>
      <c r="AJ349" s="151"/>
      <c r="AK349" s="151"/>
      <c r="AL349" s="151"/>
      <c r="AM349" s="151"/>
      <c r="AN349" s="151"/>
      <c r="AO349" s="151"/>
      <c r="AP349" s="151"/>
      <c r="AQ349" s="151"/>
      <c r="AR349" s="151"/>
      <c r="AS349" s="151"/>
      <c r="AT349" s="152"/>
    </row>
    <row r="350" spans="1:46" x14ac:dyDescent="0.3">
      <c r="A350" s="143"/>
      <c r="B350" s="144"/>
      <c r="C350" s="145"/>
      <c r="D350" s="146"/>
      <c r="E350" s="144"/>
      <c r="F350" s="144"/>
      <c r="G350" s="144"/>
      <c r="H350" s="144"/>
      <c r="I350" s="148"/>
      <c r="J350" s="149">
        <f t="shared" si="19"/>
        <v>0</v>
      </c>
      <c r="K350" s="150">
        <f t="shared" si="20"/>
        <v>0</v>
      </c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  <c r="AA350" s="151"/>
      <c r="AB350" s="151"/>
      <c r="AC350" s="151"/>
      <c r="AD350" s="151"/>
      <c r="AE350" s="151"/>
      <c r="AF350" s="151"/>
      <c r="AG350" s="151"/>
      <c r="AH350" s="151"/>
      <c r="AI350" s="151"/>
      <c r="AJ350" s="151"/>
      <c r="AK350" s="151"/>
      <c r="AL350" s="151"/>
      <c r="AM350" s="151"/>
      <c r="AN350" s="151"/>
      <c r="AO350" s="151"/>
      <c r="AP350" s="151"/>
      <c r="AQ350" s="151"/>
      <c r="AR350" s="151"/>
      <c r="AS350" s="151"/>
      <c r="AT350" s="152"/>
    </row>
    <row r="351" spans="1:46" x14ac:dyDescent="0.3">
      <c r="A351" s="143"/>
      <c r="B351" s="144"/>
      <c r="C351" s="145"/>
      <c r="D351" s="146"/>
      <c r="E351" s="144"/>
      <c r="F351" s="144"/>
      <c r="G351" s="144"/>
      <c r="H351" s="144"/>
      <c r="I351" s="148"/>
      <c r="J351" s="149">
        <f t="shared" si="19"/>
        <v>0</v>
      </c>
      <c r="K351" s="150">
        <f t="shared" si="20"/>
        <v>0</v>
      </c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  <c r="AA351" s="151"/>
      <c r="AB351" s="151"/>
      <c r="AC351" s="151"/>
      <c r="AD351" s="151"/>
      <c r="AE351" s="151"/>
      <c r="AF351" s="151"/>
      <c r="AG351" s="151"/>
      <c r="AH351" s="151"/>
      <c r="AI351" s="151"/>
      <c r="AJ351" s="151"/>
      <c r="AK351" s="151"/>
      <c r="AL351" s="151"/>
      <c r="AM351" s="151"/>
      <c r="AN351" s="151"/>
      <c r="AO351" s="151"/>
      <c r="AP351" s="151"/>
      <c r="AQ351" s="151"/>
      <c r="AR351" s="151"/>
      <c r="AS351" s="151"/>
      <c r="AT351" s="152"/>
    </row>
    <row r="352" spans="1:46" x14ac:dyDescent="0.3">
      <c r="A352" s="143"/>
      <c r="B352" s="144"/>
      <c r="C352" s="145"/>
      <c r="D352" s="146"/>
      <c r="E352" s="144"/>
      <c r="F352" s="144"/>
      <c r="G352" s="144"/>
      <c r="H352" s="144"/>
      <c r="I352" s="148"/>
      <c r="J352" s="149">
        <f t="shared" si="19"/>
        <v>0</v>
      </c>
      <c r="K352" s="150">
        <f t="shared" si="20"/>
        <v>0</v>
      </c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  <c r="AA352" s="151"/>
      <c r="AB352" s="151"/>
      <c r="AC352" s="151"/>
      <c r="AD352" s="151"/>
      <c r="AE352" s="151"/>
      <c r="AF352" s="151"/>
      <c r="AG352" s="151"/>
      <c r="AH352" s="151"/>
      <c r="AI352" s="151"/>
      <c r="AJ352" s="151"/>
      <c r="AK352" s="151"/>
      <c r="AL352" s="151"/>
      <c r="AM352" s="151"/>
      <c r="AN352" s="151"/>
      <c r="AO352" s="151"/>
      <c r="AP352" s="151"/>
      <c r="AQ352" s="151"/>
      <c r="AR352" s="151"/>
      <c r="AS352" s="151"/>
      <c r="AT352" s="152"/>
    </row>
    <row r="353" spans="1:46" x14ac:dyDescent="0.3">
      <c r="A353" s="143"/>
      <c r="B353" s="144"/>
      <c r="C353" s="145"/>
      <c r="D353" s="146"/>
      <c r="E353" s="144"/>
      <c r="F353" s="144"/>
      <c r="G353" s="144"/>
      <c r="H353" s="144"/>
      <c r="I353" s="148"/>
      <c r="J353" s="149">
        <f t="shared" si="19"/>
        <v>0</v>
      </c>
      <c r="K353" s="150">
        <f t="shared" si="20"/>
        <v>0</v>
      </c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  <c r="AA353" s="151"/>
      <c r="AB353" s="151"/>
      <c r="AC353" s="151"/>
      <c r="AD353" s="151"/>
      <c r="AE353" s="151"/>
      <c r="AF353" s="151"/>
      <c r="AG353" s="151"/>
      <c r="AH353" s="151"/>
      <c r="AI353" s="151"/>
      <c r="AJ353" s="151"/>
      <c r="AK353" s="151"/>
      <c r="AL353" s="151"/>
      <c r="AM353" s="151"/>
      <c r="AN353" s="151"/>
      <c r="AO353" s="151"/>
      <c r="AP353" s="151"/>
      <c r="AQ353" s="151"/>
      <c r="AR353" s="151"/>
      <c r="AS353" s="151"/>
      <c r="AT353" s="152"/>
    </row>
    <row r="354" spans="1:46" x14ac:dyDescent="0.3">
      <c r="A354" s="143"/>
      <c r="B354" s="144"/>
      <c r="C354" s="145"/>
      <c r="D354" s="146"/>
      <c r="E354" s="144"/>
      <c r="F354" s="144"/>
      <c r="G354" s="144"/>
      <c r="H354" s="144"/>
      <c r="I354" s="148"/>
      <c r="J354" s="149">
        <f t="shared" si="19"/>
        <v>0</v>
      </c>
      <c r="K354" s="150">
        <f t="shared" si="20"/>
        <v>0</v>
      </c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  <c r="AA354" s="151"/>
      <c r="AB354" s="151"/>
      <c r="AC354" s="151"/>
      <c r="AD354" s="151"/>
      <c r="AE354" s="151"/>
      <c r="AF354" s="151"/>
      <c r="AG354" s="151"/>
      <c r="AH354" s="151"/>
      <c r="AI354" s="151"/>
      <c r="AJ354" s="151"/>
      <c r="AK354" s="151"/>
      <c r="AL354" s="151"/>
      <c r="AM354" s="151"/>
      <c r="AN354" s="151"/>
      <c r="AO354" s="151"/>
      <c r="AP354" s="151"/>
      <c r="AQ354" s="151"/>
      <c r="AR354" s="151"/>
      <c r="AS354" s="151"/>
      <c r="AT354" s="152"/>
    </row>
    <row r="355" spans="1:46" x14ac:dyDescent="0.3">
      <c r="A355" s="143"/>
      <c r="B355" s="144"/>
      <c r="C355" s="145"/>
      <c r="D355" s="146"/>
      <c r="E355" s="144"/>
      <c r="F355" s="144"/>
      <c r="G355" s="144"/>
      <c r="H355" s="144"/>
      <c r="I355" s="148"/>
      <c r="J355" s="149">
        <f t="shared" si="19"/>
        <v>0</v>
      </c>
      <c r="K355" s="150">
        <f t="shared" si="20"/>
        <v>0</v>
      </c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  <c r="AB355" s="151"/>
      <c r="AC355" s="151"/>
      <c r="AD355" s="151"/>
      <c r="AE355" s="151"/>
      <c r="AF355" s="151"/>
      <c r="AG355" s="151"/>
      <c r="AH355" s="151"/>
      <c r="AI355" s="151"/>
      <c r="AJ355" s="151"/>
      <c r="AK355" s="151"/>
      <c r="AL355" s="151"/>
      <c r="AM355" s="151"/>
      <c r="AN355" s="151"/>
      <c r="AO355" s="151"/>
      <c r="AP355" s="151"/>
      <c r="AQ355" s="151"/>
      <c r="AR355" s="151"/>
      <c r="AS355" s="151"/>
      <c r="AT355" s="152"/>
    </row>
    <row r="356" spans="1:46" x14ac:dyDescent="0.3">
      <c r="A356" s="143"/>
      <c r="B356" s="144"/>
      <c r="C356" s="145"/>
      <c r="D356" s="146"/>
      <c r="E356" s="144"/>
      <c r="F356" s="144"/>
      <c r="G356" s="144"/>
      <c r="H356" s="144"/>
      <c r="I356" s="148"/>
      <c r="J356" s="149">
        <f t="shared" si="19"/>
        <v>0</v>
      </c>
      <c r="K356" s="150">
        <f t="shared" si="20"/>
        <v>0</v>
      </c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  <c r="AA356" s="151"/>
      <c r="AB356" s="151"/>
      <c r="AC356" s="151"/>
      <c r="AD356" s="151"/>
      <c r="AE356" s="151"/>
      <c r="AF356" s="151"/>
      <c r="AG356" s="151"/>
      <c r="AH356" s="151"/>
      <c r="AI356" s="151"/>
      <c r="AJ356" s="151"/>
      <c r="AK356" s="151"/>
      <c r="AL356" s="151"/>
      <c r="AM356" s="151"/>
      <c r="AN356" s="151"/>
      <c r="AO356" s="151"/>
      <c r="AP356" s="151"/>
      <c r="AQ356" s="151"/>
      <c r="AR356" s="151"/>
      <c r="AS356" s="151"/>
      <c r="AT356" s="152"/>
    </row>
    <row r="357" spans="1:46" x14ac:dyDescent="0.3">
      <c r="A357" s="143"/>
      <c r="B357" s="144"/>
      <c r="C357" s="145"/>
      <c r="D357" s="146"/>
      <c r="E357" s="144"/>
      <c r="F357" s="144"/>
      <c r="G357" s="144"/>
      <c r="H357" s="144"/>
      <c r="I357" s="148"/>
      <c r="J357" s="149">
        <f t="shared" si="19"/>
        <v>0</v>
      </c>
      <c r="K357" s="150">
        <f t="shared" si="20"/>
        <v>0</v>
      </c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  <c r="AB357" s="151"/>
      <c r="AC357" s="151"/>
      <c r="AD357" s="151"/>
      <c r="AE357" s="151"/>
      <c r="AF357" s="151"/>
      <c r="AG357" s="151"/>
      <c r="AH357" s="151"/>
      <c r="AI357" s="151"/>
      <c r="AJ357" s="151"/>
      <c r="AK357" s="151"/>
      <c r="AL357" s="151"/>
      <c r="AM357" s="151"/>
      <c r="AN357" s="151"/>
      <c r="AO357" s="151"/>
      <c r="AP357" s="151"/>
      <c r="AQ357" s="151"/>
      <c r="AR357" s="151"/>
      <c r="AS357" s="151"/>
      <c r="AT357" s="152"/>
    </row>
    <row r="358" spans="1:46" x14ac:dyDescent="0.3">
      <c r="A358" s="143"/>
      <c r="B358" s="144"/>
      <c r="C358" s="145"/>
      <c r="D358" s="146"/>
      <c r="E358" s="144"/>
      <c r="F358" s="144"/>
      <c r="G358" s="144"/>
      <c r="H358" s="144"/>
      <c r="I358" s="148"/>
      <c r="J358" s="149">
        <f t="shared" si="19"/>
        <v>0</v>
      </c>
      <c r="K358" s="150">
        <f t="shared" si="20"/>
        <v>0</v>
      </c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  <c r="AB358" s="151"/>
      <c r="AC358" s="151"/>
      <c r="AD358" s="151"/>
      <c r="AE358" s="151"/>
      <c r="AF358" s="151"/>
      <c r="AG358" s="151"/>
      <c r="AH358" s="151"/>
      <c r="AI358" s="151"/>
      <c r="AJ358" s="151"/>
      <c r="AK358" s="151"/>
      <c r="AL358" s="151"/>
      <c r="AM358" s="151"/>
      <c r="AN358" s="151"/>
      <c r="AO358" s="151"/>
      <c r="AP358" s="151"/>
      <c r="AQ358" s="151"/>
      <c r="AR358" s="151"/>
      <c r="AS358" s="151"/>
      <c r="AT358" s="152"/>
    </row>
    <row r="359" spans="1:46" x14ac:dyDescent="0.3">
      <c r="A359" s="143"/>
      <c r="B359" s="144"/>
      <c r="C359" s="145"/>
      <c r="D359" s="146"/>
      <c r="E359" s="144"/>
      <c r="F359" s="144"/>
      <c r="G359" s="144"/>
      <c r="H359" s="144"/>
      <c r="I359" s="148"/>
      <c r="J359" s="149">
        <f t="shared" si="19"/>
        <v>0</v>
      </c>
      <c r="K359" s="150">
        <f t="shared" si="20"/>
        <v>0</v>
      </c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  <c r="AA359" s="151"/>
      <c r="AB359" s="151"/>
      <c r="AC359" s="151"/>
      <c r="AD359" s="151"/>
      <c r="AE359" s="151"/>
      <c r="AF359" s="151"/>
      <c r="AG359" s="151"/>
      <c r="AH359" s="151"/>
      <c r="AI359" s="151"/>
      <c r="AJ359" s="151"/>
      <c r="AK359" s="151"/>
      <c r="AL359" s="151"/>
      <c r="AM359" s="151"/>
      <c r="AN359" s="151"/>
      <c r="AO359" s="151"/>
      <c r="AP359" s="151"/>
      <c r="AQ359" s="151"/>
      <c r="AR359" s="151"/>
      <c r="AS359" s="151"/>
      <c r="AT359" s="152"/>
    </row>
    <row r="360" spans="1:46" x14ac:dyDescent="0.3">
      <c r="A360" s="143"/>
      <c r="B360" s="144"/>
      <c r="C360" s="145"/>
      <c r="D360" s="146"/>
      <c r="E360" s="144"/>
      <c r="F360" s="144"/>
      <c r="G360" s="144"/>
      <c r="H360" s="144"/>
      <c r="I360" s="148"/>
      <c r="J360" s="149">
        <f t="shared" si="19"/>
        <v>0</v>
      </c>
      <c r="K360" s="150">
        <f t="shared" si="20"/>
        <v>0</v>
      </c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  <c r="AA360" s="151"/>
      <c r="AB360" s="151"/>
      <c r="AC360" s="151"/>
      <c r="AD360" s="151"/>
      <c r="AE360" s="151"/>
      <c r="AF360" s="151"/>
      <c r="AG360" s="151"/>
      <c r="AH360" s="151"/>
      <c r="AI360" s="151"/>
      <c r="AJ360" s="151"/>
      <c r="AK360" s="151"/>
      <c r="AL360" s="151"/>
      <c r="AM360" s="151"/>
      <c r="AN360" s="151"/>
      <c r="AO360" s="151"/>
      <c r="AP360" s="151"/>
      <c r="AQ360" s="151"/>
      <c r="AR360" s="151"/>
      <c r="AS360" s="151"/>
      <c r="AT360" s="152"/>
    </row>
    <row r="361" spans="1:46" x14ac:dyDescent="0.3">
      <c r="A361" s="143"/>
      <c r="B361" s="144"/>
      <c r="C361" s="145"/>
      <c r="D361" s="146"/>
      <c r="E361" s="144"/>
      <c r="F361" s="144"/>
      <c r="G361" s="144"/>
      <c r="H361" s="144"/>
      <c r="I361" s="148"/>
      <c r="J361" s="149">
        <f t="shared" si="19"/>
        <v>0</v>
      </c>
      <c r="K361" s="150">
        <f t="shared" si="20"/>
        <v>0</v>
      </c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  <c r="AA361" s="151"/>
      <c r="AB361" s="151"/>
      <c r="AC361" s="151"/>
      <c r="AD361" s="151"/>
      <c r="AE361" s="151"/>
      <c r="AF361" s="151"/>
      <c r="AG361" s="151"/>
      <c r="AH361" s="151"/>
      <c r="AI361" s="151"/>
      <c r="AJ361" s="151"/>
      <c r="AK361" s="151"/>
      <c r="AL361" s="151"/>
      <c r="AM361" s="151"/>
      <c r="AN361" s="151"/>
      <c r="AO361" s="151"/>
      <c r="AP361" s="151"/>
      <c r="AQ361" s="151"/>
      <c r="AR361" s="151"/>
      <c r="AS361" s="151"/>
      <c r="AT361" s="152"/>
    </row>
    <row r="362" spans="1:46" x14ac:dyDescent="0.3">
      <c r="A362" s="143"/>
      <c r="B362" s="144"/>
      <c r="C362" s="145"/>
      <c r="D362" s="146"/>
      <c r="E362" s="144"/>
      <c r="F362" s="144"/>
      <c r="G362" s="144"/>
      <c r="H362" s="144"/>
      <c r="I362" s="148"/>
      <c r="J362" s="149">
        <f t="shared" si="19"/>
        <v>0</v>
      </c>
      <c r="K362" s="150">
        <f t="shared" si="20"/>
        <v>0</v>
      </c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  <c r="AA362" s="151"/>
      <c r="AB362" s="151"/>
      <c r="AC362" s="151"/>
      <c r="AD362" s="151"/>
      <c r="AE362" s="151"/>
      <c r="AF362" s="151"/>
      <c r="AG362" s="151"/>
      <c r="AH362" s="151"/>
      <c r="AI362" s="151"/>
      <c r="AJ362" s="151"/>
      <c r="AK362" s="151"/>
      <c r="AL362" s="151"/>
      <c r="AM362" s="151"/>
      <c r="AN362" s="151"/>
      <c r="AO362" s="151"/>
      <c r="AP362" s="151"/>
      <c r="AQ362" s="151"/>
      <c r="AR362" s="151"/>
      <c r="AS362" s="151"/>
      <c r="AT362" s="152"/>
    </row>
    <row r="363" spans="1:46" x14ac:dyDescent="0.3">
      <c r="A363" s="143"/>
      <c r="B363" s="144"/>
      <c r="C363" s="145"/>
      <c r="D363" s="146"/>
      <c r="E363" s="144"/>
      <c r="F363" s="144"/>
      <c r="G363" s="144"/>
      <c r="H363" s="144"/>
      <c r="I363" s="148"/>
      <c r="J363" s="149">
        <f t="shared" si="19"/>
        <v>0</v>
      </c>
      <c r="K363" s="150">
        <f t="shared" si="20"/>
        <v>0</v>
      </c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  <c r="AA363" s="151"/>
      <c r="AB363" s="151"/>
      <c r="AC363" s="151"/>
      <c r="AD363" s="151"/>
      <c r="AE363" s="151"/>
      <c r="AF363" s="151"/>
      <c r="AG363" s="151"/>
      <c r="AH363" s="151"/>
      <c r="AI363" s="151"/>
      <c r="AJ363" s="151"/>
      <c r="AK363" s="151"/>
      <c r="AL363" s="151"/>
      <c r="AM363" s="151"/>
      <c r="AN363" s="151"/>
      <c r="AO363" s="151"/>
      <c r="AP363" s="151"/>
      <c r="AQ363" s="151"/>
      <c r="AR363" s="151"/>
      <c r="AS363" s="151"/>
      <c r="AT363" s="152"/>
    </row>
    <row r="364" spans="1:46" x14ac:dyDescent="0.3">
      <c r="A364" s="143"/>
      <c r="B364" s="144"/>
      <c r="C364" s="145"/>
      <c r="D364" s="146"/>
      <c r="E364" s="144"/>
      <c r="F364" s="144"/>
      <c r="G364" s="144"/>
      <c r="H364" s="144"/>
      <c r="I364" s="148"/>
      <c r="J364" s="149">
        <f t="shared" si="19"/>
        <v>0</v>
      </c>
      <c r="K364" s="150">
        <f t="shared" si="20"/>
        <v>0</v>
      </c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  <c r="AA364" s="151"/>
      <c r="AB364" s="151"/>
      <c r="AC364" s="151"/>
      <c r="AD364" s="151"/>
      <c r="AE364" s="151"/>
      <c r="AF364" s="151"/>
      <c r="AG364" s="151"/>
      <c r="AH364" s="151"/>
      <c r="AI364" s="151"/>
      <c r="AJ364" s="151"/>
      <c r="AK364" s="151"/>
      <c r="AL364" s="151"/>
      <c r="AM364" s="151"/>
      <c r="AN364" s="151"/>
      <c r="AO364" s="151"/>
      <c r="AP364" s="151"/>
      <c r="AQ364" s="151"/>
      <c r="AR364" s="151"/>
      <c r="AS364" s="151"/>
      <c r="AT364" s="152"/>
    </row>
    <row r="365" spans="1:46" x14ac:dyDescent="0.3">
      <c r="A365" s="143"/>
      <c r="B365" s="144"/>
      <c r="C365" s="145"/>
      <c r="D365" s="146"/>
      <c r="E365" s="144"/>
      <c r="F365" s="144"/>
      <c r="G365" s="144"/>
      <c r="H365" s="144"/>
      <c r="I365" s="148"/>
      <c r="J365" s="149">
        <f t="shared" si="19"/>
        <v>0</v>
      </c>
      <c r="K365" s="150">
        <f t="shared" si="20"/>
        <v>0</v>
      </c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  <c r="AA365" s="151"/>
      <c r="AB365" s="151"/>
      <c r="AC365" s="151"/>
      <c r="AD365" s="151"/>
      <c r="AE365" s="151"/>
      <c r="AF365" s="151"/>
      <c r="AG365" s="151"/>
      <c r="AH365" s="151"/>
      <c r="AI365" s="151"/>
      <c r="AJ365" s="151"/>
      <c r="AK365" s="151"/>
      <c r="AL365" s="151"/>
      <c r="AM365" s="151"/>
      <c r="AN365" s="151"/>
      <c r="AO365" s="151"/>
      <c r="AP365" s="151"/>
      <c r="AQ365" s="151"/>
      <c r="AR365" s="151"/>
      <c r="AS365" s="151"/>
      <c r="AT365" s="152"/>
    </row>
    <row r="366" spans="1:46" x14ac:dyDescent="0.3">
      <c r="A366" s="143"/>
      <c r="B366" s="144"/>
      <c r="C366" s="145"/>
      <c r="D366" s="146"/>
      <c r="E366" s="144"/>
      <c r="F366" s="144"/>
      <c r="G366" s="144"/>
      <c r="H366" s="144"/>
      <c r="I366" s="148"/>
      <c r="J366" s="149">
        <f t="shared" si="19"/>
        <v>0</v>
      </c>
      <c r="K366" s="150">
        <f t="shared" si="20"/>
        <v>0</v>
      </c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  <c r="AA366" s="151"/>
      <c r="AB366" s="151"/>
      <c r="AC366" s="151"/>
      <c r="AD366" s="151"/>
      <c r="AE366" s="151"/>
      <c r="AF366" s="151"/>
      <c r="AG366" s="151"/>
      <c r="AH366" s="151"/>
      <c r="AI366" s="151"/>
      <c r="AJ366" s="151"/>
      <c r="AK366" s="151"/>
      <c r="AL366" s="151"/>
      <c r="AM366" s="151"/>
      <c r="AN366" s="151"/>
      <c r="AO366" s="151"/>
      <c r="AP366" s="151"/>
      <c r="AQ366" s="151"/>
      <c r="AR366" s="151"/>
      <c r="AS366" s="151"/>
      <c r="AT366" s="152"/>
    </row>
    <row r="367" spans="1:46" x14ac:dyDescent="0.3">
      <c r="A367" s="143"/>
      <c r="B367" s="144"/>
      <c r="C367" s="145"/>
      <c r="D367" s="146"/>
      <c r="E367" s="144"/>
      <c r="F367" s="144"/>
      <c r="G367" s="144"/>
      <c r="H367" s="144"/>
      <c r="I367" s="148"/>
      <c r="J367" s="149">
        <f t="shared" si="19"/>
        <v>0</v>
      </c>
      <c r="K367" s="150">
        <f t="shared" si="20"/>
        <v>0</v>
      </c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  <c r="AA367" s="151"/>
      <c r="AB367" s="151"/>
      <c r="AC367" s="151"/>
      <c r="AD367" s="151"/>
      <c r="AE367" s="151"/>
      <c r="AF367" s="151"/>
      <c r="AG367" s="151"/>
      <c r="AH367" s="151"/>
      <c r="AI367" s="151"/>
      <c r="AJ367" s="151"/>
      <c r="AK367" s="151"/>
      <c r="AL367" s="151"/>
      <c r="AM367" s="151"/>
      <c r="AN367" s="151"/>
      <c r="AO367" s="151"/>
      <c r="AP367" s="151"/>
      <c r="AQ367" s="151"/>
      <c r="AR367" s="151"/>
      <c r="AS367" s="151"/>
      <c r="AT367" s="152"/>
    </row>
    <row r="368" spans="1:46" x14ac:dyDescent="0.3">
      <c r="A368" s="143"/>
      <c r="B368" s="144"/>
      <c r="C368" s="145"/>
      <c r="D368" s="146"/>
      <c r="E368" s="144"/>
      <c r="F368" s="144"/>
      <c r="G368" s="144"/>
      <c r="H368" s="144"/>
      <c r="I368" s="148"/>
      <c r="J368" s="149">
        <f t="shared" si="19"/>
        <v>0</v>
      </c>
      <c r="K368" s="150">
        <f t="shared" si="20"/>
        <v>0</v>
      </c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  <c r="AA368" s="151"/>
      <c r="AB368" s="151"/>
      <c r="AC368" s="151"/>
      <c r="AD368" s="151"/>
      <c r="AE368" s="151"/>
      <c r="AF368" s="151"/>
      <c r="AG368" s="151"/>
      <c r="AH368" s="151"/>
      <c r="AI368" s="151"/>
      <c r="AJ368" s="151"/>
      <c r="AK368" s="151"/>
      <c r="AL368" s="151"/>
      <c r="AM368" s="151"/>
      <c r="AN368" s="151"/>
      <c r="AO368" s="151"/>
      <c r="AP368" s="151"/>
      <c r="AQ368" s="151"/>
      <c r="AR368" s="151"/>
      <c r="AS368" s="151"/>
      <c r="AT368" s="152"/>
    </row>
    <row r="369" spans="1:46" x14ac:dyDescent="0.3">
      <c r="A369" s="143"/>
      <c r="B369" s="144"/>
      <c r="C369" s="145"/>
      <c r="D369" s="146"/>
      <c r="E369" s="144"/>
      <c r="F369" s="144"/>
      <c r="G369" s="144"/>
      <c r="H369" s="144"/>
      <c r="I369" s="148"/>
      <c r="J369" s="149">
        <f t="shared" si="19"/>
        <v>0</v>
      </c>
      <c r="K369" s="150">
        <f t="shared" si="20"/>
        <v>0</v>
      </c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  <c r="AA369" s="151"/>
      <c r="AB369" s="151"/>
      <c r="AC369" s="151"/>
      <c r="AD369" s="151"/>
      <c r="AE369" s="151"/>
      <c r="AF369" s="151"/>
      <c r="AG369" s="151"/>
      <c r="AH369" s="151"/>
      <c r="AI369" s="151"/>
      <c r="AJ369" s="151"/>
      <c r="AK369" s="151"/>
      <c r="AL369" s="151"/>
      <c r="AM369" s="151"/>
      <c r="AN369" s="151"/>
      <c r="AO369" s="151"/>
      <c r="AP369" s="151"/>
      <c r="AQ369" s="151"/>
      <c r="AR369" s="151"/>
      <c r="AS369" s="151"/>
      <c r="AT369" s="152"/>
    </row>
    <row r="370" spans="1:46" x14ac:dyDescent="0.3">
      <c r="A370" s="143"/>
      <c r="B370" s="144"/>
      <c r="C370" s="145"/>
      <c r="D370" s="146"/>
      <c r="E370" s="144"/>
      <c r="F370" s="144"/>
      <c r="G370" s="144"/>
      <c r="H370" s="144"/>
      <c r="I370" s="148"/>
      <c r="J370" s="149">
        <f t="shared" si="19"/>
        <v>0</v>
      </c>
      <c r="K370" s="150">
        <f t="shared" si="20"/>
        <v>0</v>
      </c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  <c r="AB370" s="151"/>
      <c r="AC370" s="151"/>
      <c r="AD370" s="151"/>
      <c r="AE370" s="151"/>
      <c r="AF370" s="151"/>
      <c r="AG370" s="151"/>
      <c r="AH370" s="151"/>
      <c r="AI370" s="151"/>
      <c r="AJ370" s="151"/>
      <c r="AK370" s="151"/>
      <c r="AL370" s="151"/>
      <c r="AM370" s="151"/>
      <c r="AN370" s="151"/>
      <c r="AO370" s="151"/>
      <c r="AP370" s="151"/>
      <c r="AQ370" s="151"/>
      <c r="AR370" s="151"/>
      <c r="AS370" s="151"/>
      <c r="AT370" s="152"/>
    </row>
    <row r="371" spans="1:46" x14ac:dyDescent="0.3">
      <c r="A371" s="143"/>
      <c r="B371" s="144"/>
      <c r="C371" s="145"/>
      <c r="D371" s="146"/>
      <c r="E371" s="144"/>
      <c r="F371" s="144"/>
      <c r="G371" s="144"/>
      <c r="H371" s="144"/>
      <c r="I371" s="148"/>
      <c r="J371" s="149">
        <f t="shared" si="19"/>
        <v>0</v>
      </c>
      <c r="K371" s="150">
        <f t="shared" si="20"/>
        <v>0</v>
      </c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  <c r="AA371" s="151"/>
      <c r="AB371" s="151"/>
      <c r="AC371" s="151"/>
      <c r="AD371" s="151"/>
      <c r="AE371" s="151"/>
      <c r="AF371" s="151"/>
      <c r="AG371" s="151"/>
      <c r="AH371" s="151"/>
      <c r="AI371" s="151"/>
      <c r="AJ371" s="151"/>
      <c r="AK371" s="151"/>
      <c r="AL371" s="151"/>
      <c r="AM371" s="151"/>
      <c r="AN371" s="151"/>
      <c r="AO371" s="151"/>
      <c r="AP371" s="151"/>
      <c r="AQ371" s="151"/>
      <c r="AR371" s="151"/>
      <c r="AS371" s="151"/>
      <c r="AT371" s="152"/>
    </row>
    <row r="372" spans="1:46" x14ac:dyDescent="0.3">
      <c r="A372" s="143"/>
      <c r="B372" s="144"/>
      <c r="C372" s="145"/>
      <c r="D372" s="146"/>
      <c r="E372" s="144"/>
      <c r="F372" s="144"/>
      <c r="G372" s="144"/>
      <c r="H372" s="144"/>
      <c r="I372" s="148"/>
      <c r="J372" s="149">
        <f t="shared" si="19"/>
        <v>0</v>
      </c>
      <c r="K372" s="150">
        <f t="shared" si="20"/>
        <v>0</v>
      </c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  <c r="AA372" s="151"/>
      <c r="AB372" s="151"/>
      <c r="AC372" s="151"/>
      <c r="AD372" s="151"/>
      <c r="AE372" s="151"/>
      <c r="AF372" s="151"/>
      <c r="AG372" s="151"/>
      <c r="AH372" s="151"/>
      <c r="AI372" s="151"/>
      <c r="AJ372" s="151"/>
      <c r="AK372" s="151"/>
      <c r="AL372" s="151"/>
      <c r="AM372" s="151"/>
      <c r="AN372" s="151"/>
      <c r="AO372" s="151"/>
      <c r="AP372" s="151"/>
      <c r="AQ372" s="151"/>
      <c r="AR372" s="151"/>
      <c r="AS372" s="151"/>
      <c r="AT372" s="152"/>
    </row>
    <row r="373" spans="1:46" x14ac:dyDescent="0.3">
      <c r="A373" s="143"/>
      <c r="B373" s="144"/>
      <c r="C373" s="145"/>
      <c r="D373" s="146"/>
      <c r="E373" s="144"/>
      <c r="F373" s="144"/>
      <c r="G373" s="144"/>
      <c r="H373" s="144"/>
      <c r="I373" s="148"/>
      <c r="J373" s="149">
        <f t="shared" si="19"/>
        <v>0</v>
      </c>
      <c r="K373" s="150">
        <f t="shared" si="20"/>
        <v>0</v>
      </c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  <c r="AB373" s="151"/>
      <c r="AC373" s="151"/>
      <c r="AD373" s="151"/>
      <c r="AE373" s="151"/>
      <c r="AF373" s="151"/>
      <c r="AG373" s="151"/>
      <c r="AH373" s="151"/>
      <c r="AI373" s="151"/>
      <c r="AJ373" s="151"/>
      <c r="AK373" s="151"/>
      <c r="AL373" s="151"/>
      <c r="AM373" s="151"/>
      <c r="AN373" s="151"/>
      <c r="AO373" s="151"/>
      <c r="AP373" s="151"/>
      <c r="AQ373" s="151"/>
      <c r="AR373" s="151"/>
      <c r="AS373" s="151"/>
      <c r="AT373" s="152"/>
    </row>
    <row r="374" spans="1:46" x14ac:dyDescent="0.3">
      <c r="A374" s="143"/>
      <c r="B374" s="144"/>
      <c r="C374" s="145"/>
      <c r="D374" s="146"/>
      <c r="E374" s="144"/>
      <c r="F374" s="144"/>
      <c r="G374" s="144"/>
      <c r="H374" s="144"/>
      <c r="I374" s="148"/>
      <c r="J374" s="149">
        <f t="shared" si="19"/>
        <v>0</v>
      </c>
      <c r="K374" s="150">
        <f t="shared" si="20"/>
        <v>0</v>
      </c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  <c r="AA374" s="151"/>
      <c r="AB374" s="151"/>
      <c r="AC374" s="151"/>
      <c r="AD374" s="151"/>
      <c r="AE374" s="151"/>
      <c r="AF374" s="151"/>
      <c r="AG374" s="151"/>
      <c r="AH374" s="151"/>
      <c r="AI374" s="151"/>
      <c r="AJ374" s="151"/>
      <c r="AK374" s="151"/>
      <c r="AL374" s="151"/>
      <c r="AM374" s="151"/>
      <c r="AN374" s="151"/>
      <c r="AO374" s="151"/>
      <c r="AP374" s="151"/>
      <c r="AQ374" s="151"/>
      <c r="AR374" s="151"/>
      <c r="AS374" s="151"/>
      <c r="AT374" s="152"/>
    </row>
    <row r="375" spans="1:46" x14ac:dyDescent="0.3">
      <c r="A375" s="143"/>
      <c r="B375" s="144"/>
      <c r="C375" s="145"/>
      <c r="D375" s="146"/>
      <c r="E375" s="144"/>
      <c r="F375" s="144"/>
      <c r="G375" s="144"/>
      <c r="H375" s="144"/>
      <c r="I375" s="148"/>
      <c r="J375" s="149">
        <f t="shared" si="19"/>
        <v>0</v>
      </c>
      <c r="K375" s="150">
        <f t="shared" si="20"/>
        <v>0</v>
      </c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  <c r="AA375" s="151"/>
      <c r="AB375" s="151"/>
      <c r="AC375" s="151"/>
      <c r="AD375" s="151"/>
      <c r="AE375" s="151"/>
      <c r="AF375" s="151"/>
      <c r="AG375" s="151"/>
      <c r="AH375" s="151"/>
      <c r="AI375" s="151"/>
      <c r="AJ375" s="151"/>
      <c r="AK375" s="151"/>
      <c r="AL375" s="151"/>
      <c r="AM375" s="151"/>
      <c r="AN375" s="151"/>
      <c r="AO375" s="151"/>
      <c r="AP375" s="151"/>
      <c r="AQ375" s="151"/>
      <c r="AR375" s="151"/>
      <c r="AS375" s="151"/>
      <c r="AT375" s="152"/>
    </row>
    <row r="376" spans="1:46" x14ac:dyDescent="0.3">
      <c r="A376" s="143"/>
      <c r="B376" s="144"/>
      <c r="C376" s="145"/>
      <c r="D376" s="146"/>
      <c r="E376" s="144"/>
      <c r="F376" s="144"/>
      <c r="G376" s="144"/>
      <c r="H376" s="144"/>
      <c r="I376" s="148"/>
      <c r="J376" s="149">
        <f t="shared" si="19"/>
        <v>0</v>
      </c>
      <c r="K376" s="150">
        <f t="shared" si="20"/>
        <v>0</v>
      </c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  <c r="AA376" s="151"/>
      <c r="AB376" s="151"/>
      <c r="AC376" s="151"/>
      <c r="AD376" s="151"/>
      <c r="AE376" s="151"/>
      <c r="AF376" s="151"/>
      <c r="AG376" s="151"/>
      <c r="AH376" s="151"/>
      <c r="AI376" s="151"/>
      <c r="AJ376" s="151"/>
      <c r="AK376" s="151"/>
      <c r="AL376" s="151"/>
      <c r="AM376" s="151"/>
      <c r="AN376" s="151"/>
      <c r="AO376" s="151"/>
      <c r="AP376" s="151"/>
      <c r="AQ376" s="151"/>
      <c r="AR376" s="151"/>
      <c r="AS376" s="151"/>
      <c r="AT376" s="152"/>
    </row>
    <row r="377" spans="1:46" x14ac:dyDescent="0.3">
      <c r="A377" s="143"/>
      <c r="B377" s="144"/>
      <c r="C377" s="145"/>
      <c r="D377" s="146"/>
      <c r="E377" s="144"/>
      <c r="F377" s="144"/>
      <c r="G377" s="144"/>
      <c r="H377" s="144"/>
      <c r="I377" s="148"/>
      <c r="J377" s="149">
        <f t="shared" si="19"/>
        <v>0</v>
      </c>
      <c r="K377" s="150">
        <f t="shared" si="20"/>
        <v>0</v>
      </c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  <c r="AA377" s="151"/>
      <c r="AB377" s="151"/>
      <c r="AC377" s="151"/>
      <c r="AD377" s="151"/>
      <c r="AE377" s="151"/>
      <c r="AF377" s="151"/>
      <c r="AG377" s="151"/>
      <c r="AH377" s="151"/>
      <c r="AI377" s="151"/>
      <c r="AJ377" s="151"/>
      <c r="AK377" s="151"/>
      <c r="AL377" s="151"/>
      <c r="AM377" s="151"/>
      <c r="AN377" s="151"/>
      <c r="AO377" s="151"/>
      <c r="AP377" s="151"/>
      <c r="AQ377" s="151"/>
      <c r="AR377" s="151"/>
      <c r="AS377" s="151"/>
      <c r="AT377" s="152"/>
    </row>
    <row r="378" spans="1:46" x14ac:dyDescent="0.3">
      <c r="A378" s="143"/>
      <c r="B378" s="144"/>
      <c r="C378" s="145"/>
      <c r="D378" s="146"/>
      <c r="E378" s="144"/>
      <c r="F378" s="144"/>
      <c r="G378" s="144"/>
      <c r="H378" s="144"/>
      <c r="I378" s="148"/>
      <c r="J378" s="149">
        <f t="shared" si="19"/>
        <v>0</v>
      </c>
      <c r="K378" s="150">
        <f t="shared" si="20"/>
        <v>0</v>
      </c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1"/>
      <c r="AH378" s="151"/>
      <c r="AI378" s="151"/>
      <c r="AJ378" s="151"/>
      <c r="AK378" s="151"/>
      <c r="AL378" s="151"/>
      <c r="AM378" s="151"/>
      <c r="AN378" s="151"/>
      <c r="AO378" s="151"/>
      <c r="AP378" s="151"/>
      <c r="AQ378" s="151"/>
      <c r="AR378" s="151"/>
      <c r="AS378" s="151"/>
      <c r="AT378" s="152"/>
    </row>
    <row r="379" spans="1:46" x14ac:dyDescent="0.3">
      <c r="A379" s="143"/>
      <c r="B379" s="144"/>
      <c r="C379" s="145"/>
      <c r="D379" s="146"/>
      <c r="E379" s="144"/>
      <c r="F379" s="144"/>
      <c r="G379" s="144"/>
      <c r="H379" s="144"/>
      <c r="I379" s="148"/>
      <c r="J379" s="149">
        <f t="shared" si="19"/>
        <v>0</v>
      </c>
      <c r="K379" s="150">
        <f t="shared" si="20"/>
        <v>0</v>
      </c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1"/>
      <c r="AH379" s="151"/>
      <c r="AI379" s="151"/>
      <c r="AJ379" s="151"/>
      <c r="AK379" s="151"/>
      <c r="AL379" s="151"/>
      <c r="AM379" s="151"/>
      <c r="AN379" s="151"/>
      <c r="AO379" s="151"/>
      <c r="AP379" s="151"/>
      <c r="AQ379" s="151"/>
      <c r="AR379" s="151"/>
      <c r="AS379" s="151"/>
      <c r="AT379" s="152"/>
    </row>
    <row r="380" spans="1:46" x14ac:dyDescent="0.3">
      <c r="A380" s="143"/>
      <c r="B380" s="144"/>
      <c r="C380" s="145"/>
      <c r="D380" s="146"/>
      <c r="E380" s="144"/>
      <c r="F380" s="144"/>
      <c r="G380" s="144"/>
      <c r="H380" s="144"/>
      <c r="I380" s="148"/>
      <c r="J380" s="149">
        <f t="shared" si="19"/>
        <v>0</v>
      </c>
      <c r="K380" s="150">
        <f t="shared" si="20"/>
        <v>0</v>
      </c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1"/>
      <c r="AH380" s="151"/>
      <c r="AI380" s="151"/>
      <c r="AJ380" s="151"/>
      <c r="AK380" s="151"/>
      <c r="AL380" s="151"/>
      <c r="AM380" s="151"/>
      <c r="AN380" s="151"/>
      <c r="AO380" s="151"/>
      <c r="AP380" s="151"/>
      <c r="AQ380" s="151"/>
      <c r="AR380" s="151"/>
      <c r="AS380" s="151"/>
      <c r="AT380" s="152"/>
    </row>
    <row r="381" spans="1:46" x14ac:dyDescent="0.3">
      <c r="A381" s="143"/>
      <c r="B381" s="144"/>
      <c r="C381" s="145"/>
      <c r="D381" s="146"/>
      <c r="E381" s="144"/>
      <c r="F381" s="144"/>
      <c r="G381" s="144"/>
      <c r="H381" s="144"/>
      <c r="I381" s="148"/>
      <c r="J381" s="149">
        <f t="shared" si="19"/>
        <v>0</v>
      </c>
      <c r="K381" s="150">
        <f t="shared" si="20"/>
        <v>0</v>
      </c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1"/>
      <c r="AH381" s="151"/>
      <c r="AI381" s="151"/>
      <c r="AJ381" s="151"/>
      <c r="AK381" s="151"/>
      <c r="AL381" s="151"/>
      <c r="AM381" s="151"/>
      <c r="AN381" s="151"/>
      <c r="AO381" s="151"/>
      <c r="AP381" s="151"/>
      <c r="AQ381" s="151"/>
      <c r="AR381" s="151"/>
      <c r="AS381" s="151"/>
      <c r="AT381" s="152"/>
    </row>
    <row r="382" spans="1:46" x14ac:dyDescent="0.3">
      <c r="A382" s="143"/>
      <c r="B382" s="144"/>
      <c r="C382" s="145"/>
      <c r="D382" s="146"/>
      <c r="E382" s="144"/>
      <c r="F382" s="144"/>
      <c r="G382" s="144"/>
      <c r="H382" s="144"/>
      <c r="I382" s="148"/>
      <c r="J382" s="149">
        <f t="shared" si="19"/>
        <v>0</v>
      </c>
      <c r="K382" s="150">
        <f t="shared" si="20"/>
        <v>0</v>
      </c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1"/>
      <c r="AH382" s="151"/>
      <c r="AI382" s="151"/>
      <c r="AJ382" s="151"/>
      <c r="AK382" s="151"/>
      <c r="AL382" s="151"/>
      <c r="AM382" s="151"/>
      <c r="AN382" s="151"/>
      <c r="AO382" s="151"/>
      <c r="AP382" s="151"/>
      <c r="AQ382" s="151"/>
      <c r="AR382" s="151"/>
      <c r="AS382" s="151"/>
      <c r="AT382" s="152"/>
    </row>
    <row r="383" spans="1:46" x14ac:dyDescent="0.3">
      <c r="A383" s="143"/>
      <c r="B383" s="144"/>
      <c r="C383" s="145"/>
      <c r="D383" s="146"/>
      <c r="E383" s="144"/>
      <c r="F383" s="144"/>
      <c r="G383" s="144"/>
      <c r="H383" s="144"/>
      <c r="I383" s="148"/>
      <c r="J383" s="149">
        <f t="shared" si="19"/>
        <v>0</v>
      </c>
      <c r="K383" s="150">
        <f t="shared" si="20"/>
        <v>0</v>
      </c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1"/>
      <c r="AH383" s="151"/>
      <c r="AI383" s="151"/>
      <c r="AJ383" s="151"/>
      <c r="AK383" s="151"/>
      <c r="AL383" s="151"/>
      <c r="AM383" s="151"/>
      <c r="AN383" s="151"/>
      <c r="AO383" s="151"/>
      <c r="AP383" s="151"/>
      <c r="AQ383" s="151"/>
      <c r="AR383" s="151"/>
      <c r="AS383" s="151"/>
      <c r="AT383" s="152"/>
    </row>
    <row r="384" spans="1:46" x14ac:dyDescent="0.3">
      <c r="A384" s="143"/>
      <c r="B384" s="144"/>
      <c r="C384" s="145"/>
      <c r="D384" s="146"/>
      <c r="E384" s="144"/>
      <c r="F384" s="144"/>
      <c r="G384" s="144"/>
      <c r="H384" s="144"/>
      <c r="I384" s="148"/>
      <c r="J384" s="149">
        <f t="shared" si="19"/>
        <v>0</v>
      </c>
      <c r="K384" s="150">
        <f t="shared" si="20"/>
        <v>0</v>
      </c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1"/>
      <c r="AH384" s="151"/>
      <c r="AI384" s="151"/>
      <c r="AJ384" s="151"/>
      <c r="AK384" s="151"/>
      <c r="AL384" s="151"/>
      <c r="AM384" s="151"/>
      <c r="AN384" s="151"/>
      <c r="AO384" s="151"/>
      <c r="AP384" s="151"/>
      <c r="AQ384" s="151"/>
      <c r="AR384" s="151"/>
      <c r="AS384" s="151"/>
      <c r="AT384" s="152"/>
    </row>
    <row r="385" spans="1:46" x14ac:dyDescent="0.3">
      <c r="A385" s="143"/>
      <c r="B385" s="144"/>
      <c r="C385" s="145"/>
      <c r="D385" s="146"/>
      <c r="E385" s="144"/>
      <c r="F385" s="144"/>
      <c r="G385" s="144"/>
      <c r="H385" s="144"/>
      <c r="I385" s="148"/>
      <c r="J385" s="149">
        <f t="shared" si="19"/>
        <v>0</v>
      </c>
      <c r="K385" s="150">
        <f t="shared" si="20"/>
        <v>0</v>
      </c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1"/>
      <c r="AH385" s="151"/>
      <c r="AI385" s="151"/>
      <c r="AJ385" s="151"/>
      <c r="AK385" s="151"/>
      <c r="AL385" s="151"/>
      <c r="AM385" s="151"/>
      <c r="AN385" s="151"/>
      <c r="AO385" s="151"/>
      <c r="AP385" s="151"/>
      <c r="AQ385" s="151"/>
      <c r="AR385" s="151"/>
      <c r="AS385" s="151"/>
      <c r="AT385" s="152"/>
    </row>
    <row r="386" spans="1:46" x14ac:dyDescent="0.3">
      <c r="A386" s="143"/>
      <c r="B386" s="144"/>
      <c r="C386" s="145"/>
      <c r="D386" s="146"/>
      <c r="E386" s="144"/>
      <c r="F386" s="144"/>
      <c r="G386" s="144"/>
      <c r="H386" s="144"/>
      <c r="I386" s="148"/>
      <c r="J386" s="149">
        <f t="shared" si="19"/>
        <v>0</v>
      </c>
      <c r="K386" s="150">
        <f t="shared" si="20"/>
        <v>0</v>
      </c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  <c r="AB386" s="151"/>
      <c r="AC386" s="151"/>
      <c r="AD386" s="151"/>
      <c r="AE386" s="151"/>
      <c r="AF386" s="151"/>
      <c r="AG386" s="151"/>
      <c r="AH386" s="151"/>
      <c r="AI386" s="151"/>
      <c r="AJ386" s="151"/>
      <c r="AK386" s="151"/>
      <c r="AL386" s="151"/>
      <c r="AM386" s="151"/>
      <c r="AN386" s="151"/>
      <c r="AO386" s="151"/>
      <c r="AP386" s="151"/>
      <c r="AQ386" s="151"/>
      <c r="AR386" s="151"/>
      <c r="AS386" s="151"/>
      <c r="AT386" s="152"/>
    </row>
    <row r="387" spans="1:46" x14ac:dyDescent="0.3">
      <c r="A387" s="143"/>
      <c r="B387" s="144"/>
      <c r="C387" s="145"/>
      <c r="D387" s="146"/>
      <c r="E387" s="144"/>
      <c r="F387" s="144"/>
      <c r="G387" s="144"/>
      <c r="H387" s="144"/>
      <c r="I387" s="148"/>
      <c r="J387" s="149">
        <f t="shared" si="19"/>
        <v>0</v>
      </c>
      <c r="K387" s="150">
        <f t="shared" si="20"/>
        <v>0</v>
      </c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  <c r="AA387" s="151"/>
      <c r="AB387" s="151"/>
      <c r="AC387" s="151"/>
      <c r="AD387" s="151"/>
      <c r="AE387" s="151"/>
      <c r="AF387" s="151"/>
      <c r="AG387" s="151"/>
      <c r="AH387" s="151"/>
      <c r="AI387" s="151"/>
      <c r="AJ387" s="151"/>
      <c r="AK387" s="151"/>
      <c r="AL387" s="151"/>
      <c r="AM387" s="151"/>
      <c r="AN387" s="151"/>
      <c r="AO387" s="151"/>
      <c r="AP387" s="151"/>
      <c r="AQ387" s="151"/>
      <c r="AR387" s="151"/>
      <c r="AS387" s="151"/>
      <c r="AT387" s="152"/>
    </row>
    <row r="388" spans="1:46" x14ac:dyDescent="0.3">
      <c r="A388" s="143"/>
      <c r="B388" s="144"/>
      <c r="C388" s="145"/>
      <c r="D388" s="146"/>
      <c r="E388" s="144"/>
      <c r="F388" s="144"/>
      <c r="G388" s="144"/>
      <c r="H388" s="144"/>
      <c r="I388" s="148"/>
      <c r="J388" s="149">
        <f t="shared" si="19"/>
        <v>0</v>
      </c>
      <c r="K388" s="150">
        <f t="shared" si="20"/>
        <v>0</v>
      </c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  <c r="AA388" s="151"/>
      <c r="AB388" s="151"/>
      <c r="AC388" s="151"/>
      <c r="AD388" s="151"/>
      <c r="AE388" s="151"/>
      <c r="AF388" s="151"/>
      <c r="AG388" s="151"/>
      <c r="AH388" s="151"/>
      <c r="AI388" s="151"/>
      <c r="AJ388" s="151"/>
      <c r="AK388" s="151"/>
      <c r="AL388" s="151"/>
      <c r="AM388" s="151"/>
      <c r="AN388" s="151"/>
      <c r="AO388" s="151"/>
      <c r="AP388" s="151"/>
      <c r="AQ388" s="151"/>
      <c r="AR388" s="151"/>
      <c r="AS388" s="151"/>
      <c r="AT388" s="152"/>
    </row>
    <row r="389" spans="1:46" x14ac:dyDescent="0.3">
      <c r="A389" s="143"/>
      <c r="B389" s="144"/>
      <c r="C389" s="145"/>
      <c r="D389" s="146"/>
      <c r="E389" s="144"/>
      <c r="F389" s="144"/>
      <c r="G389" s="144"/>
      <c r="H389" s="144"/>
      <c r="I389" s="148"/>
      <c r="J389" s="149">
        <f t="shared" si="19"/>
        <v>0</v>
      </c>
      <c r="K389" s="150">
        <f t="shared" si="20"/>
        <v>0</v>
      </c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  <c r="AA389" s="151"/>
      <c r="AB389" s="151"/>
      <c r="AC389" s="151"/>
      <c r="AD389" s="151"/>
      <c r="AE389" s="151"/>
      <c r="AF389" s="151"/>
      <c r="AG389" s="151"/>
      <c r="AH389" s="151"/>
      <c r="AI389" s="151"/>
      <c r="AJ389" s="151"/>
      <c r="AK389" s="151"/>
      <c r="AL389" s="151"/>
      <c r="AM389" s="151"/>
      <c r="AN389" s="151"/>
      <c r="AO389" s="151"/>
      <c r="AP389" s="151"/>
      <c r="AQ389" s="151"/>
      <c r="AR389" s="151"/>
      <c r="AS389" s="151"/>
      <c r="AT389" s="152"/>
    </row>
    <row r="390" spans="1:46" x14ac:dyDescent="0.3">
      <c r="A390" s="143"/>
      <c r="B390" s="144"/>
      <c r="C390" s="145"/>
      <c r="D390" s="146"/>
      <c r="E390" s="144"/>
      <c r="F390" s="144"/>
      <c r="G390" s="144"/>
      <c r="H390" s="144"/>
      <c r="I390" s="148"/>
      <c r="J390" s="149">
        <f t="shared" si="19"/>
        <v>0</v>
      </c>
      <c r="K390" s="150">
        <f t="shared" si="20"/>
        <v>0</v>
      </c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  <c r="AB390" s="151"/>
      <c r="AC390" s="151"/>
      <c r="AD390" s="151"/>
      <c r="AE390" s="151"/>
      <c r="AF390" s="151"/>
      <c r="AG390" s="151"/>
      <c r="AH390" s="151"/>
      <c r="AI390" s="151"/>
      <c r="AJ390" s="151"/>
      <c r="AK390" s="151"/>
      <c r="AL390" s="151"/>
      <c r="AM390" s="151"/>
      <c r="AN390" s="151"/>
      <c r="AO390" s="151"/>
      <c r="AP390" s="151"/>
      <c r="AQ390" s="151"/>
      <c r="AR390" s="151"/>
      <c r="AS390" s="151"/>
      <c r="AT390" s="152"/>
    </row>
    <row r="391" spans="1:46" x14ac:dyDescent="0.3">
      <c r="A391" s="143"/>
      <c r="B391" s="144"/>
      <c r="C391" s="145"/>
      <c r="D391" s="146"/>
      <c r="E391" s="144"/>
      <c r="F391" s="144"/>
      <c r="G391" s="144"/>
      <c r="H391" s="144"/>
      <c r="I391" s="148"/>
      <c r="J391" s="149">
        <f t="shared" si="19"/>
        <v>0</v>
      </c>
      <c r="K391" s="150">
        <f t="shared" si="20"/>
        <v>0</v>
      </c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  <c r="AB391" s="151"/>
      <c r="AC391" s="151"/>
      <c r="AD391" s="151"/>
      <c r="AE391" s="151"/>
      <c r="AF391" s="151"/>
      <c r="AG391" s="151"/>
      <c r="AH391" s="151"/>
      <c r="AI391" s="151"/>
      <c r="AJ391" s="151"/>
      <c r="AK391" s="151"/>
      <c r="AL391" s="151"/>
      <c r="AM391" s="151"/>
      <c r="AN391" s="151"/>
      <c r="AO391" s="151"/>
      <c r="AP391" s="151"/>
      <c r="AQ391" s="151"/>
      <c r="AR391" s="151"/>
      <c r="AS391" s="151"/>
      <c r="AT391" s="152"/>
    </row>
    <row r="392" spans="1:46" x14ac:dyDescent="0.3">
      <c r="A392" s="143"/>
      <c r="B392" s="144"/>
      <c r="C392" s="145"/>
      <c r="D392" s="146"/>
      <c r="E392" s="144"/>
      <c r="F392" s="144"/>
      <c r="G392" s="144"/>
      <c r="H392" s="144"/>
      <c r="I392" s="148"/>
      <c r="J392" s="149">
        <f t="shared" si="19"/>
        <v>0</v>
      </c>
      <c r="K392" s="150">
        <f t="shared" si="20"/>
        <v>0</v>
      </c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  <c r="AA392" s="151"/>
      <c r="AB392" s="151"/>
      <c r="AC392" s="151"/>
      <c r="AD392" s="151"/>
      <c r="AE392" s="151"/>
      <c r="AF392" s="151"/>
      <c r="AG392" s="151"/>
      <c r="AH392" s="151"/>
      <c r="AI392" s="151"/>
      <c r="AJ392" s="151"/>
      <c r="AK392" s="151"/>
      <c r="AL392" s="151"/>
      <c r="AM392" s="151"/>
      <c r="AN392" s="151"/>
      <c r="AO392" s="151"/>
      <c r="AP392" s="151"/>
      <c r="AQ392" s="151"/>
      <c r="AR392" s="151"/>
      <c r="AS392" s="151"/>
      <c r="AT392" s="152"/>
    </row>
    <row r="393" spans="1:46" x14ac:dyDescent="0.3">
      <c r="A393" s="143"/>
      <c r="B393" s="144"/>
      <c r="C393" s="145"/>
      <c r="D393" s="146"/>
      <c r="E393" s="144"/>
      <c r="F393" s="144"/>
      <c r="G393" s="144"/>
      <c r="H393" s="144"/>
      <c r="I393" s="148"/>
      <c r="J393" s="149">
        <f t="shared" si="19"/>
        <v>0</v>
      </c>
      <c r="K393" s="150">
        <f t="shared" si="20"/>
        <v>0</v>
      </c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  <c r="AA393" s="151"/>
      <c r="AB393" s="151"/>
      <c r="AC393" s="151"/>
      <c r="AD393" s="151"/>
      <c r="AE393" s="151"/>
      <c r="AF393" s="151"/>
      <c r="AG393" s="151"/>
      <c r="AH393" s="151"/>
      <c r="AI393" s="151"/>
      <c r="AJ393" s="151"/>
      <c r="AK393" s="151"/>
      <c r="AL393" s="151"/>
      <c r="AM393" s="151"/>
      <c r="AN393" s="151"/>
      <c r="AO393" s="151"/>
      <c r="AP393" s="151"/>
      <c r="AQ393" s="151"/>
      <c r="AR393" s="151"/>
      <c r="AS393" s="151"/>
      <c r="AT393" s="152"/>
    </row>
    <row r="394" spans="1:46" x14ac:dyDescent="0.3">
      <c r="A394" s="143"/>
      <c r="B394" s="144"/>
      <c r="C394" s="145"/>
      <c r="D394" s="146"/>
      <c r="E394" s="144"/>
      <c r="F394" s="144"/>
      <c r="G394" s="144"/>
      <c r="H394" s="144"/>
      <c r="I394" s="148"/>
      <c r="J394" s="149">
        <f t="shared" si="19"/>
        <v>0</v>
      </c>
      <c r="K394" s="150">
        <f t="shared" si="20"/>
        <v>0</v>
      </c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  <c r="AA394" s="151"/>
      <c r="AB394" s="151"/>
      <c r="AC394" s="151"/>
      <c r="AD394" s="151"/>
      <c r="AE394" s="151"/>
      <c r="AF394" s="151"/>
      <c r="AG394" s="151"/>
      <c r="AH394" s="151"/>
      <c r="AI394" s="151"/>
      <c r="AJ394" s="151"/>
      <c r="AK394" s="151"/>
      <c r="AL394" s="151"/>
      <c r="AM394" s="151"/>
      <c r="AN394" s="151"/>
      <c r="AO394" s="151"/>
      <c r="AP394" s="151"/>
      <c r="AQ394" s="151"/>
      <c r="AR394" s="151"/>
      <c r="AS394" s="151"/>
      <c r="AT394" s="152"/>
    </row>
    <row r="395" spans="1:46" x14ac:dyDescent="0.3">
      <c r="A395" s="143"/>
      <c r="B395" s="144"/>
      <c r="C395" s="145"/>
      <c r="D395" s="146"/>
      <c r="E395" s="144"/>
      <c r="F395" s="144"/>
      <c r="G395" s="144"/>
      <c r="H395" s="144"/>
      <c r="I395" s="148"/>
      <c r="J395" s="149">
        <f t="shared" si="19"/>
        <v>0</v>
      </c>
      <c r="K395" s="150">
        <f t="shared" si="20"/>
        <v>0</v>
      </c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  <c r="AA395" s="151"/>
      <c r="AB395" s="151"/>
      <c r="AC395" s="151"/>
      <c r="AD395" s="151"/>
      <c r="AE395" s="151"/>
      <c r="AF395" s="151"/>
      <c r="AG395" s="151"/>
      <c r="AH395" s="151"/>
      <c r="AI395" s="151"/>
      <c r="AJ395" s="151"/>
      <c r="AK395" s="151"/>
      <c r="AL395" s="151"/>
      <c r="AM395" s="151"/>
      <c r="AN395" s="151"/>
      <c r="AO395" s="151"/>
      <c r="AP395" s="151"/>
      <c r="AQ395" s="151"/>
      <c r="AR395" s="151"/>
      <c r="AS395" s="151"/>
      <c r="AT395" s="152"/>
    </row>
    <row r="396" spans="1:46" x14ac:dyDescent="0.3">
      <c r="A396" s="143"/>
      <c r="B396" s="144"/>
      <c r="C396" s="145"/>
      <c r="D396" s="146"/>
      <c r="E396" s="144"/>
      <c r="F396" s="144"/>
      <c r="G396" s="144"/>
      <c r="H396" s="144"/>
      <c r="I396" s="148"/>
      <c r="J396" s="149">
        <f t="shared" si="19"/>
        <v>0</v>
      </c>
      <c r="K396" s="150">
        <f t="shared" si="20"/>
        <v>0</v>
      </c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  <c r="AA396" s="151"/>
      <c r="AB396" s="151"/>
      <c r="AC396" s="151"/>
      <c r="AD396" s="151"/>
      <c r="AE396" s="151"/>
      <c r="AF396" s="151"/>
      <c r="AG396" s="151"/>
      <c r="AH396" s="151"/>
      <c r="AI396" s="151"/>
      <c r="AJ396" s="151"/>
      <c r="AK396" s="151"/>
      <c r="AL396" s="151"/>
      <c r="AM396" s="151"/>
      <c r="AN396" s="151"/>
      <c r="AO396" s="151"/>
      <c r="AP396" s="151"/>
      <c r="AQ396" s="151"/>
      <c r="AR396" s="151"/>
      <c r="AS396" s="151"/>
      <c r="AT396" s="152"/>
    </row>
    <row r="397" spans="1:46" x14ac:dyDescent="0.3">
      <c r="A397" s="143"/>
      <c r="B397" s="144"/>
      <c r="C397" s="145"/>
      <c r="D397" s="146"/>
      <c r="E397" s="144"/>
      <c r="F397" s="144"/>
      <c r="G397" s="144"/>
      <c r="H397" s="144"/>
      <c r="I397" s="148"/>
      <c r="J397" s="149">
        <f t="shared" si="19"/>
        <v>0</v>
      </c>
      <c r="K397" s="150">
        <f t="shared" si="20"/>
        <v>0</v>
      </c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  <c r="AA397" s="151"/>
      <c r="AB397" s="151"/>
      <c r="AC397" s="151"/>
      <c r="AD397" s="151"/>
      <c r="AE397" s="151"/>
      <c r="AF397" s="151"/>
      <c r="AG397" s="151"/>
      <c r="AH397" s="151"/>
      <c r="AI397" s="151"/>
      <c r="AJ397" s="151"/>
      <c r="AK397" s="151"/>
      <c r="AL397" s="151"/>
      <c r="AM397" s="151"/>
      <c r="AN397" s="151"/>
      <c r="AO397" s="151"/>
      <c r="AP397" s="151"/>
      <c r="AQ397" s="151"/>
      <c r="AR397" s="151"/>
      <c r="AS397" s="151"/>
      <c r="AT397" s="152"/>
    </row>
    <row r="398" spans="1:46" x14ac:dyDescent="0.3">
      <c r="A398" s="143"/>
      <c r="B398" s="144"/>
      <c r="C398" s="145"/>
      <c r="D398" s="146"/>
      <c r="E398" s="144"/>
      <c r="F398" s="144"/>
      <c r="G398" s="144"/>
      <c r="H398" s="144"/>
      <c r="I398" s="148"/>
      <c r="J398" s="149">
        <f t="shared" si="19"/>
        <v>0</v>
      </c>
      <c r="K398" s="150">
        <f t="shared" si="20"/>
        <v>0</v>
      </c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  <c r="AB398" s="151"/>
      <c r="AC398" s="151"/>
      <c r="AD398" s="151"/>
      <c r="AE398" s="151"/>
      <c r="AF398" s="151"/>
      <c r="AG398" s="151"/>
      <c r="AH398" s="151"/>
      <c r="AI398" s="151"/>
      <c r="AJ398" s="151"/>
      <c r="AK398" s="151"/>
      <c r="AL398" s="151"/>
      <c r="AM398" s="151"/>
      <c r="AN398" s="151"/>
      <c r="AO398" s="151"/>
      <c r="AP398" s="151"/>
      <c r="AQ398" s="151"/>
      <c r="AR398" s="151"/>
      <c r="AS398" s="151"/>
      <c r="AT398" s="152"/>
    </row>
    <row r="399" spans="1:46" x14ac:dyDescent="0.3">
      <c r="A399" s="143"/>
      <c r="B399" s="144"/>
      <c r="C399" s="145"/>
      <c r="D399" s="146"/>
      <c r="E399" s="144"/>
      <c r="F399" s="144"/>
      <c r="G399" s="144"/>
      <c r="H399" s="144"/>
      <c r="I399" s="148"/>
      <c r="J399" s="149">
        <f t="shared" si="19"/>
        <v>0</v>
      </c>
      <c r="K399" s="150">
        <f t="shared" si="20"/>
        <v>0</v>
      </c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  <c r="AA399" s="151"/>
      <c r="AB399" s="151"/>
      <c r="AC399" s="151"/>
      <c r="AD399" s="151"/>
      <c r="AE399" s="151"/>
      <c r="AF399" s="151"/>
      <c r="AG399" s="151"/>
      <c r="AH399" s="151"/>
      <c r="AI399" s="151"/>
      <c r="AJ399" s="151"/>
      <c r="AK399" s="151"/>
      <c r="AL399" s="151"/>
      <c r="AM399" s="151"/>
      <c r="AN399" s="151"/>
      <c r="AO399" s="151"/>
      <c r="AP399" s="151"/>
      <c r="AQ399" s="151"/>
      <c r="AR399" s="151"/>
      <c r="AS399" s="151"/>
      <c r="AT399" s="152"/>
    </row>
    <row r="400" spans="1:46" x14ac:dyDescent="0.3">
      <c r="A400" s="143"/>
      <c r="B400" s="144"/>
      <c r="C400" s="145"/>
      <c r="D400" s="146"/>
      <c r="E400" s="144"/>
      <c r="F400" s="144"/>
      <c r="G400" s="144"/>
      <c r="H400" s="144"/>
      <c r="I400" s="148"/>
      <c r="J400" s="149">
        <f t="shared" ref="J400:J463" si="21">I400*K400</f>
        <v>0</v>
      </c>
      <c r="K400" s="150">
        <f t="shared" ref="K400:K463" si="22">SUM(L400:AT400)</f>
        <v>0</v>
      </c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  <c r="AB400" s="151"/>
      <c r="AC400" s="151"/>
      <c r="AD400" s="151"/>
      <c r="AE400" s="151"/>
      <c r="AF400" s="151"/>
      <c r="AG400" s="151"/>
      <c r="AH400" s="151"/>
      <c r="AI400" s="151"/>
      <c r="AJ400" s="151"/>
      <c r="AK400" s="151"/>
      <c r="AL400" s="151"/>
      <c r="AM400" s="151"/>
      <c r="AN400" s="151"/>
      <c r="AO400" s="151"/>
      <c r="AP400" s="151"/>
      <c r="AQ400" s="151"/>
      <c r="AR400" s="151"/>
      <c r="AS400" s="151"/>
      <c r="AT400" s="152"/>
    </row>
    <row r="401" spans="1:46" x14ac:dyDescent="0.3">
      <c r="A401" s="143"/>
      <c r="B401" s="144"/>
      <c r="C401" s="145"/>
      <c r="D401" s="146"/>
      <c r="E401" s="144"/>
      <c r="F401" s="144"/>
      <c r="G401" s="144"/>
      <c r="H401" s="144"/>
      <c r="I401" s="148"/>
      <c r="J401" s="149">
        <f t="shared" si="21"/>
        <v>0</v>
      </c>
      <c r="K401" s="150">
        <f t="shared" si="22"/>
        <v>0</v>
      </c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  <c r="AA401" s="151"/>
      <c r="AB401" s="151"/>
      <c r="AC401" s="151"/>
      <c r="AD401" s="151"/>
      <c r="AE401" s="151"/>
      <c r="AF401" s="151"/>
      <c r="AG401" s="151"/>
      <c r="AH401" s="151"/>
      <c r="AI401" s="151"/>
      <c r="AJ401" s="151"/>
      <c r="AK401" s="151"/>
      <c r="AL401" s="151"/>
      <c r="AM401" s="151"/>
      <c r="AN401" s="151"/>
      <c r="AO401" s="151"/>
      <c r="AP401" s="151"/>
      <c r="AQ401" s="151"/>
      <c r="AR401" s="151"/>
      <c r="AS401" s="151"/>
      <c r="AT401" s="152"/>
    </row>
    <row r="402" spans="1:46" x14ac:dyDescent="0.3">
      <c r="A402" s="143"/>
      <c r="B402" s="144"/>
      <c r="C402" s="145"/>
      <c r="D402" s="146"/>
      <c r="E402" s="144"/>
      <c r="F402" s="144"/>
      <c r="G402" s="144"/>
      <c r="H402" s="144"/>
      <c r="I402" s="148"/>
      <c r="J402" s="149">
        <f t="shared" si="21"/>
        <v>0</v>
      </c>
      <c r="K402" s="150">
        <f t="shared" si="22"/>
        <v>0</v>
      </c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  <c r="AA402" s="151"/>
      <c r="AB402" s="151"/>
      <c r="AC402" s="151"/>
      <c r="AD402" s="151"/>
      <c r="AE402" s="151"/>
      <c r="AF402" s="151"/>
      <c r="AG402" s="151"/>
      <c r="AH402" s="151"/>
      <c r="AI402" s="151"/>
      <c r="AJ402" s="151"/>
      <c r="AK402" s="151"/>
      <c r="AL402" s="151"/>
      <c r="AM402" s="151"/>
      <c r="AN402" s="151"/>
      <c r="AO402" s="151"/>
      <c r="AP402" s="151"/>
      <c r="AQ402" s="151"/>
      <c r="AR402" s="151"/>
      <c r="AS402" s="151"/>
      <c r="AT402" s="152"/>
    </row>
    <row r="403" spans="1:46" x14ac:dyDescent="0.3">
      <c r="A403" s="143"/>
      <c r="B403" s="144"/>
      <c r="C403" s="145"/>
      <c r="D403" s="146"/>
      <c r="E403" s="144"/>
      <c r="F403" s="144"/>
      <c r="G403" s="144"/>
      <c r="H403" s="144"/>
      <c r="I403" s="148"/>
      <c r="J403" s="149">
        <f t="shared" si="21"/>
        <v>0</v>
      </c>
      <c r="K403" s="150">
        <f t="shared" si="22"/>
        <v>0</v>
      </c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  <c r="AA403" s="151"/>
      <c r="AB403" s="151"/>
      <c r="AC403" s="151"/>
      <c r="AD403" s="151"/>
      <c r="AE403" s="151"/>
      <c r="AF403" s="151"/>
      <c r="AG403" s="151"/>
      <c r="AH403" s="151"/>
      <c r="AI403" s="151"/>
      <c r="AJ403" s="151"/>
      <c r="AK403" s="151"/>
      <c r="AL403" s="151"/>
      <c r="AM403" s="151"/>
      <c r="AN403" s="151"/>
      <c r="AO403" s="151"/>
      <c r="AP403" s="151"/>
      <c r="AQ403" s="151"/>
      <c r="AR403" s="151"/>
      <c r="AS403" s="151"/>
      <c r="AT403" s="152"/>
    </row>
    <row r="404" spans="1:46" x14ac:dyDescent="0.3">
      <c r="A404" s="143"/>
      <c r="B404" s="144"/>
      <c r="C404" s="145"/>
      <c r="D404" s="146"/>
      <c r="E404" s="144"/>
      <c r="F404" s="144"/>
      <c r="G404" s="144"/>
      <c r="H404" s="144"/>
      <c r="I404" s="148"/>
      <c r="J404" s="149">
        <f t="shared" si="21"/>
        <v>0</v>
      </c>
      <c r="K404" s="150">
        <f t="shared" si="22"/>
        <v>0</v>
      </c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  <c r="AA404" s="151"/>
      <c r="AB404" s="151"/>
      <c r="AC404" s="151"/>
      <c r="AD404" s="151"/>
      <c r="AE404" s="151"/>
      <c r="AF404" s="151"/>
      <c r="AG404" s="151"/>
      <c r="AH404" s="151"/>
      <c r="AI404" s="151"/>
      <c r="AJ404" s="151"/>
      <c r="AK404" s="151"/>
      <c r="AL404" s="151"/>
      <c r="AM404" s="151"/>
      <c r="AN404" s="151"/>
      <c r="AO404" s="151"/>
      <c r="AP404" s="151"/>
      <c r="AQ404" s="151"/>
      <c r="AR404" s="151"/>
      <c r="AS404" s="151"/>
      <c r="AT404" s="152"/>
    </row>
    <row r="405" spans="1:46" x14ac:dyDescent="0.3">
      <c r="A405" s="143"/>
      <c r="B405" s="144"/>
      <c r="C405" s="145"/>
      <c r="D405" s="146"/>
      <c r="E405" s="144"/>
      <c r="F405" s="144"/>
      <c r="G405" s="144"/>
      <c r="H405" s="144"/>
      <c r="I405" s="148"/>
      <c r="J405" s="149">
        <f t="shared" si="21"/>
        <v>0</v>
      </c>
      <c r="K405" s="150">
        <f t="shared" si="22"/>
        <v>0</v>
      </c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  <c r="AA405" s="151"/>
      <c r="AB405" s="151"/>
      <c r="AC405" s="151"/>
      <c r="AD405" s="151"/>
      <c r="AE405" s="151"/>
      <c r="AF405" s="151"/>
      <c r="AG405" s="151"/>
      <c r="AH405" s="151"/>
      <c r="AI405" s="151"/>
      <c r="AJ405" s="151"/>
      <c r="AK405" s="151"/>
      <c r="AL405" s="151"/>
      <c r="AM405" s="151"/>
      <c r="AN405" s="151"/>
      <c r="AO405" s="151"/>
      <c r="AP405" s="151"/>
      <c r="AQ405" s="151"/>
      <c r="AR405" s="151"/>
      <c r="AS405" s="151"/>
      <c r="AT405" s="152"/>
    </row>
    <row r="406" spans="1:46" x14ac:dyDescent="0.3">
      <c r="A406" s="143"/>
      <c r="B406" s="144"/>
      <c r="C406" s="145"/>
      <c r="D406" s="146"/>
      <c r="E406" s="144"/>
      <c r="F406" s="144"/>
      <c r="G406" s="144"/>
      <c r="H406" s="144"/>
      <c r="I406" s="148"/>
      <c r="J406" s="149">
        <f t="shared" si="21"/>
        <v>0</v>
      </c>
      <c r="K406" s="150">
        <f t="shared" si="22"/>
        <v>0</v>
      </c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  <c r="AA406" s="151"/>
      <c r="AB406" s="151"/>
      <c r="AC406" s="151"/>
      <c r="AD406" s="151"/>
      <c r="AE406" s="151"/>
      <c r="AF406" s="151"/>
      <c r="AG406" s="151"/>
      <c r="AH406" s="151"/>
      <c r="AI406" s="151"/>
      <c r="AJ406" s="151"/>
      <c r="AK406" s="151"/>
      <c r="AL406" s="151"/>
      <c r="AM406" s="151"/>
      <c r="AN406" s="151"/>
      <c r="AO406" s="151"/>
      <c r="AP406" s="151"/>
      <c r="AQ406" s="151"/>
      <c r="AR406" s="151"/>
      <c r="AS406" s="151"/>
      <c r="AT406" s="152"/>
    </row>
    <row r="407" spans="1:46" x14ac:dyDescent="0.3">
      <c r="A407" s="143"/>
      <c r="B407" s="144"/>
      <c r="C407" s="145"/>
      <c r="D407" s="146"/>
      <c r="E407" s="144"/>
      <c r="F407" s="144"/>
      <c r="G407" s="144"/>
      <c r="H407" s="144"/>
      <c r="I407" s="148"/>
      <c r="J407" s="149">
        <f t="shared" si="21"/>
        <v>0</v>
      </c>
      <c r="K407" s="150">
        <f t="shared" si="22"/>
        <v>0</v>
      </c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  <c r="AA407" s="151"/>
      <c r="AB407" s="151"/>
      <c r="AC407" s="151"/>
      <c r="AD407" s="151"/>
      <c r="AE407" s="151"/>
      <c r="AF407" s="151"/>
      <c r="AG407" s="151"/>
      <c r="AH407" s="151"/>
      <c r="AI407" s="151"/>
      <c r="AJ407" s="151"/>
      <c r="AK407" s="151"/>
      <c r="AL407" s="151"/>
      <c r="AM407" s="151"/>
      <c r="AN407" s="151"/>
      <c r="AO407" s="151"/>
      <c r="AP407" s="151"/>
      <c r="AQ407" s="151"/>
      <c r="AR407" s="151"/>
      <c r="AS407" s="151"/>
      <c r="AT407" s="152"/>
    </row>
    <row r="408" spans="1:46" x14ac:dyDescent="0.3">
      <c r="A408" s="143"/>
      <c r="B408" s="144"/>
      <c r="C408" s="145"/>
      <c r="D408" s="146"/>
      <c r="E408" s="144"/>
      <c r="F408" s="144"/>
      <c r="G408" s="144"/>
      <c r="H408" s="144"/>
      <c r="I408" s="148"/>
      <c r="J408" s="149">
        <f t="shared" si="21"/>
        <v>0</v>
      </c>
      <c r="K408" s="150">
        <f t="shared" si="22"/>
        <v>0</v>
      </c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  <c r="AA408" s="151"/>
      <c r="AB408" s="151"/>
      <c r="AC408" s="151"/>
      <c r="AD408" s="151"/>
      <c r="AE408" s="151"/>
      <c r="AF408" s="151"/>
      <c r="AG408" s="151"/>
      <c r="AH408" s="151"/>
      <c r="AI408" s="151"/>
      <c r="AJ408" s="151"/>
      <c r="AK408" s="151"/>
      <c r="AL408" s="151"/>
      <c r="AM408" s="151"/>
      <c r="AN408" s="151"/>
      <c r="AO408" s="151"/>
      <c r="AP408" s="151"/>
      <c r="AQ408" s="151"/>
      <c r="AR408" s="151"/>
      <c r="AS408" s="151"/>
      <c r="AT408" s="152"/>
    </row>
    <row r="409" spans="1:46" x14ac:dyDescent="0.3">
      <c r="A409" s="143"/>
      <c r="B409" s="144"/>
      <c r="C409" s="145"/>
      <c r="D409" s="146"/>
      <c r="E409" s="144"/>
      <c r="F409" s="144"/>
      <c r="G409" s="144"/>
      <c r="H409" s="144"/>
      <c r="I409" s="148"/>
      <c r="J409" s="149">
        <f t="shared" si="21"/>
        <v>0</v>
      </c>
      <c r="K409" s="150">
        <f t="shared" si="22"/>
        <v>0</v>
      </c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  <c r="AA409" s="151"/>
      <c r="AB409" s="151"/>
      <c r="AC409" s="151"/>
      <c r="AD409" s="151"/>
      <c r="AE409" s="151"/>
      <c r="AF409" s="151"/>
      <c r="AG409" s="151"/>
      <c r="AH409" s="151"/>
      <c r="AI409" s="151"/>
      <c r="AJ409" s="151"/>
      <c r="AK409" s="151"/>
      <c r="AL409" s="151"/>
      <c r="AM409" s="151"/>
      <c r="AN409" s="151"/>
      <c r="AO409" s="151"/>
      <c r="AP409" s="151"/>
      <c r="AQ409" s="151"/>
      <c r="AR409" s="151"/>
      <c r="AS409" s="151"/>
      <c r="AT409" s="152"/>
    </row>
    <row r="410" spans="1:46" x14ac:dyDescent="0.3">
      <c r="A410" s="143"/>
      <c r="B410" s="144"/>
      <c r="C410" s="145"/>
      <c r="D410" s="146"/>
      <c r="E410" s="144"/>
      <c r="F410" s="144"/>
      <c r="G410" s="144"/>
      <c r="H410" s="144"/>
      <c r="I410" s="148"/>
      <c r="J410" s="149">
        <f t="shared" si="21"/>
        <v>0</v>
      </c>
      <c r="K410" s="150">
        <f t="shared" si="22"/>
        <v>0</v>
      </c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  <c r="AB410" s="151"/>
      <c r="AC410" s="151"/>
      <c r="AD410" s="151"/>
      <c r="AE410" s="151"/>
      <c r="AF410" s="151"/>
      <c r="AG410" s="151"/>
      <c r="AH410" s="151"/>
      <c r="AI410" s="151"/>
      <c r="AJ410" s="151"/>
      <c r="AK410" s="151"/>
      <c r="AL410" s="151"/>
      <c r="AM410" s="151"/>
      <c r="AN410" s="151"/>
      <c r="AO410" s="151"/>
      <c r="AP410" s="151"/>
      <c r="AQ410" s="151"/>
      <c r="AR410" s="151"/>
      <c r="AS410" s="151"/>
      <c r="AT410" s="152"/>
    </row>
    <row r="411" spans="1:46" x14ac:dyDescent="0.3">
      <c r="A411" s="143"/>
      <c r="B411" s="144"/>
      <c r="C411" s="145"/>
      <c r="D411" s="146"/>
      <c r="E411" s="144"/>
      <c r="F411" s="144"/>
      <c r="G411" s="144"/>
      <c r="H411" s="144"/>
      <c r="I411" s="148"/>
      <c r="J411" s="149">
        <f t="shared" si="21"/>
        <v>0</v>
      </c>
      <c r="K411" s="150">
        <f t="shared" si="22"/>
        <v>0</v>
      </c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  <c r="AA411" s="151"/>
      <c r="AB411" s="151"/>
      <c r="AC411" s="151"/>
      <c r="AD411" s="151"/>
      <c r="AE411" s="151"/>
      <c r="AF411" s="151"/>
      <c r="AG411" s="151"/>
      <c r="AH411" s="151"/>
      <c r="AI411" s="151"/>
      <c r="AJ411" s="151"/>
      <c r="AK411" s="151"/>
      <c r="AL411" s="151"/>
      <c r="AM411" s="151"/>
      <c r="AN411" s="151"/>
      <c r="AO411" s="151"/>
      <c r="AP411" s="151"/>
      <c r="AQ411" s="151"/>
      <c r="AR411" s="151"/>
      <c r="AS411" s="151"/>
      <c r="AT411" s="152"/>
    </row>
    <row r="412" spans="1:46" x14ac:dyDescent="0.3">
      <c r="A412" s="143"/>
      <c r="B412" s="144"/>
      <c r="C412" s="145"/>
      <c r="D412" s="146"/>
      <c r="E412" s="144"/>
      <c r="F412" s="144"/>
      <c r="G412" s="144"/>
      <c r="H412" s="144"/>
      <c r="I412" s="148"/>
      <c r="J412" s="149">
        <f t="shared" si="21"/>
        <v>0</v>
      </c>
      <c r="K412" s="150">
        <f t="shared" si="22"/>
        <v>0</v>
      </c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  <c r="AB412" s="151"/>
      <c r="AC412" s="151"/>
      <c r="AD412" s="151"/>
      <c r="AE412" s="151"/>
      <c r="AF412" s="151"/>
      <c r="AG412" s="151"/>
      <c r="AH412" s="151"/>
      <c r="AI412" s="151"/>
      <c r="AJ412" s="151"/>
      <c r="AK412" s="151"/>
      <c r="AL412" s="151"/>
      <c r="AM412" s="151"/>
      <c r="AN412" s="151"/>
      <c r="AO412" s="151"/>
      <c r="AP412" s="151"/>
      <c r="AQ412" s="151"/>
      <c r="AR412" s="151"/>
      <c r="AS412" s="151"/>
      <c r="AT412" s="152"/>
    </row>
    <row r="413" spans="1:46" x14ac:dyDescent="0.3">
      <c r="A413" s="143"/>
      <c r="B413" s="144"/>
      <c r="C413" s="145"/>
      <c r="D413" s="146"/>
      <c r="E413" s="144"/>
      <c r="F413" s="144"/>
      <c r="G413" s="144"/>
      <c r="H413" s="144"/>
      <c r="I413" s="148"/>
      <c r="J413" s="149">
        <f t="shared" si="21"/>
        <v>0</v>
      </c>
      <c r="K413" s="150">
        <f t="shared" si="22"/>
        <v>0</v>
      </c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  <c r="AA413" s="151"/>
      <c r="AB413" s="151"/>
      <c r="AC413" s="151"/>
      <c r="AD413" s="151"/>
      <c r="AE413" s="151"/>
      <c r="AF413" s="151"/>
      <c r="AG413" s="151"/>
      <c r="AH413" s="151"/>
      <c r="AI413" s="151"/>
      <c r="AJ413" s="151"/>
      <c r="AK413" s="151"/>
      <c r="AL413" s="151"/>
      <c r="AM413" s="151"/>
      <c r="AN413" s="151"/>
      <c r="AO413" s="151"/>
      <c r="AP413" s="151"/>
      <c r="AQ413" s="151"/>
      <c r="AR413" s="151"/>
      <c r="AS413" s="151"/>
      <c r="AT413" s="152"/>
    </row>
    <row r="414" spans="1:46" x14ac:dyDescent="0.3">
      <c r="A414" s="143"/>
      <c r="B414" s="144"/>
      <c r="C414" s="145"/>
      <c r="D414" s="146"/>
      <c r="E414" s="144"/>
      <c r="F414" s="144"/>
      <c r="G414" s="144"/>
      <c r="H414" s="144"/>
      <c r="I414" s="148"/>
      <c r="J414" s="149">
        <f t="shared" si="21"/>
        <v>0</v>
      </c>
      <c r="K414" s="150">
        <f t="shared" si="22"/>
        <v>0</v>
      </c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  <c r="AA414" s="151"/>
      <c r="AB414" s="151"/>
      <c r="AC414" s="151"/>
      <c r="AD414" s="151"/>
      <c r="AE414" s="151"/>
      <c r="AF414" s="151"/>
      <c r="AG414" s="151"/>
      <c r="AH414" s="151"/>
      <c r="AI414" s="151"/>
      <c r="AJ414" s="151"/>
      <c r="AK414" s="151"/>
      <c r="AL414" s="151"/>
      <c r="AM414" s="151"/>
      <c r="AN414" s="151"/>
      <c r="AO414" s="151"/>
      <c r="AP414" s="151"/>
      <c r="AQ414" s="151"/>
      <c r="AR414" s="151"/>
      <c r="AS414" s="151"/>
      <c r="AT414" s="152"/>
    </row>
    <row r="415" spans="1:46" x14ac:dyDescent="0.3">
      <c r="A415" s="143"/>
      <c r="B415" s="144"/>
      <c r="C415" s="145"/>
      <c r="D415" s="146"/>
      <c r="E415" s="144"/>
      <c r="F415" s="144"/>
      <c r="G415" s="144"/>
      <c r="H415" s="144"/>
      <c r="I415" s="148"/>
      <c r="J415" s="149">
        <f t="shared" si="21"/>
        <v>0</v>
      </c>
      <c r="K415" s="150">
        <f t="shared" si="22"/>
        <v>0</v>
      </c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  <c r="AA415" s="151"/>
      <c r="AB415" s="151"/>
      <c r="AC415" s="151"/>
      <c r="AD415" s="151"/>
      <c r="AE415" s="151"/>
      <c r="AF415" s="151"/>
      <c r="AG415" s="151"/>
      <c r="AH415" s="151"/>
      <c r="AI415" s="151"/>
      <c r="AJ415" s="151"/>
      <c r="AK415" s="151"/>
      <c r="AL415" s="151"/>
      <c r="AM415" s="151"/>
      <c r="AN415" s="151"/>
      <c r="AO415" s="151"/>
      <c r="AP415" s="151"/>
      <c r="AQ415" s="151"/>
      <c r="AR415" s="151"/>
      <c r="AS415" s="151"/>
      <c r="AT415" s="152"/>
    </row>
    <row r="416" spans="1:46" x14ac:dyDescent="0.3">
      <c r="A416" s="143"/>
      <c r="B416" s="144"/>
      <c r="C416" s="145"/>
      <c r="D416" s="146"/>
      <c r="E416" s="144"/>
      <c r="F416" s="144"/>
      <c r="G416" s="144"/>
      <c r="H416" s="144"/>
      <c r="I416" s="148"/>
      <c r="J416" s="149">
        <f t="shared" si="21"/>
        <v>0</v>
      </c>
      <c r="K416" s="150">
        <f t="shared" si="22"/>
        <v>0</v>
      </c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  <c r="AA416" s="151"/>
      <c r="AB416" s="151"/>
      <c r="AC416" s="151"/>
      <c r="AD416" s="151"/>
      <c r="AE416" s="151"/>
      <c r="AF416" s="151"/>
      <c r="AG416" s="151"/>
      <c r="AH416" s="151"/>
      <c r="AI416" s="151"/>
      <c r="AJ416" s="151"/>
      <c r="AK416" s="151"/>
      <c r="AL416" s="151"/>
      <c r="AM416" s="151"/>
      <c r="AN416" s="151"/>
      <c r="AO416" s="151"/>
      <c r="AP416" s="151"/>
      <c r="AQ416" s="151"/>
      <c r="AR416" s="151"/>
      <c r="AS416" s="151"/>
      <c r="AT416" s="152"/>
    </row>
    <row r="417" spans="1:46" x14ac:dyDescent="0.3">
      <c r="A417" s="143"/>
      <c r="B417" s="144"/>
      <c r="C417" s="145"/>
      <c r="D417" s="146"/>
      <c r="E417" s="144"/>
      <c r="F417" s="144"/>
      <c r="G417" s="144"/>
      <c r="H417" s="144"/>
      <c r="I417" s="148"/>
      <c r="J417" s="149">
        <f t="shared" si="21"/>
        <v>0</v>
      </c>
      <c r="K417" s="150">
        <f t="shared" si="22"/>
        <v>0</v>
      </c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  <c r="AA417" s="151"/>
      <c r="AB417" s="151"/>
      <c r="AC417" s="151"/>
      <c r="AD417" s="151"/>
      <c r="AE417" s="151"/>
      <c r="AF417" s="151"/>
      <c r="AG417" s="151"/>
      <c r="AH417" s="151"/>
      <c r="AI417" s="151"/>
      <c r="AJ417" s="151"/>
      <c r="AK417" s="151"/>
      <c r="AL417" s="151"/>
      <c r="AM417" s="151"/>
      <c r="AN417" s="151"/>
      <c r="AO417" s="151"/>
      <c r="AP417" s="151"/>
      <c r="AQ417" s="151"/>
      <c r="AR417" s="151"/>
      <c r="AS417" s="151"/>
      <c r="AT417" s="152"/>
    </row>
    <row r="418" spans="1:46" x14ac:dyDescent="0.3">
      <c r="A418" s="143"/>
      <c r="B418" s="144"/>
      <c r="C418" s="145"/>
      <c r="D418" s="146"/>
      <c r="E418" s="144"/>
      <c r="F418" s="144"/>
      <c r="G418" s="144"/>
      <c r="H418" s="144"/>
      <c r="I418" s="148"/>
      <c r="J418" s="149">
        <f t="shared" si="21"/>
        <v>0</v>
      </c>
      <c r="K418" s="150">
        <f t="shared" si="22"/>
        <v>0</v>
      </c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  <c r="AA418" s="151"/>
      <c r="AB418" s="151"/>
      <c r="AC418" s="151"/>
      <c r="AD418" s="151"/>
      <c r="AE418" s="151"/>
      <c r="AF418" s="151"/>
      <c r="AG418" s="151"/>
      <c r="AH418" s="151"/>
      <c r="AI418" s="151"/>
      <c r="AJ418" s="151"/>
      <c r="AK418" s="151"/>
      <c r="AL418" s="151"/>
      <c r="AM418" s="151"/>
      <c r="AN418" s="151"/>
      <c r="AO418" s="151"/>
      <c r="AP418" s="151"/>
      <c r="AQ418" s="151"/>
      <c r="AR418" s="151"/>
      <c r="AS418" s="151"/>
      <c r="AT418" s="152"/>
    </row>
    <row r="419" spans="1:46" x14ac:dyDescent="0.3">
      <c r="A419" s="143"/>
      <c r="B419" s="144"/>
      <c r="C419" s="145"/>
      <c r="D419" s="146"/>
      <c r="E419" s="144"/>
      <c r="F419" s="144"/>
      <c r="G419" s="144"/>
      <c r="H419" s="144"/>
      <c r="I419" s="148"/>
      <c r="J419" s="149">
        <f t="shared" si="21"/>
        <v>0</v>
      </c>
      <c r="K419" s="150">
        <f t="shared" si="22"/>
        <v>0</v>
      </c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  <c r="AA419" s="151"/>
      <c r="AB419" s="151"/>
      <c r="AC419" s="151"/>
      <c r="AD419" s="151"/>
      <c r="AE419" s="151"/>
      <c r="AF419" s="151"/>
      <c r="AG419" s="151"/>
      <c r="AH419" s="151"/>
      <c r="AI419" s="151"/>
      <c r="AJ419" s="151"/>
      <c r="AK419" s="151"/>
      <c r="AL419" s="151"/>
      <c r="AM419" s="151"/>
      <c r="AN419" s="151"/>
      <c r="AO419" s="151"/>
      <c r="AP419" s="151"/>
      <c r="AQ419" s="151"/>
      <c r="AR419" s="151"/>
      <c r="AS419" s="151"/>
      <c r="AT419" s="152"/>
    </row>
    <row r="420" spans="1:46" x14ac:dyDescent="0.3">
      <c r="A420" s="143"/>
      <c r="B420" s="144"/>
      <c r="C420" s="145"/>
      <c r="D420" s="146"/>
      <c r="E420" s="144"/>
      <c r="F420" s="144"/>
      <c r="G420" s="144"/>
      <c r="H420" s="144"/>
      <c r="I420" s="148"/>
      <c r="J420" s="149">
        <f t="shared" si="21"/>
        <v>0</v>
      </c>
      <c r="K420" s="150">
        <f t="shared" si="22"/>
        <v>0</v>
      </c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  <c r="AA420" s="151"/>
      <c r="AB420" s="151"/>
      <c r="AC420" s="151"/>
      <c r="AD420" s="151"/>
      <c r="AE420" s="151"/>
      <c r="AF420" s="151"/>
      <c r="AG420" s="151"/>
      <c r="AH420" s="151"/>
      <c r="AI420" s="151"/>
      <c r="AJ420" s="151"/>
      <c r="AK420" s="151"/>
      <c r="AL420" s="151"/>
      <c r="AM420" s="151"/>
      <c r="AN420" s="151"/>
      <c r="AO420" s="151"/>
      <c r="AP420" s="151"/>
      <c r="AQ420" s="151"/>
      <c r="AR420" s="151"/>
      <c r="AS420" s="151"/>
      <c r="AT420" s="152"/>
    </row>
    <row r="421" spans="1:46" x14ac:dyDescent="0.3">
      <c r="A421" s="143"/>
      <c r="B421" s="144"/>
      <c r="C421" s="145"/>
      <c r="D421" s="146"/>
      <c r="E421" s="144"/>
      <c r="F421" s="144"/>
      <c r="G421" s="144"/>
      <c r="H421" s="144"/>
      <c r="I421" s="148"/>
      <c r="J421" s="149">
        <f t="shared" si="21"/>
        <v>0</v>
      </c>
      <c r="K421" s="150">
        <f t="shared" si="22"/>
        <v>0</v>
      </c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  <c r="AB421" s="151"/>
      <c r="AC421" s="151"/>
      <c r="AD421" s="151"/>
      <c r="AE421" s="151"/>
      <c r="AF421" s="151"/>
      <c r="AG421" s="151"/>
      <c r="AH421" s="151"/>
      <c r="AI421" s="151"/>
      <c r="AJ421" s="151"/>
      <c r="AK421" s="151"/>
      <c r="AL421" s="151"/>
      <c r="AM421" s="151"/>
      <c r="AN421" s="151"/>
      <c r="AO421" s="151"/>
      <c r="AP421" s="151"/>
      <c r="AQ421" s="151"/>
      <c r="AR421" s="151"/>
      <c r="AS421" s="151"/>
      <c r="AT421" s="152"/>
    </row>
    <row r="422" spans="1:46" x14ac:dyDescent="0.3">
      <c r="A422" s="143"/>
      <c r="B422" s="144"/>
      <c r="C422" s="145"/>
      <c r="D422" s="146"/>
      <c r="E422" s="144"/>
      <c r="F422" s="144"/>
      <c r="G422" s="144"/>
      <c r="H422" s="144"/>
      <c r="I422" s="148"/>
      <c r="J422" s="149">
        <f t="shared" si="21"/>
        <v>0</v>
      </c>
      <c r="K422" s="150">
        <f t="shared" si="22"/>
        <v>0</v>
      </c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  <c r="AA422" s="151"/>
      <c r="AB422" s="151"/>
      <c r="AC422" s="151"/>
      <c r="AD422" s="151"/>
      <c r="AE422" s="151"/>
      <c r="AF422" s="151"/>
      <c r="AG422" s="151"/>
      <c r="AH422" s="151"/>
      <c r="AI422" s="151"/>
      <c r="AJ422" s="151"/>
      <c r="AK422" s="151"/>
      <c r="AL422" s="151"/>
      <c r="AM422" s="151"/>
      <c r="AN422" s="151"/>
      <c r="AO422" s="151"/>
      <c r="AP422" s="151"/>
      <c r="AQ422" s="151"/>
      <c r="AR422" s="151"/>
      <c r="AS422" s="151"/>
      <c r="AT422" s="152"/>
    </row>
    <row r="423" spans="1:46" x14ac:dyDescent="0.3">
      <c r="A423" s="143"/>
      <c r="B423" s="144"/>
      <c r="C423" s="145"/>
      <c r="D423" s="146"/>
      <c r="E423" s="144"/>
      <c r="F423" s="144"/>
      <c r="G423" s="144"/>
      <c r="H423" s="144"/>
      <c r="I423" s="148"/>
      <c r="J423" s="149">
        <f t="shared" si="21"/>
        <v>0</v>
      </c>
      <c r="K423" s="150">
        <f t="shared" si="22"/>
        <v>0</v>
      </c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  <c r="AA423" s="151"/>
      <c r="AB423" s="151"/>
      <c r="AC423" s="151"/>
      <c r="AD423" s="151"/>
      <c r="AE423" s="151"/>
      <c r="AF423" s="151"/>
      <c r="AG423" s="151"/>
      <c r="AH423" s="151"/>
      <c r="AI423" s="151"/>
      <c r="AJ423" s="151"/>
      <c r="AK423" s="151"/>
      <c r="AL423" s="151"/>
      <c r="AM423" s="151"/>
      <c r="AN423" s="151"/>
      <c r="AO423" s="151"/>
      <c r="AP423" s="151"/>
      <c r="AQ423" s="151"/>
      <c r="AR423" s="151"/>
      <c r="AS423" s="151"/>
      <c r="AT423" s="152"/>
    </row>
    <row r="424" spans="1:46" x14ac:dyDescent="0.3">
      <c r="A424" s="143"/>
      <c r="B424" s="144"/>
      <c r="C424" s="145"/>
      <c r="D424" s="146"/>
      <c r="E424" s="144"/>
      <c r="F424" s="144"/>
      <c r="G424" s="144"/>
      <c r="H424" s="144"/>
      <c r="I424" s="148"/>
      <c r="J424" s="149">
        <f t="shared" si="21"/>
        <v>0</v>
      </c>
      <c r="K424" s="150">
        <f t="shared" si="22"/>
        <v>0</v>
      </c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  <c r="AA424" s="151"/>
      <c r="AB424" s="151"/>
      <c r="AC424" s="151"/>
      <c r="AD424" s="151"/>
      <c r="AE424" s="151"/>
      <c r="AF424" s="151"/>
      <c r="AG424" s="151"/>
      <c r="AH424" s="151"/>
      <c r="AI424" s="151"/>
      <c r="AJ424" s="151"/>
      <c r="AK424" s="151"/>
      <c r="AL424" s="151"/>
      <c r="AM424" s="151"/>
      <c r="AN424" s="151"/>
      <c r="AO424" s="151"/>
      <c r="AP424" s="151"/>
      <c r="AQ424" s="151"/>
      <c r="AR424" s="151"/>
      <c r="AS424" s="151"/>
      <c r="AT424" s="152"/>
    </row>
    <row r="425" spans="1:46" x14ac:dyDescent="0.3">
      <c r="A425" s="143"/>
      <c r="B425" s="144"/>
      <c r="C425" s="145"/>
      <c r="D425" s="146"/>
      <c r="E425" s="144"/>
      <c r="F425" s="144"/>
      <c r="G425" s="144"/>
      <c r="H425" s="144"/>
      <c r="I425" s="148"/>
      <c r="J425" s="149">
        <f t="shared" si="21"/>
        <v>0</v>
      </c>
      <c r="K425" s="150">
        <f t="shared" si="22"/>
        <v>0</v>
      </c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  <c r="AA425" s="151"/>
      <c r="AB425" s="151"/>
      <c r="AC425" s="151"/>
      <c r="AD425" s="151"/>
      <c r="AE425" s="151"/>
      <c r="AF425" s="151"/>
      <c r="AG425" s="151"/>
      <c r="AH425" s="151"/>
      <c r="AI425" s="151"/>
      <c r="AJ425" s="151"/>
      <c r="AK425" s="151"/>
      <c r="AL425" s="151"/>
      <c r="AM425" s="151"/>
      <c r="AN425" s="151"/>
      <c r="AO425" s="151"/>
      <c r="AP425" s="151"/>
      <c r="AQ425" s="151"/>
      <c r="AR425" s="151"/>
      <c r="AS425" s="151"/>
      <c r="AT425" s="152"/>
    </row>
    <row r="426" spans="1:46" x14ac:dyDescent="0.3">
      <c r="A426" s="143"/>
      <c r="B426" s="144"/>
      <c r="C426" s="145"/>
      <c r="D426" s="146"/>
      <c r="E426" s="144"/>
      <c r="F426" s="144"/>
      <c r="G426" s="144"/>
      <c r="H426" s="144"/>
      <c r="I426" s="148"/>
      <c r="J426" s="149">
        <f t="shared" si="21"/>
        <v>0</v>
      </c>
      <c r="K426" s="150">
        <f t="shared" si="22"/>
        <v>0</v>
      </c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  <c r="AA426" s="151"/>
      <c r="AB426" s="151"/>
      <c r="AC426" s="151"/>
      <c r="AD426" s="151"/>
      <c r="AE426" s="151"/>
      <c r="AF426" s="151"/>
      <c r="AG426" s="151"/>
      <c r="AH426" s="151"/>
      <c r="AI426" s="151"/>
      <c r="AJ426" s="151"/>
      <c r="AK426" s="151"/>
      <c r="AL426" s="151"/>
      <c r="AM426" s="151"/>
      <c r="AN426" s="151"/>
      <c r="AO426" s="151"/>
      <c r="AP426" s="151"/>
      <c r="AQ426" s="151"/>
      <c r="AR426" s="151"/>
      <c r="AS426" s="151"/>
      <c r="AT426" s="152"/>
    </row>
    <row r="427" spans="1:46" x14ac:dyDescent="0.3">
      <c r="A427" s="143"/>
      <c r="B427" s="144"/>
      <c r="C427" s="145"/>
      <c r="D427" s="146"/>
      <c r="E427" s="144"/>
      <c r="F427" s="144"/>
      <c r="G427" s="144"/>
      <c r="H427" s="144"/>
      <c r="I427" s="148"/>
      <c r="J427" s="149">
        <f t="shared" si="21"/>
        <v>0</v>
      </c>
      <c r="K427" s="150">
        <f t="shared" si="22"/>
        <v>0</v>
      </c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  <c r="AA427" s="151"/>
      <c r="AB427" s="151"/>
      <c r="AC427" s="151"/>
      <c r="AD427" s="151"/>
      <c r="AE427" s="151"/>
      <c r="AF427" s="151"/>
      <c r="AG427" s="151"/>
      <c r="AH427" s="151"/>
      <c r="AI427" s="151"/>
      <c r="AJ427" s="151"/>
      <c r="AK427" s="151"/>
      <c r="AL427" s="151"/>
      <c r="AM427" s="151"/>
      <c r="AN427" s="151"/>
      <c r="AO427" s="151"/>
      <c r="AP427" s="151"/>
      <c r="AQ427" s="151"/>
      <c r="AR427" s="151"/>
      <c r="AS427" s="151"/>
      <c r="AT427" s="152"/>
    </row>
    <row r="428" spans="1:46" x14ac:dyDescent="0.3">
      <c r="A428" s="143"/>
      <c r="B428" s="144"/>
      <c r="C428" s="145"/>
      <c r="D428" s="146"/>
      <c r="E428" s="144"/>
      <c r="F428" s="144"/>
      <c r="G428" s="144"/>
      <c r="H428" s="144"/>
      <c r="I428" s="148"/>
      <c r="J428" s="149">
        <f t="shared" si="21"/>
        <v>0</v>
      </c>
      <c r="K428" s="150">
        <f t="shared" si="22"/>
        <v>0</v>
      </c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  <c r="AA428" s="151"/>
      <c r="AB428" s="151"/>
      <c r="AC428" s="151"/>
      <c r="AD428" s="151"/>
      <c r="AE428" s="151"/>
      <c r="AF428" s="151"/>
      <c r="AG428" s="151"/>
      <c r="AH428" s="151"/>
      <c r="AI428" s="151"/>
      <c r="AJ428" s="151"/>
      <c r="AK428" s="151"/>
      <c r="AL428" s="151"/>
      <c r="AM428" s="151"/>
      <c r="AN428" s="151"/>
      <c r="AO428" s="151"/>
      <c r="AP428" s="151"/>
      <c r="AQ428" s="151"/>
      <c r="AR428" s="151"/>
      <c r="AS428" s="151"/>
      <c r="AT428" s="152"/>
    </row>
    <row r="429" spans="1:46" x14ac:dyDescent="0.3">
      <c r="A429" s="143"/>
      <c r="B429" s="144"/>
      <c r="C429" s="145"/>
      <c r="D429" s="146"/>
      <c r="E429" s="144"/>
      <c r="F429" s="144"/>
      <c r="G429" s="144"/>
      <c r="H429" s="144"/>
      <c r="I429" s="148"/>
      <c r="J429" s="149">
        <f t="shared" si="21"/>
        <v>0</v>
      </c>
      <c r="K429" s="150">
        <f t="shared" si="22"/>
        <v>0</v>
      </c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  <c r="AB429" s="151"/>
      <c r="AC429" s="151"/>
      <c r="AD429" s="151"/>
      <c r="AE429" s="151"/>
      <c r="AF429" s="151"/>
      <c r="AG429" s="151"/>
      <c r="AH429" s="151"/>
      <c r="AI429" s="151"/>
      <c r="AJ429" s="151"/>
      <c r="AK429" s="151"/>
      <c r="AL429" s="151"/>
      <c r="AM429" s="151"/>
      <c r="AN429" s="151"/>
      <c r="AO429" s="151"/>
      <c r="AP429" s="151"/>
      <c r="AQ429" s="151"/>
      <c r="AR429" s="151"/>
      <c r="AS429" s="151"/>
      <c r="AT429" s="152"/>
    </row>
    <row r="430" spans="1:46" x14ac:dyDescent="0.3">
      <c r="A430" s="143"/>
      <c r="B430" s="144"/>
      <c r="C430" s="145"/>
      <c r="D430" s="146"/>
      <c r="E430" s="144"/>
      <c r="F430" s="144"/>
      <c r="G430" s="144"/>
      <c r="H430" s="144"/>
      <c r="I430" s="148"/>
      <c r="J430" s="149">
        <f t="shared" si="21"/>
        <v>0</v>
      </c>
      <c r="K430" s="150">
        <f t="shared" si="22"/>
        <v>0</v>
      </c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1"/>
      <c r="AH430" s="151"/>
      <c r="AI430" s="151"/>
      <c r="AJ430" s="151"/>
      <c r="AK430" s="151"/>
      <c r="AL430" s="151"/>
      <c r="AM430" s="151"/>
      <c r="AN430" s="151"/>
      <c r="AO430" s="151"/>
      <c r="AP430" s="151"/>
      <c r="AQ430" s="151"/>
      <c r="AR430" s="151"/>
      <c r="AS430" s="151"/>
      <c r="AT430" s="152"/>
    </row>
    <row r="431" spans="1:46" x14ac:dyDescent="0.3">
      <c r="A431" s="143"/>
      <c r="B431" s="144"/>
      <c r="C431" s="145"/>
      <c r="D431" s="146"/>
      <c r="E431" s="144"/>
      <c r="F431" s="144"/>
      <c r="G431" s="144"/>
      <c r="H431" s="144"/>
      <c r="I431" s="148"/>
      <c r="J431" s="149">
        <f t="shared" si="21"/>
        <v>0</v>
      </c>
      <c r="K431" s="150">
        <f t="shared" si="22"/>
        <v>0</v>
      </c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1"/>
      <c r="AH431" s="151"/>
      <c r="AI431" s="151"/>
      <c r="AJ431" s="151"/>
      <c r="AK431" s="151"/>
      <c r="AL431" s="151"/>
      <c r="AM431" s="151"/>
      <c r="AN431" s="151"/>
      <c r="AO431" s="151"/>
      <c r="AP431" s="151"/>
      <c r="AQ431" s="151"/>
      <c r="AR431" s="151"/>
      <c r="AS431" s="151"/>
      <c r="AT431" s="152"/>
    </row>
    <row r="432" spans="1:46" x14ac:dyDescent="0.3">
      <c r="A432" s="143"/>
      <c r="B432" s="144"/>
      <c r="C432" s="145"/>
      <c r="D432" s="146"/>
      <c r="E432" s="144"/>
      <c r="F432" s="144"/>
      <c r="G432" s="144"/>
      <c r="H432" s="144"/>
      <c r="I432" s="148"/>
      <c r="J432" s="149">
        <f t="shared" si="21"/>
        <v>0</v>
      </c>
      <c r="K432" s="150">
        <f t="shared" si="22"/>
        <v>0</v>
      </c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1"/>
      <c r="AH432" s="151"/>
      <c r="AI432" s="151"/>
      <c r="AJ432" s="151"/>
      <c r="AK432" s="151"/>
      <c r="AL432" s="151"/>
      <c r="AM432" s="151"/>
      <c r="AN432" s="151"/>
      <c r="AO432" s="151"/>
      <c r="AP432" s="151"/>
      <c r="AQ432" s="151"/>
      <c r="AR432" s="151"/>
      <c r="AS432" s="151"/>
      <c r="AT432" s="152"/>
    </row>
    <row r="433" spans="1:46" x14ac:dyDescent="0.3">
      <c r="A433" s="143"/>
      <c r="B433" s="144"/>
      <c r="C433" s="145"/>
      <c r="D433" s="146"/>
      <c r="E433" s="144"/>
      <c r="F433" s="144"/>
      <c r="G433" s="144"/>
      <c r="H433" s="144"/>
      <c r="I433" s="148"/>
      <c r="J433" s="149">
        <f t="shared" si="21"/>
        <v>0</v>
      </c>
      <c r="K433" s="150">
        <f t="shared" si="22"/>
        <v>0</v>
      </c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1"/>
      <c r="AH433" s="151"/>
      <c r="AI433" s="151"/>
      <c r="AJ433" s="151"/>
      <c r="AK433" s="151"/>
      <c r="AL433" s="151"/>
      <c r="AM433" s="151"/>
      <c r="AN433" s="151"/>
      <c r="AO433" s="151"/>
      <c r="AP433" s="151"/>
      <c r="AQ433" s="151"/>
      <c r="AR433" s="151"/>
      <c r="AS433" s="151"/>
      <c r="AT433" s="152"/>
    </row>
    <row r="434" spans="1:46" x14ac:dyDescent="0.3">
      <c r="A434" s="143"/>
      <c r="B434" s="144"/>
      <c r="C434" s="145"/>
      <c r="D434" s="146"/>
      <c r="E434" s="144"/>
      <c r="F434" s="144"/>
      <c r="G434" s="144"/>
      <c r="H434" s="144"/>
      <c r="I434" s="148"/>
      <c r="J434" s="149">
        <f t="shared" si="21"/>
        <v>0</v>
      </c>
      <c r="K434" s="150">
        <f t="shared" si="22"/>
        <v>0</v>
      </c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1"/>
      <c r="AH434" s="151"/>
      <c r="AI434" s="151"/>
      <c r="AJ434" s="151"/>
      <c r="AK434" s="151"/>
      <c r="AL434" s="151"/>
      <c r="AM434" s="151"/>
      <c r="AN434" s="151"/>
      <c r="AO434" s="151"/>
      <c r="AP434" s="151"/>
      <c r="AQ434" s="151"/>
      <c r="AR434" s="151"/>
      <c r="AS434" s="151"/>
      <c r="AT434" s="152"/>
    </row>
    <row r="435" spans="1:46" x14ac:dyDescent="0.3">
      <c r="A435" s="143"/>
      <c r="B435" s="144"/>
      <c r="C435" s="145"/>
      <c r="D435" s="146"/>
      <c r="E435" s="144"/>
      <c r="F435" s="144"/>
      <c r="G435" s="144"/>
      <c r="H435" s="144"/>
      <c r="I435" s="148"/>
      <c r="J435" s="149">
        <f t="shared" si="21"/>
        <v>0</v>
      </c>
      <c r="K435" s="150">
        <f t="shared" si="22"/>
        <v>0</v>
      </c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1"/>
      <c r="AH435" s="151"/>
      <c r="AI435" s="151"/>
      <c r="AJ435" s="151"/>
      <c r="AK435" s="151"/>
      <c r="AL435" s="151"/>
      <c r="AM435" s="151"/>
      <c r="AN435" s="151"/>
      <c r="AO435" s="151"/>
      <c r="AP435" s="151"/>
      <c r="AQ435" s="151"/>
      <c r="AR435" s="151"/>
      <c r="AS435" s="151"/>
      <c r="AT435" s="152"/>
    </row>
    <row r="436" spans="1:46" x14ac:dyDescent="0.3">
      <c r="A436" s="143"/>
      <c r="B436" s="144"/>
      <c r="C436" s="145"/>
      <c r="D436" s="146"/>
      <c r="E436" s="144"/>
      <c r="F436" s="144"/>
      <c r="G436" s="144"/>
      <c r="H436" s="144"/>
      <c r="I436" s="148"/>
      <c r="J436" s="149">
        <f t="shared" si="21"/>
        <v>0</v>
      </c>
      <c r="K436" s="150">
        <f t="shared" si="22"/>
        <v>0</v>
      </c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1"/>
      <c r="AH436" s="151"/>
      <c r="AI436" s="151"/>
      <c r="AJ436" s="151"/>
      <c r="AK436" s="151"/>
      <c r="AL436" s="151"/>
      <c r="AM436" s="151"/>
      <c r="AN436" s="151"/>
      <c r="AO436" s="151"/>
      <c r="AP436" s="151"/>
      <c r="AQ436" s="151"/>
      <c r="AR436" s="151"/>
      <c r="AS436" s="151"/>
      <c r="AT436" s="152"/>
    </row>
    <row r="437" spans="1:46" x14ac:dyDescent="0.3">
      <c r="A437" s="143"/>
      <c r="B437" s="144"/>
      <c r="C437" s="145"/>
      <c r="D437" s="146"/>
      <c r="E437" s="144"/>
      <c r="F437" s="144"/>
      <c r="G437" s="144"/>
      <c r="H437" s="144"/>
      <c r="I437" s="148"/>
      <c r="J437" s="149">
        <f t="shared" si="21"/>
        <v>0</v>
      </c>
      <c r="K437" s="150">
        <f t="shared" si="22"/>
        <v>0</v>
      </c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1"/>
      <c r="AH437" s="151"/>
      <c r="AI437" s="151"/>
      <c r="AJ437" s="151"/>
      <c r="AK437" s="151"/>
      <c r="AL437" s="151"/>
      <c r="AM437" s="151"/>
      <c r="AN437" s="151"/>
      <c r="AO437" s="151"/>
      <c r="AP437" s="151"/>
      <c r="AQ437" s="151"/>
      <c r="AR437" s="151"/>
      <c r="AS437" s="151"/>
      <c r="AT437" s="152"/>
    </row>
    <row r="438" spans="1:46" x14ac:dyDescent="0.3">
      <c r="A438" s="143"/>
      <c r="B438" s="144"/>
      <c r="C438" s="145"/>
      <c r="D438" s="146"/>
      <c r="E438" s="144"/>
      <c r="F438" s="144"/>
      <c r="G438" s="144"/>
      <c r="H438" s="144"/>
      <c r="I438" s="148"/>
      <c r="J438" s="149">
        <f t="shared" si="21"/>
        <v>0</v>
      </c>
      <c r="K438" s="150">
        <f t="shared" si="22"/>
        <v>0</v>
      </c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  <c r="AA438" s="151"/>
      <c r="AB438" s="151"/>
      <c r="AC438" s="151"/>
      <c r="AD438" s="151"/>
      <c r="AE438" s="151"/>
      <c r="AF438" s="151"/>
      <c r="AG438" s="151"/>
      <c r="AH438" s="151"/>
      <c r="AI438" s="151"/>
      <c r="AJ438" s="151"/>
      <c r="AK438" s="151"/>
      <c r="AL438" s="151"/>
      <c r="AM438" s="151"/>
      <c r="AN438" s="151"/>
      <c r="AO438" s="151"/>
      <c r="AP438" s="151"/>
      <c r="AQ438" s="151"/>
      <c r="AR438" s="151"/>
      <c r="AS438" s="151"/>
      <c r="AT438" s="152"/>
    </row>
    <row r="439" spans="1:46" x14ac:dyDescent="0.3">
      <c r="A439" s="143"/>
      <c r="B439" s="144"/>
      <c r="C439" s="145"/>
      <c r="D439" s="146"/>
      <c r="E439" s="144"/>
      <c r="F439" s="144"/>
      <c r="G439" s="144"/>
      <c r="H439" s="144"/>
      <c r="I439" s="148"/>
      <c r="J439" s="149">
        <f t="shared" si="21"/>
        <v>0</v>
      </c>
      <c r="K439" s="150">
        <f t="shared" si="22"/>
        <v>0</v>
      </c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  <c r="AB439" s="151"/>
      <c r="AC439" s="151"/>
      <c r="AD439" s="151"/>
      <c r="AE439" s="151"/>
      <c r="AF439" s="151"/>
      <c r="AG439" s="151"/>
      <c r="AH439" s="151"/>
      <c r="AI439" s="151"/>
      <c r="AJ439" s="151"/>
      <c r="AK439" s="151"/>
      <c r="AL439" s="151"/>
      <c r="AM439" s="151"/>
      <c r="AN439" s="151"/>
      <c r="AO439" s="151"/>
      <c r="AP439" s="151"/>
      <c r="AQ439" s="151"/>
      <c r="AR439" s="151"/>
      <c r="AS439" s="151"/>
      <c r="AT439" s="152"/>
    </row>
    <row r="440" spans="1:46" x14ac:dyDescent="0.3">
      <c r="A440" s="143"/>
      <c r="B440" s="144"/>
      <c r="C440" s="145"/>
      <c r="D440" s="146"/>
      <c r="E440" s="144"/>
      <c r="F440" s="144"/>
      <c r="G440" s="144"/>
      <c r="H440" s="144"/>
      <c r="I440" s="148"/>
      <c r="J440" s="149">
        <f t="shared" si="21"/>
        <v>0</v>
      </c>
      <c r="K440" s="150">
        <f t="shared" si="22"/>
        <v>0</v>
      </c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  <c r="AA440" s="151"/>
      <c r="AB440" s="151"/>
      <c r="AC440" s="151"/>
      <c r="AD440" s="151"/>
      <c r="AE440" s="151"/>
      <c r="AF440" s="151"/>
      <c r="AG440" s="151"/>
      <c r="AH440" s="151"/>
      <c r="AI440" s="151"/>
      <c r="AJ440" s="151"/>
      <c r="AK440" s="151"/>
      <c r="AL440" s="151"/>
      <c r="AM440" s="151"/>
      <c r="AN440" s="151"/>
      <c r="AO440" s="151"/>
      <c r="AP440" s="151"/>
      <c r="AQ440" s="151"/>
      <c r="AR440" s="151"/>
      <c r="AS440" s="151"/>
      <c r="AT440" s="152"/>
    </row>
    <row r="441" spans="1:46" x14ac:dyDescent="0.3">
      <c r="A441" s="143"/>
      <c r="B441" s="144"/>
      <c r="C441" s="145"/>
      <c r="D441" s="146"/>
      <c r="E441" s="144"/>
      <c r="F441" s="144"/>
      <c r="G441" s="144"/>
      <c r="H441" s="144"/>
      <c r="I441" s="148"/>
      <c r="J441" s="149">
        <f t="shared" si="21"/>
        <v>0</v>
      </c>
      <c r="K441" s="150">
        <f t="shared" si="22"/>
        <v>0</v>
      </c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  <c r="AA441" s="151"/>
      <c r="AB441" s="151"/>
      <c r="AC441" s="151"/>
      <c r="AD441" s="151"/>
      <c r="AE441" s="151"/>
      <c r="AF441" s="151"/>
      <c r="AG441" s="151"/>
      <c r="AH441" s="151"/>
      <c r="AI441" s="151"/>
      <c r="AJ441" s="151"/>
      <c r="AK441" s="151"/>
      <c r="AL441" s="151"/>
      <c r="AM441" s="151"/>
      <c r="AN441" s="151"/>
      <c r="AO441" s="151"/>
      <c r="AP441" s="151"/>
      <c r="AQ441" s="151"/>
      <c r="AR441" s="151"/>
      <c r="AS441" s="151"/>
      <c r="AT441" s="152"/>
    </row>
    <row r="442" spans="1:46" x14ac:dyDescent="0.3">
      <c r="A442" s="143"/>
      <c r="B442" s="144"/>
      <c r="C442" s="145"/>
      <c r="D442" s="146"/>
      <c r="E442" s="144"/>
      <c r="F442" s="144"/>
      <c r="G442" s="144"/>
      <c r="H442" s="144"/>
      <c r="I442" s="148"/>
      <c r="J442" s="149">
        <f t="shared" si="21"/>
        <v>0</v>
      </c>
      <c r="K442" s="150">
        <f t="shared" si="22"/>
        <v>0</v>
      </c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  <c r="AA442" s="151"/>
      <c r="AB442" s="151"/>
      <c r="AC442" s="151"/>
      <c r="AD442" s="151"/>
      <c r="AE442" s="151"/>
      <c r="AF442" s="151"/>
      <c r="AG442" s="151"/>
      <c r="AH442" s="151"/>
      <c r="AI442" s="151"/>
      <c r="AJ442" s="151"/>
      <c r="AK442" s="151"/>
      <c r="AL442" s="151"/>
      <c r="AM442" s="151"/>
      <c r="AN442" s="151"/>
      <c r="AO442" s="151"/>
      <c r="AP442" s="151"/>
      <c r="AQ442" s="151"/>
      <c r="AR442" s="151"/>
      <c r="AS442" s="151"/>
      <c r="AT442" s="152"/>
    </row>
    <row r="443" spans="1:46" x14ac:dyDescent="0.3">
      <c r="A443" s="143"/>
      <c r="B443" s="144"/>
      <c r="C443" s="145"/>
      <c r="D443" s="146"/>
      <c r="E443" s="144"/>
      <c r="F443" s="144"/>
      <c r="G443" s="144"/>
      <c r="H443" s="144"/>
      <c r="I443" s="148"/>
      <c r="J443" s="149">
        <f t="shared" si="21"/>
        <v>0</v>
      </c>
      <c r="K443" s="150">
        <f t="shared" si="22"/>
        <v>0</v>
      </c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  <c r="AA443" s="151"/>
      <c r="AB443" s="151"/>
      <c r="AC443" s="151"/>
      <c r="AD443" s="151"/>
      <c r="AE443" s="151"/>
      <c r="AF443" s="151"/>
      <c r="AG443" s="151"/>
      <c r="AH443" s="151"/>
      <c r="AI443" s="151"/>
      <c r="AJ443" s="151"/>
      <c r="AK443" s="151"/>
      <c r="AL443" s="151"/>
      <c r="AM443" s="151"/>
      <c r="AN443" s="151"/>
      <c r="AO443" s="151"/>
      <c r="AP443" s="151"/>
      <c r="AQ443" s="151"/>
      <c r="AR443" s="151"/>
      <c r="AS443" s="151"/>
      <c r="AT443" s="152"/>
    </row>
    <row r="444" spans="1:46" x14ac:dyDescent="0.3">
      <c r="A444" s="143"/>
      <c r="B444" s="144"/>
      <c r="C444" s="145"/>
      <c r="D444" s="146"/>
      <c r="E444" s="144"/>
      <c r="F444" s="144"/>
      <c r="G444" s="144"/>
      <c r="H444" s="144"/>
      <c r="I444" s="148"/>
      <c r="J444" s="149">
        <f t="shared" si="21"/>
        <v>0</v>
      </c>
      <c r="K444" s="150">
        <f t="shared" si="22"/>
        <v>0</v>
      </c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  <c r="AA444" s="151"/>
      <c r="AB444" s="151"/>
      <c r="AC444" s="151"/>
      <c r="AD444" s="151"/>
      <c r="AE444" s="151"/>
      <c r="AF444" s="151"/>
      <c r="AG444" s="151"/>
      <c r="AH444" s="151"/>
      <c r="AI444" s="151"/>
      <c r="AJ444" s="151"/>
      <c r="AK444" s="151"/>
      <c r="AL444" s="151"/>
      <c r="AM444" s="151"/>
      <c r="AN444" s="151"/>
      <c r="AO444" s="151"/>
      <c r="AP444" s="151"/>
      <c r="AQ444" s="151"/>
      <c r="AR444" s="151"/>
      <c r="AS444" s="151"/>
      <c r="AT444" s="152"/>
    </row>
    <row r="445" spans="1:46" x14ac:dyDescent="0.3">
      <c r="A445" s="143"/>
      <c r="B445" s="144"/>
      <c r="C445" s="145"/>
      <c r="D445" s="146"/>
      <c r="E445" s="144"/>
      <c r="F445" s="144"/>
      <c r="G445" s="144"/>
      <c r="H445" s="144"/>
      <c r="I445" s="148"/>
      <c r="J445" s="149">
        <f t="shared" si="21"/>
        <v>0</v>
      </c>
      <c r="K445" s="150">
        <f t="shared" si="22"/>
        <v>0</v>
      </c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  <c r="AA445" s="151"/>
      <c r="AB445" s="151"/>
      <c r="AC445" s="151"/>
      <c r="AD445" s="151"/>
      <c r="AE445" s="151"/>
      <c r="AF445" s="151"/>
      <c r="AG445" s="151"/>
      <c r="AH445" s="151"/>
      <c r="AI445" s="151"/>
      <c r="AJ445" s="151"/>
      <c r="AK445" s="151"/>
      <c r="AL445" s="151"/>
      <c r="AM445" s="151"/>
      <c r="AN445" s="151"/>
      <c r="AO445" s="151"/>
      <c r="AP445" s="151"/>
      <c r="AQ445" s="151"/>
      <c r="AR445" s="151"/>
      <c r="AS445" s="151"/>
      <c r="AT445" s="152"/>
    </row>
    <row r="446" spans="1:46" x14ac:dyDescent="0.3">
      <c r="A446" s="143"/>
      <c r="B446" s="144"/>
      <c r="C446" s="145"/>
      <c r="D446" s="146"/>
      <c r="E446" s="144"/>
      <c r="F446" s="144"/>
      <c r="G446" s="144"/>
      <c r="H446" s="144"/>
      <c r="I446" s="148"/>
      <c r="J446" s="149">
        <f t="shared" si="21"/>
        <v>0</v>
      </c>
      <c r="K446" s="150">
        <f t="shared" si="22"/>
        <v>0</v>
      </c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  <c r="AB446" s="151"/>
      <c r="AC446" s="151"/>
      <c r="AD446" s="151"/>
      <c r="AE446" s="151"/>
      <c r="AF446" s="151"/>
      <c r="AG446" s="151"/>
      <c r="AH446" s="151"/>
      <c r="AI446" s="151"/>
      <c r="AJ446" s="151"/>
      <c r="AK446" s="151"/>
      <c r="AL446" s="151"/>
      <c r="AM446" s="151"/>
      <c r="AN446" s="151"/>
      <c r="AO446" s="151"/>
      <c r="AP446" s="151"/>
      <c r="AQ446" s="151"/>
      <c r="AR446" s="151"/>
      <c r="AS446" s="151"/>
      <c r="AT446" s="152"/>
    </row>
    <row r="447" spans="1:46" x14ac:dyDescent="0.3">
      <c r="A447" s="143"/>
      <c r="B447" s="144"/>
      <c r="C447" s="145"/>
      <c r="D447" s="146"/>
      <c r="E447" s="144"/>
      <c r="F447" s="144"/>
      <c r="G447" s="144"/>
      <c r="H447" s="144"/>
      <c r="I447" s="148"/>
      <c r="J447" s="149">
        <f t="shared" si="21"/>
        <v>0</v>
      </c>
      <c r="K447" s="150">
        <f t="shared" si="22"/>
        <v>0</v>
      </c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  <c r="AA447" s="151"/>
      <c r="AB447" s="151"/>
      <c r="AC447" s="151"/>
      <c r="AD447" s="151"/>
      <c r="AE447" s="151"/>
      <c r="AF447" s="151"/>
      <c r="AG447" s="151"/>
      <c r="AH447" s="151"/>
      <c r="AI447" s="151"/>
      <c r="AJ447" s="151"/>
      <c r="AK447" s="151"/>
      <c r="AL447" s="151"/>
      <c r="AM447" s="151"/>
      <c r="AN447" s="151"/>
      <c r="AO447" s="151"/>
      <c r="AP447" s="151"/>
      <c r="AQ447" s="151"/>
      <c r="AR447" s="151"/>
      <c r="AS447" s="151"/>
      <c r="AT447" s="152"/>
    </row>
    <row r="448" spans="1:46" x14ac:dyDescent="0.3">
      <c r="A448" s="143"/>
      <c r="B448" s="144"/>
      <c r="C448" s="145"/>
      <c r="D448" s="146"/>
      <c r="E448" s="144"/>
      <c r="F448" s="144"/>
      <c r="G448" s="144"/>
      <c r="H448" s="144"/>
      <c r="I448" s="148"/>
      <c r="J448" s="149">
        <f t="shared" si="21"/>
        <v>0</v>
      </c>
      <c r="K448" s="150">
        <f t="shared" si="22"/>
        <v>0</v>
      </c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  <c r="AA448" s="151"/>
      <c r="AB448" s="151"/>
      <c r="AC448" s="151"/>
      <c r="AD448" s="151"/>
      <c r="AE448" s="151"/>
      <c r="AF448" s="151"/>
      <c r="AG448" s="151"/>
      <c r="AH448" s="151"/>
      <c r="AI448" s="151"/>
      <c r="AJ448" s="151"/>
      <c r="AK448" s="151"/>
      <c r="AL448" s="151"/>
      <c r="AM448" s="151"/>
      <c r="AN448" s="151"/>
      <c r="AO448" s="151"/>
      <c r="AP448" s="151"/>
      <c r="AQ448" s="151"/>
      <c r="AR448" s="151"/>
      <c r="AS448" s="151"/>
      <c r="AT448" s="152"/>
    </row>
    <row r="449" spans="1:46" x14ac:dyDescent="0.3">
      <c r="A449" s="143"/>
      <c r="B449" s="144"/>
      <c r="C449" s="145"/>
      <c r="D449" s="146"/>
      <c r="E449" s="144"/>
      <c r="F449" s="144"/>
      <c r="G449" s="144"/>
      <c r="H449" s="144"/>
      <c r="I449" s="148"/>
      <c r="J449" s="149">
        <f t="shared" si="21"/>
        <v>0</v>
      </c>
      <c r="K449" s="150">
        <f t="shared" si="22"/>
        <v>0</v>
      </c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  <c r="AB449" s="151"/>
      <c r="AC449" s="151"/>
      <c r="AD449" s="151"/>
      <c r="AE449" s="151"/>
      <c r="AF449" s="151"/>
      <c r="AG449" s="151"/>
      <c r="AH449" s="151"/>
      <c r="AI449" s="151"/>
      <c r="AJ449" s="151"/>
      <c r="AK449" s="151"/>
      <c r="AL449" s="151"/>
      <c r="AM449" s="151"/>
      <c r="AN449" s="151"/>
      <c r="AO449" s="151"/>
      <c r="AP449" s="151"/>
      <c r="AQ449" s="151"/>
      <c r="AR449" s="151"/>
      <c r="AS449" s="151"/>
      <c r="AT449" s="152"/>
    </row>
    <row r="450" spans="1:46" x14ac:dyDescent="0.3">
      <c r="A450" s="143"/>
      <c r="B450" s="144"/>
      <c r="C450" s="145"/>
      <c r="D450" s="146"/>
      <c r="E450" s="144"/>
      <c r="F450" s="144"/>
      <c r="G450" s="144"/>
      <c r="H450" s="144"/>
      <c r="I450" s="148"/>
      <c r="J450" s="149">
        <f t="shared" si="21"/>
        <v>0</v>
      </c>
      <c r="K450" s="150">
        <f t="shared" si="22"/>
        <v>0</v>
      </c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  <c r="AB450" s="151"/>
      <c r="AC450" s="151"/>
      <c r="AD450" s="151"/>
      <c r="AE450" s="151"/>
      <c r="AF450" s="151"/>
      <c r="AG450" s="151"/>
      <c r="AH450" s="151"/>
      <c r="AI450" s="151"/>
      <c r="AJ450" s="151"/>
      <c r="AK450" s="151"/>
      <c r="AL450" s="151"/>
      <c r="AM450" s="151"/>
      <c r="AN450" s="151"/>
      <c r="AO450" s="151"/>
      <c r="AP450" s="151"/>
      <c r="AQ450" s="151"/>
      <c r="AR450" s="151"/>
      <c r="AS450" s="151"/>
      <c r="AT450" s="152"/>
    </row>
    <row r="451" spans="1:46" x14ac:dyDescent="0.3">
      <c r="A451" s="143"/>
      <c r="B451" s="144"/>
      <c r="C451" s="145"/>
      <c r="D451" s="146"/>
      <c r="E451" s="144"/>
      <c r="F451" s="144"/>
      <c r="G451" s="144"/>
      <c r="H451" s="144"/>
      <c r="I451" s="148"/>
      <c r="J451" s="149">
        <f t="shared" si="21"/>
        <v>0</v>
      </c>
      <c r="K451" s="150">
        <f t="shared" si="22"/>
        <v>0</v>
      </c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  <c r="AB451" s="151"/>
      <c r="AC451" s="151"/>
      <c r="AD451" s="151"/>
      <c r="AE451" s="151"/>
      <c r="AF451" s="151"/>
      <c r="AG451" s="151"/>
      <c r="AH451" s="151"/>
      <c r="AI451" s="151"/>
      <c r="AJ451" s="151"/>
      <c r="AK451" s="151"/>
      <c r="AL451" s="151"/>
      <c r="AM451" s="151"/>
      <c r="AN451" s="151"/>
      <c r="AO451" s="151"/>
      <c r="AP451" s="151"/>
      <c r="AQ451" s="151"/>
      <c r="AR451" s="151"/>
      <c r="AS451" s="151"/>
      <c r="AT451" s="152"/>
    </row>
    <row r="452" spans="1:46" x14ac:dyDescent="0.3">
      <c r="A452" s="143"/>
      <c r="B452" s="144"/>
      <c r="C452" s="145"/>
      <c r="D452" s="146"/>
      <c r="E452" s="144"/>
      <c r="F452" s="144"/>
      <c r="G452" s="144"/>
      <c r="H452" s="144"/>
      <c r="I452" s="148"/>
      <c r="J452" s="149">
        <f t="shared" si="21"/>
        <v>0</v>
      </c>
      <c r="K452" s="150">
        <f t="shared" si="22"/>
        <v>0</v>
      </c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  <c r="AA452" s="151"/>
      <c r="AB452" s="151"/>
      <c r="AC452" s="151"/>
      <c r="AD452" s="151"/>
      <c r="AE452" s="151"/>
      <c r="AF452" s="151"/>
      <c r="AG452" s="151"/>
      <c r="AH452" s="151"/>
      <c r="AI452" s="151"/>
      <c r="AJ452" s="151"/>
      <c r="AK452" s="151"/>
      <c r="AL452" s="151"/>
      <c r="AM452" s="151"/>
      <c r="AN452" s="151"/>
      <c r="AO452" s="151"/>
      <c r="AP452" s="151"/>
      <c r="AQ452" s="151"/>
      <c r="AR452" s="151"/>
      <c r="AS452" s="151"/>
      <c r="AT452" s="152"/>
    </row>
    <row r="453" spans="1:46" x14ac:dyDescent="0.3">
      <c r="A453" s="143"/>
      <c r="B453" s="144"/>
      <c r="C453" s="145"/>
      <c r="D453" s="146"/>
      <c r="E453" s="144"/>
      <c r="F453" s="144"/>
      <c r="G453" s="144"/>
      <c r="H453" s="144"/>
      <c r="I453" s="148"/>
      <c r="J453" s="149">
        <f t="shared" si="21"/>
        <v>0</v>
      </c>
      <c r="K453" s="150">
        <f t="shared" si="22"/>
        <v>0</v>
      </c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  <c r="AA453" s="151"/>
      <c r="AB453" s="151"/>
      <c r="AC453" s="151"/>
      <c r="AD453" s="151"/>
      <c r="AE453" s="151"/>
      <c r="AF453" s="151"/>
      <c r="AG453" s="151"/>
      <c r="AH453" s="151"/>
      <c r="AI453" s="151"/>
      <c r="AJ453" s="151"/>
      <c r="AK453" s="151"/>
      <c r="AL453" s="151"/>
      <c r="AM453" s="151"/>
      <c r="AN453" s="151"/>
      <c r="AO453" s="151"/>
      <c r="AP453" s="151"/>
      <c r="AQ453" s="151"/>
      <c r="AR453" s="151"/>
      <c r="AS453" s="151"/>
      <c r="AT453" s="152"/>
    </row>
    <row r="454" spans="1:46" x14ac:dyDescent="0.3">
      <c r="A454" s="143"/>
      <c r="B454" s="144"/>
      <c r="C454" s="145"/>
      <c r="D454" s="146"/>
      <c r="E454" s="144"/>
      <c r="F454" s="144"/>
      <c r="G454" s="144"/>
      <c r="H454" s="144"/>
      <c r="I454" s="148"/>
      <c r="J454" s="149">
        <f t="shared" si="21"/>
        <v>0</v>
      </c>
      <c r="K454" s="150">
        <f t="shared" si="22"/>
        <v>0</v>
      </c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  <c r="AB454" s="151"/>
      <c r="AC454" s="151"/>
      <c r="AD454" s="151"/>
      <c r="AE454" s="151"/>
      <c r="AF454" s="151"/>
      <c r="AG454" s="151"/>
      <c r="AH454" s="151"/>
      <c r="AI454" s="151"/>
      <c r="AJ454" s="151"/>
      <c r="AK454" s="151"/>
      <c r="AL454" s="151"/>
      <c r="AM454" s="151"/>
      <c r="AN454" s="151"/>
      <c r="AO454" s="151"/>
      <c r="AP454" s="151"/>
      <c r="AQ454" s="151"/>
      <c r="AR454" s="151"/>
      <c r="AS454" s="151"/>
      <c r="AT454" s="152"/>
    </row>
    <row r="455" spans="1:46" x14ac:dyDescent="0.3">
      <c r="A455" s="143"/>
      <c r="B455" s="144"/>
      <c r="C455" s="145"/>
      <c r="D455" s="146"/>
      <c r="E455" s="144"/>
      <c r="F455" s="144"/>
      <c r="G455" s="144"/>
      <c r="H455" s="144"/>
      <c r="I455" s="148"/>
      <c r="J455" s="149">
        <f t="shared" si="21"/>
        <v>0</v>
      </c>
      <c r="K455" s="150">
        <f t="shared" si="22"/>
        <v>0</v>
      </c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  <c r="AB455" s="151"/>
      <c r="AC455" s="151"/>
      <c r="AD455" s="151"/>
      <c r="AE455" s="151"/>
      <c r="AF455" s="151"/>
      <c r="AG455" s="151"/>
      <c r="AH455" s="151"/>
      <c r="AI455" s="151"/>
      <c r="AJ455" s="151"/>
      <c r="AK455" s="151"/>
      <c r="AL455" s="151"/>
      <c r="AM455" s="151"/>
      <c r="AN455" s="151"/>
      <c r="AO455" s="151"/>
      <c r="AP455" s="151"/>
      <c r="AQ455" s="151"/>
      <c r="AR455" s="151"/>
      <c r="AS455" s="151"/>
      <c r="AT455" s="152"/>
    </row>
    <row r="456" spans="1:46" x14ac:dyDescent="0.3">
      <c r="A456" s="143"/>
      <c r="B456" s="144"/>
      <c r="C456" s="145"/>
      <c r="D456" s="146"/>
      <c r="E456" s="144"/>
      <c r="F456" s="144"/>
      <c r="G456" s="144"/>
      <c r="H456" s="144"/>
      <c r="I456" s="148"/>
      <c r="J456" s="149">
        <f t="shared" si="21"/>
        <v>0</v>
      </c>
      <c r="K456" s="150">
        <f t="shared" si="22"/>
        <v>0</v>
      </c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  <c r="AA456" s="151"/>
      <c r="AB456" s="151"/>
      <c r="AC456" s="151"/>
      <c r="AD456" s="151"/>
      <c r="AE456" s="151"/>
      <c r="AF456" s="151"/>
      <c r="AG456" s="151"/>
      <c r="AH456" s="151"/>
      <c r="AI456" s="151"/>
      <c r="AJ456" s="151"/>
      <c r="AK456" s="151"/>
      <c r="AL456" s="151"/>
      <c r="AM456" s="151"/>
      <c r="AN456" s="151"/>
      <c r="AO456" s="151"/>
      <c r="AP456" s="151"/>
      <c r="AQ456" s="151"/>
      <c r="AR456" s="151"/>
      <c r="AS456" s="151"/>
      <c r="AT456" s="152"/>
    </row>
    <row r="457" spans="1:46" x14ac:dyDescent="0.3">
      <c r="A457" s="143"/>
      <c r="B457" s="144"/>
      <c r="C457" s="145"/>
      <c r="D457" s="146"/>
      <c r="E457" s="144"/>
      <c r="F457" s="144"/>
      <c r="G457" s="144"/>
      <c r="H457" s="144"/>
      <c r="I457" s="148"/>
      <c r="J457" s="149">
        <f t="shared" si="21"/>
        <v>0</v>
      </c>
      <c r="K457" s="150">
        <f t="shared" si="22"/>
        <v>0</v>
      </c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  <c r="AA457" s="151"/>
      <c r="AB457" s="151"/>
      <c r="AC457" s="151"/>
      <c r="AD457" s="151"/>
      <c r="AE457" s="151"/>
      <c r="AF457" s="151"/>
      <c r="AG457" s="151"/>
      <c r="AH457" s="151"/>
      <c r="AI457" s="151"/>
      <c r="AJ457" s="151"/>
      <c r="AK457" s="151"/>
      <c r="AL457" s="151"/>
      <c r="AM457" s="151"/>
      <c r="AN457" s="151"/>
      <c r="AO457" s="151"/>
      <c r="AP457" s="151"/>
      <c r="AQ457" s="151"/>
      <c r="AR457" s="151"/>
      <c r="AS457" s="151"/>
      <c r="AT457" s="152"/>
    </row>
    <row r="458" spans="1:46" x14ac:dyDescent="0.3">
      <c r="A458" s="143"/>
      <c r="B458" s="144"/>
      <c r="C458" s="145"/>
      <c r="D458" s="146"/>
      <c r="E458" s="144"/>
      <c r="F458" s="144"/>
      <c r="G458" s="144"/>
      <c r="H458" s="144"/>
      <c r="I458" s="148"/>
      <c r="J458" s="149">
        <f t="shared" si="21"/>
        <v>0</v>
      </c>
      <c r="K458" s="150">
        <f t="shared" si="22"/>
        <v>0</v>
      </c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  <c r="AA458" s="151"/>
      <c r="AB458" s="151"/>
      <c r="AC458" s="151"/>
      <c r="AD458" s="151"/>
      <c r="AE458" s="151"/>
      <c r="AF458" s="151"/>
      <c r="AG458" s="151"/>
      <c r="AH458" s="151"/>
      <c r="AI458" s="151"/>
      <c r="AJ458" s="151"/>
      <c r="AK458" s="151"/>
      <c r="AL458" s="151"/>
      <c r="AM458" s="151"/>
      <c r="AN458" s="151"/>
      <c r="AO458" s="151"/>
      <c r="AP458" s="151"/>
      <c r="AQ458" s="151"/>
      <c r="AR458" s="151"/>
      <c r="AS458" s="151"/>
      <c r="AT458" s="152"/>
    </row>
    <row r="459" spans="1:46" x14ac:dyDescent="0.3">
      <c r="A459" s="143"/>
      <c r="B459" s="144"/>
      <c r="C459" s="145"/>
      <c r="D459" s="146"/>
      <c r="E459" s="144"/>
      <c r="F459" s="144"/>
      <c r="G459" s="144"/>
      <c r="H459" s="144"/>
      <c r="I459" s="148"/>
      <c r="J459" s="149">
        <f t="shared" si="21"/>
        <v>0</v>
      </c>
      <c r="K459" s="150">
        <f t="shared" si="22"/>
        <v>0</v>
      </c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  <c r="AA459" s="151"/>
      <c r="AB459" s="151"/>
      <c r="AC459" s="151"/>
      <c r="AD459" s="151"/>
      <c r="AE459" s="151"/>
      <c r="AF459" s="151"/>
      <c r="AG459" s="151"/>
      <c r="AH459" s="151"/>
      <c r="AI459" s="151"/>
      <c r="AJ459" s="151"/>
      <c r="AK459" s="151"/>
      <c r="AL459" s="151"/>
      <c r="AM459" s="151"/>
      <c r="AN459" s="151"/>
      <c r="AO459" s="151"/>
      <c r="AP459" s="151"/>
      <c r="AQ459" s="151"/>
      <c r="AR459" s="151"/>
      <c r="AS459" s="151"/>
      <c r="AT459" s="152"/>
    </row>
    <row r="460" spans="1:46" x14ac:dyDescent="0.3">
      <c r="A460" s="143"/>
      <c r="B460" s="144"/>
      <c r="C460" s="145"/>
      <c r="D460" s="146"/>
      <c r="E460" s="144"/>
      <c r="F460" s="144"/>
      <c r="G460" s="144"/>
      <c r="H460" s="144"/>
      <c r="I460" s="148"/>
      <c r="J460" s="149">
        <f t="shared" si="21"/>
        <v>0</v>
      </c>
      <c r="K460" s="150">
        <f t="shared" si="22"/>
        <v>0</v>
      </c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  <c r="AB460" s="151"/>
      <c r="AC460" s="151"/>
      <c r="AD460" s="151"/>
      <c r="AE460" s="151"/>
      <c r="AF460" s="151"/>
      <c r="AG460" s="151"/>
      <c r="AH460" s="151"/>
      <c r="AI460" s="151"/>
      <c r="AJ460" s="151"/>
      <c r="AK460" s="151"/>
      <c r="AL460" s="151"/>
      <c r="AM460" s="151"/>
      <c r="AN460" s="151"/>
      <c r="AO460" s="151"/>
      <c r="AP460" s="151"/>
      <c r="AQ460" s="151"/>
      <c r="AR460" s="151"/>
      <c r="AS460" s="151"/>
      <c r="AT460" s="152"/>
    </row>
    <row r="461" spans="1:46" x14ac:dyDescent="0.3">
      <c r="A461" s="143"/>
      <c r="B461" s="144"/>
      <c r="C461" s="145"/>
      <c r="D461" s="146"/>
      <c r="E461" s="144"/>
      <c r="F461" s="144"/>
      <c r="G461" s="144"/>
      <c r="H461" s="144"/>
      <c r="I461" s="148"/>
      <c r="J461" s="149">
        <f t="shared" si="21"/>
        <v>0</v>
      </c>
      <c r="K461" s="150">
        <f t="shared" si="22"/>
        <v>0</v>
      </c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  <c r="AA461" s="151"/>
      <c r="AB461" s="151"/>
      <c r="AC461" s="151"/>
      <c r="AD461" s="151"/>
      <c r="AE461" s="151"/>
      <c r="AF461" s="151"/>
      <c r="AG461" s="151"/>
      <c r="AH461" s="151"/>
      <c r="AI461" s="151"/>
      <c r="AJ461" s="151"/>
      <c r="AK461" s="151"/>
      <c r="AL461" s="151"/>
      <c r="AM461" s="151"/>
      <c r="AN461" s="151"/>
      <c r="AO461" s="151"/>
      <c r="AP461" s="151"/>
      <c r="AQ461" s="151"/>
      <c r="AR461" s="151"/>
      <c r="AS461" s="151"/>
      <c r="AT461" s="152"/>
    </row>
    <row r="462" spans="1:46" x14ac:dyDescent="0.3">
      <c r="A462" s="143"/>
      <c r="B462" s="144"/>
      <c r="C462" s="145"/>
      <c r="D462" s="146"/>
      <c r="E462" s="144"/>
      <c r="F462" s="144"/>
      <c r="G462" s="144"/>
      <c r="H462" s="144"/>
      <c r="I462" s="148"/>
      <c r="J462" s="149">
        <f t="shared" si="21"/>
        <v>0</v>
      </c>
      <c r="K462" s="150">
        <f t="shared" si="22"/>
        <v>0</v>
      </c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  <c r="AB462" s="151"/>
      <c r="AC462" s="151"/>
      <c r="AD462" s="151"/>
      <c r="AE462" s="151"/>
      <c r="AF462" s="151"/>
      <c r="AG462" s="151"/>
      <c r="AH462" s="151"/>
      <c r="AI462" s="151"/>
      <c r="AJ462" s="151"/>
      <c r="AK462" s="151"/>
      <c r="AL462" s="151"/>
      <c r="AM462" s="151"/>
      <c r="AN462" s="151"/>
      <c r="AO462" s="151"/>
      <c r="AP462" s="151"/>
      <c r="AQ462" s="151"/>
      <c r="AR462" s="151"/>
      <c r="AS462" s="151"/>
      <c r="AT462" s="152"/>
    </row>
    <row r="463" spans="1:46" x14ac:dyDescent="0.3">
      <c r="A463" s="143"/>
      <c r="B463" s="144"/>
      <c r="C463" s="145"/>
      <c r="D463" s="146"/>
      <c r="E463" s="144"/>
      <c r="F463" s="144"/>
      <c r="G463" s="144"/>
      <c r="H463" s="144"/>
      <c r="I463" s="148"/>
      <c r="J463" s="149">
        <f t="shared" si="21"/>
        <v>0</v>
      </c>
      <c r="K463" s="150">
        <f t="shared" si="22"/>
        <v>0</v>
      </c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  <c r="AB463" s="151"/>
      <c r="AC463" s="151"/>
      <c r="AD463" s="151"/>
      <c r="AE463" s="151"/>
      <c r="AF463" s="151"/>
      <c r="AG463" s="151"/>
      <c r="AH463" s="151"/>
      <c r="AI463" s="151"/>
      <c r="AJ463" s="151"/>
      <c r="AK463" s="151"/>
      <c r="AL463" s="151"/>
      <c r="AM463" s="151"/>
      <c r="AN463" s="151"/>
      <c r="AO463" s="151"/>
      <c r="AP463" s="151"/>
      <c r="AQ463" s="151"/>
      <c r="AR463" s="151"/>
      <c r="AS463" s="151"/>
      <c r="AT463" s="152"/>
    </row>
    <row r="464" spans="1:46" x14ac:dyDescent="0.3">
      <c r="A464" s="143"/>
      <c r="B464" s="144"/>
      <c r="C464" s="145"/>
      <c r="D464" s="146"/>
      <c r="E464" s="144"/>
      <c r="F464" s="144"/>
      <c r="G464" s="144"/>
      <c r="H464" s="144"/>
      <c r="I464" s="148"/>
      <c r="J464" s="149">
        <f t="shared" ref="J464:J484" si="23">I464*K464</f>
        <v>0</v>
      </c>
      <c r="K464" s="150">
        <f t="shared" ref="K464:K484" si="24">SUM(L464:AT464)</f>
        <v>0</v>
      </c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  <c r="AA464" s="151"/>
      <c r="AB464" s="151"/>
      <c r="AC464" s="151"/>
      <c r="AD464" s="151"/>
      <c r="AE464" s="151"/>
      <c r="AF464" s="151"/>
      <c r="AG464" s="151"/>
      <c r="AH464" s="151"/>
      <c r="AI464" s="151"/>
      <c r="AJ464" s="151"/>
      <c r="AK464" s="151"/>
      <c r="AL464" s="151"/>
      <c r="AM464" s="151"/>
      <c r="AN464" s="151"/>
      <c r="AO464" s="151"/>
      <c r="AP464" s="151"/>
      <c r="AQ464" s="151"/>
      <c r="AR464" s="151"/>
      <c r="AS464" s="151"/>
      <c r="AT464" s="152"/>
    </row>
    <row r="465" spans="1:46" x14ac:dyDescent="0.3">
      <c r="A465" s="143"/>
      <c r="B465" s="144"/>
      <c r="C465" s="145"/>
      <c r="D465" s="146"/>
      <c r="E465" s="144"/>
      <c r="F465" s="144"/>
      <c r="G465" s="144"/>
      <c r="H465" s="144"/>
      <c r="I465" s="148"/>
      <c r="J465" s="149">
        <f t="shared" si="23"/>
        <v>0</v>
      </c>
      <c r="K465" s="150">
        <f t="shared" si="24"/>
        <v>0</v>
      </c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  <c r="AA465" s="151"/>
      <c r="AB465" s="151"/>
      <c r="AC465" s="151"/>
      <c r="AD465" s="151"/>
      <c r="AE465" s="151"/>
      <c r="AF465" s="151"/>
      <c r="AG465" s="151"/>
      <c r="AH465" s="151"/>
      <c r="AI465" s="151"/>
      <c r="AJ465" s="151"/>
      <c r="AK465" s="151"/>
      <c r="AL465" s="151"/>
      <c r="AM465" s="151"/>
      <c r="AN465" s="151"/>
      <c r="AO465" s="151"/>
      <c r="AP465" s="151"/>
      <c r="AQ465" s="151"/>
      <c r="AR465" s="151"/>
      <c r="AS465" s="151"/>
      <c r="AT465" s="152"/>
    </row>
    <row r="466" spans="1:46" x14ac:dyDescent="0.3">
      <c r="A466" s="143"/>
      <c r="B466" s="144"/>
      <c r="C466" s="145"/>
      <c r="D466" s="146"/>
      <c r="E466" s="144"/>
      <c r="F466" s="144"/>
      <c r="G466" s="144"/>
      <c r="H466" s="144"/>
      <c r="I466" s="148"/>
      <c r="J466" s="149">
        <f t="shared" si="23"/>
        <v>0</v>
      </c>
      <c r="K466" s="150">
        <f t="shared" si="24"/>
        <v>0</v>
      </c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  <c r="AA466" s="151"/>
      <c r="AB466" s="151"/>
      <c r="AC466" s="151"/>
      <c r="AD466" s="151"/>
      <c r="AE466" s="151"/>
      <c r="AF466" s="151"/>
      <c r="AG466" s="151"/>
      <c r="AH466" s="151"/>
      <c r="AI466" s="151"/>
      <c r="AJ466" s="151"/>
      <c r="AK466" s="151"/>
      <c r="AL466" s="151"/>
      <c r="AM466" s="151"/>
      <c r="AN466" s="151"/>
      <c r="AO466" s="151"/>
      <c r="AP466" s="151"/>
      <c r="AQ466" s="151"/>
      <c r="AR466" s="151"/>
      <c r="AS466" s="151"/>
      <c r="AT466" s="152"/>
    </row>
    <row r="467" spans="1:46" x14ac:dyDescent="0.3">
      <c r="A467" s="143"/>
      <c r="B467" s="144"/>
      <c r="C467" s="145"/>
      <c r="D467" s="146"/>
      <c r="E467" s="144"/>
      <c r="F467" s="144"/>
      <c r="G467" s="144"/>
      <c r="H467" s="144"/>
      <c r="I467" s="148"/>
      <c r="J467" s="149">
        <f t="shared" si="23"/>
        <v>0</v>
      </c>
      <c r="K467" s="150">
        <f t="shared" si="24"/>
        <v>0</v>
      </c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  <c r="AA467" s="151"/>
      <c r="AB467" s="151"/>
      <c r="AC467" s="151"/>
      <c r="AD467" s="151"/>
      <c r="AE467" s="151"/>
      <c r="AF467" s="151"/>
      <c r="AG467" s="151"/>
      <c r="AH467" s="151"/>
      <c r="AI467" s="151"/>
      <c r="AJ467" s="151"/>
      <c r="AK467" s="151"/>
      <c r="AL467" s="151"/>
      <c r="AM467" s="151"/>
      <c r="AN467" s="151"/>
      <c r="AO467" s="151"/>
      <c r="AP467" s="151"/>
      <c r="AQ467" s="151"/>
      <c r="AR467" s="151"/>
      <c r="AS467" s="151"/>
      <c r="AT467" s="152"/>
    </row>
    <row r="468" spans="1:46" x14ac:dyDescent="0.3">
      <c r="A468" s="143"/>
      <c r="B468" s="144"/>
      <c r="C468" s="145"/>
      <c r="D468" s="146"/>
      <c r="E468" s="144"/>
      <c r="F468" s="144"/>
      <c r="G468" s="144"/>
      <c r="H468" s="144"/>
      <c r="I468" s="148"/>
      <c r="J468" s="149">
        <f t="shared" si="23"/>
        <v>0</v>
      </c>
      <c r="K468" s="150">
        <f t="shared" si="24"/>
        <v>0</v>
      </c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  <c r="AB468" s="151"/>
      <c r="AC468" s="151"/>
      <c r="AD468" s="151"/>
      <c r="AE468" s="151"/>
      <c r="AF468" s="151"/>
      <c r="AG468" s="151"/>
      <c r="AH468" s="151"/>
      <c r="AI468" s="151"/>
      <c r="AJ468" s="151"/>
      <c r="AK468" s="151"/>
      <c r="AL468" s="151"/>
      <c r="AM468" s="151"/>
      <c r="AN468" s="151"/>
      <c r="AO468" s="151"/>
      <c r="AP468" s="151"/>
      <c r="AQ468" s="151"/>
      <c r="AR468" s="151"/>
      <c r="AS468" s="151"/>
      <c r="AT468" s="152"/>
    </row>
    <row r="469" spans="1:46" x14ac:dyDescent="0.3">
      <c r="A469" s="143"/>
      <c r="B469" s="144"/>
      <c r="C469" s="145"/>
      <c r="D469" s="146"/>
      <c r="E469" s="144"/>
      <c r="F469" s="144"/>
      <c r="G469" s="144"/>
      <c r="H469" s="144"/>
      <c r="I469" s="148"/>
      <c r="J469" s="149">
        <f t="shared" si="23"/>
        <v>0</v>
      </c>
      <c r="K469" s="150">
        <f t="shared" si="24"/>
        <v>0</v>
      </c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  <c r="AA469" s="151"/>
      <c r="AB469" s="151"/>
      <c r="AC469" s="151"/>
      <c r="AD469" s="151"/>
      <c r="AE469" s="151"/>
      <c r="AF469" s="151"/>
      <c r="AG469" s="151"/>
      <c r="AH469" s="151"/>
      <c r="AI469" s="151"/>
      <c r="AJ469" s="151"/>
      <c r="AK469" s="151"/>
      <c r="AL469" s="151"/>
      <c r="AM469" s="151"/>
      <c r="AN469" s="151"/>
      <c r="AO469" s="151"/>
      <c r="AP469" s="151"/>
      <c r="AQ469" s="151"/>
      <c r="AR469" s="151"/>
      <c r="AS469" s="151"/>
      <c r="AT469" s="152"/>
    </row>
    <row r="470" spans="1:46" x14ac:dyDescent="0.3">
      <c r="A470" s="143"/>
      <c r="B470" s="144"/>
      <c r="C470" s="145"/>
      <c r="D470" s="146"/>
      <c r="E470" s="144"/>
      <c r="F470" s="144"/>
      <c r="G470" s="144"/>
      <c r="H470" s="144"/>
      <c r="I470" s="148"/>
      <c r="J470" s="149">
        <f t="shared" si="23"/>
        <v>0</v>
      </c>
      <c r="K470" s="150">
        <f t="shared" si="24"/>
        <v>0</v>
      </c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  <c r="AA470" s="151"/>
      <c r="AB470" s="151"/>
      <c r="AC470" s="151"/>
      <c r="AD470" s="151"/>
      <c r="AE470" s="151"/>
      <c r="AF470" s="151"/>
      <c r="AG470" s="151"/>
      <c r="AH470" s="151"/>
      <c r="AI470" s="151"/>
      <c r="AJ470" s="151"/>
      <c r="AK470" s="151"/>
      <c r="AL470" s="151"/>
      <c r="AM470" s="151"/>
      <c r="AN470" s="151"/>
      <c r="AO470" s="151"/>
      <c r="AP470" s="151"/>
      <c r="AQ470" s="151"/>
      <c r="AR470" s="151"/>
      <c r="AS470" s="151"/>
      <c r="AT470" s="152"/>
    </row>
    <row r="471" spans="1:46" x14ac:dyDescent="0.3">
      <c r="A471" s="143"/>
      <c r="B471" s="144"/>
      <c r="C471" s="145"/>
      <c r="D471" s="146"/>
      <c r="E471" s="144"/>
      <c r="F471" s="144"/>
      <c r="G471" s="144"/>
      <c r="H471" s="144"/>
      <c r="I471" s="148"/>
      <c r="J471" s="149">
        <f t="shared" si="23"/>
        <v>0</v>
      </c>
      <c r="K471" s="150">
        <f t="shared" si="24"/>
        <v>0</v>
      </c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  <c r="AA471" s="151"/>
      <c r="AB471" s="151"/>
      <c r="AC471" s="151"/>
      <c r="AD471" s="151"/>
      <c r="AE471" s="151"/>
      <c r="AF471" s="151"/>
      <c r="AG471" s="151"/>
      <c r="AH471" s="151"/>
      <c r="AI471" s="151"/>
      <c r="AJ471" s="151"/>
      <c r="AK471" s="151"/>
      <c r="AL471" s="151"/>
      <c r="AM471" s="151"/>
      <c r="AN471" s="151"/>
      <c r="AO471" s="151"/>
      <c r="AP471" s="151"/>
      <c r="AQ471" s="151"/>
      <c r="AR471" s="151"/>
      <c r="AS471" s="151"/>
      <c r="AT471" s="152"/>
    </row>
    <row r="472" spans="1:46" x14ac:dyDescent="0.3">
      <c r="A472" s="143"/>
      <c r="B472" s="144"/>
      <c r="C472" s="145"/>
      <c r="D472" s="146"/>
      <c r="E472" s="144"/>
      <c r="F472" s="144"/>
      <c r="G472" s="144"/>
      <c r="H472" s="144"/>
      <c r="I472" s="148"/>
      <c r="J472" s="149">
        <f t="shared" si="23"/>
        <v>0</v>
      </c>
      <c r="K472" s="150">
        <f t="shared" si="24"/>
        <v>0</v>
      </c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  <c r="AA472" s="151"/>
      <c r="AB472" s="151"/>
      <c r="AC472" s="151"/>
      <c r="AD472" s="151"/>
      <c r="AE472" s="151"/>
      <c r="AF472" s="151"/>
      <c r="AG472" s="151"/>
      <c r="AH472" s="151"/>
      <c r="AI472" s="151"/>
      <c r="AJ472" s="151"/>
      <c r="AK472" s="151"/>
      <c r="AL472" s="151"/>
      <c r="AM472" s="151"/>
      <c r="AN472" s="151"/>
      <c r="AO472" s="151"/>
      <c r="AP472" s="151"/>
      <c r="AQ472" s="151"/>
      <c r="AR472" s="151"/>
      <c r="AS472" s="151"/>
      <c r="AT472" s="152"/>
    </row>
    <row r="473" spans="1:46" x14ac:dyDescent="0.3">
      <c r="A473" s="143"/>
      <c r="B473" s="144"/>
      <c r="C473" s="145"/>
      <c r="D473" s="146"/>
      <c r="E473" s="144"/>
      <c r="F473" s="144"/>
      <c r="G473" s="144"/>
      <c r="H473" s="144"/>
      <c r="I473" s="148"/>
      <c r="J473" s="149">
        <f t="shared" si="23"/>
        <v>0</v>
      </c>
      <c r="K473" s="150">
        <f t="shared" si="24"/>
        <v>0</v>
      </c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  <c r="AA473" s="151"/>
      <c r="AB473" s="151"/>
      <c r="AC473" s="151"/>
      <c r="AD473" s="151"/>
      <c r="AE473" s="151"/>
      <c r="AF473" s="151"/>
      <c r="AG473" s="151"/>
      <c r="AH473" s="151"/>
      <c r="AI473" s="151"/>
      <c r="AJ473" s="151"/>
      <c r="AK473" s="151"/>
      <c r="AL473" s="151"/>
      <c r="AM473" s="151"/>
      <c r="AN473" s="151"/>
      <c r="AO473" s="151"/>
      <c r="AP473" s="151"/>
      <c r="AQ473" s="151"/>
      <c r="AR473" s="151"/>
      <c r="AS473" s="151"/>
      <c r="AT473" s="152"/>
    </row>
    <row r="474" spans="1:46" x14ac:dyDescent="0.3">
      <c r="A474" s="143"/>
      <c r="B474" s="144"/>
      <c r="C474" s="145"/>
      <c r="D474" s="146"/>
      <c r="E474" s="144"/>
      <c r="F474" s="144"/>
      <c r="G474" s="144"/>
      <c r="H474" s="144"/>
      <c r="I474" s="148"/>
      <c r="J474" s="149">
        <f t="shared" si="23"/>
        <v>0</v>
      </c>
      <c r="K474" s="150">
        <f t="shared" si="24"/>
        <v>0</v>
      </c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  <c r="AA474" s="151"/>
      <c r="AB474" s="151"/>
      <c r="AC474" s="151"/>
      <c r="AD474" s="151"/>
      <c r="AE474" s="151"/>
      <c r="AF474" s="151"/>
      <c r="AG474" s="151"/>
      <c r="AH474" s="151"/>
      <c r="AI474" s="151"/>
      <c r="AJ474" s="151"/>
      <c r="AK474" s="151"/>
      <c r="AL474" s="151"/>
      <c r="AM474" s="151"/>
      <c r="AN474" s="151"/>
      <c r="AO474" s="151"/>
      <c r="AP474" s="151"/>
      <c r="AQ474" s="151"/>
      <c r="AR474" s="151"/>
      <c r="AS474" s="151"/>
      <c r="AT474" s="152"/>
    </row>
    <row r="475" spans="1:46" x14ac:dyDescent="0.3">
      <c r="A475" s="143"/>
      <c r="B475" s="144"/>
      <c r="C475" s="145"/>
      <c r="D475" s="146"/>
      <c r="E475" s="144"/>
      <c r="F475" s="144"/>
      <c r="G475" s="144"/>
      <c r="H475" s="144"/>
      <c r="I475" s="148"/>
      <c r="J475" s="149">
        <f t="shared" si="23"/>
        <v>0</v>
      </c>
      <c r="K475" s="150">
        <f t="shared" si="24"/>
        <v>0</v>
      </c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  <c r="AA475" s="151"/>
      <c r="AB475" s="151"/>
      <c r="AC475" s="151"/>
      <c r="AD475" s="151"/>
      <c r="AE475" s="151"/>
      <c r="AF475" s="151"/>
      <c r="AG475" s="151"/>
      <c r="AH475" s="151"/>
      <c r="AI475" s="151"/>
      <c r="AJ475" s="151"/>
      <c r="AK475" s="151"/>
      <c r="AL475" s="151"/>
      <c r="AM475" s="151"/>
      <c r="AN475" s="151"/>
      <c r="AO475" s="151"/>
      <c r="AP475" s="151"/>
      <c r="AQ475" s="151"/>
      <c r="AR475" s="151"/>
      <c r="AS475" s="151"/>
      <c r="AT475" s="152"/>
    </row>
    <row r="476" spans="1:46" x14ac:dyDescent="0.3">
      <c r="A476" s="143"/>
      <c r="B476" s="144"/>
      <c r="C476" s="145"/>
      <c r="D476" s="146"/>
      <c r="E476" s="144"/>
      <c r="F476" s="144"/>
      <c r="G476" s="144"/>
      <c r="H476" s="144"/>
      <c r="I476" s="148"/>
      <c r="J476" s="149">
        <f t="shared" si="23"/>
        <v>0</v>
      </c>
      <c r="K476" s="150">
        <f t="shared" si="24"/>
        <v>0</v>
      </c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  <c r="AB476" s="151"/>
      <c r="AC476" s="151"/>
      <c r="AD476" s="151"/>
      <c r="AE476" s="151"/>
      <c r="AF476" s="151"/>
      <c r="AG476" s="151"/>
      <c r="AH476" s="151"/>
      <c r="AI476" s="151"/>
      <c r="AJ476" s="151"/>
      <c r="AK476" s="151"/>
      <c r="AL476" s="151"/>
      <c r="AM476" s="151"/>
      <c r="AN476" s="151"/>
      <c r="AO476" s="151"/>
      <c r="AP476" s="151"/>
      <c r="AQ476" s="151"/>
      <c r="AR476" s="151"/>
      <c r="AS476" s="151"/>
      <c r="AT476" s="152"/>
    </row>
    <row r="477" spans="1:46" x14ac:dyDescent="0.3">
      <c r="A477" s="143"/>
      <c r="B477" s="144"/>
      <c r="C477" s="145"/>
      <c r="D477" s="146"/>
      <c r="E477" s="144"/>
      <c r="F477" s="144"/>
      <c r="G477" s="144"/>
      <c r="H477" s="144"/>
      <c r="I477" s="148"/>
      <c r="J477" s="149">
        <f t="shared" si="23"/>
        <v>0</v>
      </c>
      <c r="K477" s="150">
        <f t="shared" si="24"/>
        <v>0</v>
      </c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  <c r="AA477" s="151"/>
      <c r="AB477" s="151"/>
      <c r="AC477" s="151"/>
      <c r="AD477" s="151"/>
      <c r="AE477" s="151"/>
      <c r="AF477" s="151"/>
      <c r="AG477" s="151"/>
      <c r="AH477" s="151"/>
      <c r="AI477" s="151"/>
      <c r="AJ477" s="151"/>
      <c r="AK477" s="151"/>
      <c r="AL477" s="151"/>
      <c r="AM477" s="151"/>
      <c r="AN477" s="151"/>
      <c r="AO477" s="151"/>
      <c r="AP477" s="151"/>
      <c r="AQ477" s="151"/>
      <c r="AR477" s="151"/>
      <c r="AS477" s="151"/>
      <c r="AT477" s="152"/>
    </row>
    <row r="478" spans="1:46" x14ac:dyDescent="0.3">
      <c r="A478" s="143"/>
      <c r="B478" s="144"/>
      <c r="C478" s="145"/>
      <c r="D478" s="146"/>
      <c r="E478" s="144"/>
      <c r="F478" s="144"/>
      <c r="G478" s="144"/>
      <c r="H478" s="144"/>
      <c r="I478" s="148"/>
      <c r="J478" s="149">
        <f t="shared" si="23"/>
        <v>0</v>
      </c>
      <c r="K478" s="150">
        <f t="shared" si="24"/>
        <v>0</v>
      </c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  <c r="AB478" s="151"/>
      <c r="AC478" s="151"/>
      <c r="AD478" s="151"/>
      <c r="AE478" s="151"/>
      <c r="AF478" s="151"/>
      <c r="AG478" s="151"/>
      <c r="AH478" s="151"/>
      <c r="AI478" s="151"/>
      <c r="AJ478" s="151"/>
      <c r="AK478" s="151"/>
      <c r="AL478" s="151"/>
      <c r="AM478" s="151"/>
      <c r="AN478" s="151"/>
      <c r="AO478" s="151"/>
      <c r="AP478" s="151"/>
      <c r="AQ478" s="151"/>
      <c r="AR478" s="151"/>
      <c r="AS478" s="151"/>
      <c r="AT478" s="152"/>
    </row>
    <row r="479" spans="1:46" x14ac:dyDescent="0.3">
      <c r="A479" s="143"/>
      <c r="B479" s="144"/>
      <c r="C479" s="145"/>
      <c r="D479" s="146"/>
      <c r="E479" s="144"/>
      <c r="F479" s="144"/>
      <c r="G479" s="144"/>
      <c r="H479" s="144"/>
      <c r="I479" s="148"/>
      <c r="J479" s="149">
        <f t="shared" si="23"/>
        <v>0</v>
      </c>
      <c r="K479" s="150">
        <f t="shared" si="24"/>
        <v>0</v>
      </c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  <c r="AA479" s="151"/>
      <c r="AB479" s="151"/>
      <c r="AC479" s="151"/>
      <c r="AD479" s="151"/>
      <c r="AE479" s="151"/>
      <c r="AF479" s="151"/>
      <c r="AG479" s="151"/>
      <c r="AH479" s="151"/>
      <c r="AI479" s="151"/>
      <c r="AJ479" s="151"/>
      <c r="AK479" s="151"/>
      <c r="AL479" s="151"/>
      <c r="AM479" s="151"/>
      <c r="AN479" s="151"/>
      <c r="AO479" s="151"/>
      <c r="AP479" s="151"/>
      <c r="AQ479" s="151"/>
      <c r="AR479" s="151"/>
      <c r="AS479" s="151"/>
      <c r="AT479" s="152"/>
    </row>
    <row r="480" spans="1:46" x14ac:dyDescent="0.3">
      <c r="A480" s="143"/>
      <c r="B480" s="144"/>
      <c r="C480" s="145"/>
      <c r="D480" s="146"/>
      <c r="E480" s="144"/>
      <c r="F480" s="144"/>
      <c r="G480" s="144"/>
      <c r="H480" s="144"/>
      <c r="I480" s="148"/>
      <c r="J480" s="149">
        <f t="shared" si="23"/>
        <v>0</v>
      </c>
      <c r="K480" s="150">
        <f t="shared" si="24"/>
        <v>0</v>
      </c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  <c r="AA480" s="151"/>
      <c r="AB480" s="151"/>
      <c r="AC480" s="151"/>
      <c r="AD480" s="151"/>
      <c r="AE480" s="151"/>
      <c r="AF480" s="151"/>
      <c r="AG480" s="151"/>
      <c r="AH480" s="151"/>
      <c r="AI480" s="151"/>
      <c r="AJ480" s="151"/>
      <c r="AK480" s="151"/>
      <c r="AL480" s="151"/>
      <c r="AM480" s="151"/>
      <c r="AN480" s="151"/>
      <c r="AO480" s="151"/>
      <c r="AP480" s="151"/>
      <c r="AQ480" s="151"/>
      <c r="AR480" s="151"/>
      <c r="AS480" s="151"/>
      <c r="AT480" s="152"/>
    </row>
    <row r="481" spans="1:46" x14ac:dyDescent="0.3">
      <c r="A481" s="143"/>
      <c r="B481" s="144"/>
      <c r="C481" s="145"/>
      <c r="D481" s="146"/>
      <c r="E481" s="144"/>
      <c r="F481" s="144"/>
      <c r="G481" s="144"/>
      <c r="H481" s="144"/>
      <c r="I481" s="148"/>
      <c r="J481" s="149">
        <f t="shared" si="23"/>
        <v>0</v>
      </c>
      <c r="K481" s="150">
        <f t="shared" si="24"/>
        <v>0</v>
      </c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  <c r="AA481" s="151"/>
      <c r="AB481" s="151"/>
      <c r="AC481" s="151"/>
      <c r="AD481" s="151"/>
      <c r="AE481" s="151"/>
      <c r="AF481" s="151"/>
      <c r="AG481" s="151"/>
      <c r="AH481" s="151"/>
      <c r="AI481" s="151"/>
      <c r="AJ481" s="151"/>
      <c r="AK481" s="151"/>
      <c r="AL481" s="151"/>
      <c r="AM481" s="151"/>
      <c r="AN481" s="151"/>
      <c r="AO481" s="151"/>
      <c r="AP481" s="151"/>
      <c r="AQ481" s="151"/>
      <c r="AR481" s="151"/>
      <c r="AS481" s="151"/>
      <c r="AT481" s="152"/>
    </row>
    <row r="482" spans="1:46" x14ac:dyDescent="0.3">
      <c r="A482" s="143"/>
      <c r="B482" s="144"/>
      <c r="C482" s="145"/>
      <c r="D482" s="146"/>
      <c r="E482" s="144"/>
      <c r="F482" s="144"/>
      <c r="G482" s="144"/>
      <c r="H482" s="144"/>
      <c r="I482" s="148"/>
      <c r="J482" s="149">
        <f t="shared" si="23"/>
        <v>0</v>
      </c>
      <c r="K482" s="150">
        <f t="shared" si="24"/>
        <v>0</v>
      </c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1"/>
      <c r="AH482" s="151"/>
      <c r="AI482" s="151"/>
      <c r="AJ482" s="151"/>
      <c r="AK482" s="151"/>
      <c r="AL482" s="151"/>
      <c r="AM482" s="151"/>
      <c r="AN482" s="151"/>
      <c r="AO482" s="151"/>
      <c r="AP482" s="151"/>
      <c r="AQ482" s="151"/>
      <c r="AR482" s="151"/>
      <c r="AS482" s="151"/>
      <c r="AT482" s="152"/>
    </row>
    <row r="483" spans="1:46" x14ac:dyDescent="0.3">
      <c r="A483" s="143"/>
      <c r="B483" s="144"/>
      <c r="C483" s="145"/>
      <c r="D483" s="154"/>
      <c r="E483" s="144"/>
      <c r="F483" s="144"/>
      <c r="G483" s="144"/>
      <c r="H483" s="144"/>
      <c r="I483" s="148"/>
      <c r="J483" s="149">
        <f t="shared" si="23"/>
        <v>0</v>
      </c>
      <c r="K483" s="150">
        <f t="shared" si="24"/>
        <v>0</v>
      </c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1"/>
      <c r="AH483" s="151"/>
      <c r="AI483" s="151"/>
      <c r="AJ483" s="151"/>
      <c r="AK483" s="151"/>
      <c r="AL483" s="151"/>
      <c r="AM483" s="151"/>
      <c r="AN483" s="151"/>
      <c r="AO483" s="151"/>
      <c r="AP483" s="151"/>
      <c r="AQ483" s="151"/>
      <c r="AR483" s="151"/>
      <c r="AS483" s="151"/>
      <c r="AT483" s="152"/>
    </row>
    <row r="484" spans="1:46" ht="17.25" thickBot="1" x14ac:dyDescent="0.35">
      <c r="A484" s="155"/>
      <c r="B484" s="156"/>
      <c r="C484" s="157"/>
      <c r="D484" s="158"/>
      <c r="E484" s="156"/>
      <c r="F484" s="156"/>
      <c r="G484" s="156"/>
      <c r="H484" s="156"/>
      <c r="I484" s="159"/>
      <c r="J484" s="160">
        <f t="shared" si="23"/>
        <v>0</v>
      </c>
      <c r="K484" s="161">
        <f t="shared" si="24"/>
        <v>0</v>
      </c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2"/>
      <c r="AC484" s="162"/>
      <c r="AD484" s="162"/>
      <c r="AE484" s="162"/>
      <c r="AF484" s="162"/>
      <c r="AG484" s="162"/>
      <c r="AH484" s="162"/>
      <c r="AI484" s="162"/>
      <c r="AJ484" s="162"/>
      <c r="AK484" s="162"/>
      <c r="AL484" s="162"/>
      <c r="AM484" s="162"/>
      <c r="AN484" s="162"/>
      <c r="AO484" s="162"/>
      <c r="AP484" s="162"/>
      <c r="AQ484" s="162"/>
      <c r="AR484" s="162"/>
      <c r="AS484" s="162"/>
      <c r="AT484" s="163"/>
    </row>
  </sheetData>
  <mergeCells count="11">
    <mergeCell ref="G2:G3"/>
    <mergeCell ref="H2:H3"/>
    <mergeCell ref="I2:I3"/>
    <mergeCell ref="J2:J3"/>
    <mergeCell ref="K2:K3"/>
    <mergeCell ref="F2:F3"/>
    <mergeCell ref="A2:A3"/>
    <mergeCell ref="B2:B3"/>
    <mergeCell ref="C2:C3"/>
    <mergeCell ref="D2:D3"/>
    <mergeCell ref="E2:E3"/>
  </mergeCells>
  <phoneticPr fontId="4" type="noConversion"/>
  <dataValidations count="3">
    <dataValidation type="list" allowBlank="1" showInputMessage="1" showErrorMessage="1" sqref="C5:C484" xr:uid="{C0A4E699-1C56-49E1-AA52-6EDAE1C3578B}">
      <formula1>TBD</formula1>
    </dataValidation>
    <dataValidation type="list" allowBlank="1" showInputMessage="1" showErrorMessage="1" sqref="D5:D484" xr:uid="{4B4A6D9A-4AE0-4865-A26B-CD29EA2F75F5}">
      <formula1>Activity</formula1>
    </dataValidation>
    <dataValidation type="list" allowBlank="1" showInputMessage="1" showErrorMessage="1" sqref="E5:E484" xr:uid="{13369E60-18AE-4C27-99DB-9D732FF60576}">
      <formula1>Location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D985-7ED2-49E2-B4C0-6226DFC0AD27}">
  <sheetPr codeName="Sheet12"/>
  <dimension ref="A1:J311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/>
    </sheetView>
  </sheetViews>
  <sheetFormatPr defaultColWidth="8.75" defaultRowHeight="16.5" x14ac:dyDescent="0.3"/>
  <cols>
    <col min="1" max="1" width="4.5" style="3" customWidth="1"/>
    <col min="2" max="2" width="26" style="3" bestFit="1" customWidth="1"/>
    <col min="3" max="3" width="18.625" style="3" bestFit="1" customWidth="1"/>
    <col min="4" max="4" width="15.25" style="3" bestFit="1" customWidth="1"/>
    <col min="5" max="5" width="34.5" style="3" bestFit="1" customWidth="1"/>
    <col min="6" max="6" width="15.25" style="3" bestFit="1" customWidth="1"/>
    <col min="7" max="7" width="36.125" style="3" bestFit="1" customWidth="1"/>
    <col min="8" max="8" width="43.125" style="3" bestFit="1" customWidth="1"/>
    <col min="9" max="9" width="40.25" style="3" customWidth="1"/>
    <col min="10" max="16384" width="8.75" style="3"/>
  </cols>
  <sheetData>
    <row r="1" spans="1:9" x14ac:dyDescent="0.3">
      <c r="A1" s="164"/>
      <c r="B1" s="165" t="s">
        <v>279</v>
      </c>
      <c r="C1" s="166"/>
      <c r="D1" s="166"/>
      <c r="E1" s="166"/>
      <c r="F1" s="166"/>
      <c r="G1" s="166"/>
      <c r="H1" s="166"/>
      <c r="I1" s="166"/>
    </row>
    <row r="2" spans="1:9" x14ac:dyDescent="0.3">
      <c r="A2" s="164"/>
      <c r="B2" s="167" t="s">
        <v>280</v>
      </c>
      <c r="C2" s="167" t="s">
        <v>128</v>
      </c>
      <c r="D2" s="167" t="s">
        <v>281</v>
      </c>
      <c r="E2" s="167" t="s">
        <v>282</v>
      </c>
      <c r="F2" s="167" t="s">
        <v>283</v>
      </c>
      <c r="G2" s="167" t="s">
        <v>284</v>
      </c>
      <c r="H2" s="167" t="s">
        <v>139</v>
      </c>
      <c r="I2" s="167" t="s">
        <v>68</v>
      </c>
    </row>
    <row r="3" spans="1:9" x14ac:dyDescent="0.3">
      <c r="A3" s="164"/>
      <c r="B3" s="168" t="s">
        <v>285</v>
      </c>
      <c r="C3" s="168" t="s">
        <v>286</v>
      </c>
      <c r="D3" s="168" t="s">
        <v>287</v>
      </c>
      <c r="E3" s="168" t="s">
        <v>288</v>
      </c>
      <c r="F3" s="168" t="s">
        <v>289</v>
      </c>
      <c r="G3" s="168" t="s">
        <v>290</v>
      </c>
      <c r="H3" s="168"/>
      <c r="I3" s="168"/>
    </row>
    <row r="4" spans="1:9" x14ac:dyDescent="0.3">
      <c r="B4" s="169" t="s">
        <v>291</v>
      </c>
      <c r="C4" s="169" t="s">
        <v>292</v>
      </c>
      <c r="D4" s="169" t="s">
        <v>293</v>
      </c>
      <c r="E4" s="169" t="s">
        <v>294</v>
      </c>
      <c r="F4" s="169" t="s">
        <v>295</v>
      </c>
      <c r="G4" s="170" t="s">
        <v>296</v>
      </c>
      <c r="H4" s="171" t="s">
        <v>297</v>
      </c>
      <c r="I4" s="171"/>
    </row>
    <row r="5" spans="1:9" x14ac:dyDescent="0.3">
      <c r="B5" s="169" t="s">
        <v>291</v>
      </c>
      <c r="C5" s="169" t="s">
        <v>292</v>
      </c>
      <c r="D5" s="169" t="s">
        <v>298</v>
      </c>
      <c r="E5" s="169" t="s">
        <v>299</v>
      </c>
      <c r="F5" s="169" t="s">
        <v>300</v>
      </c>
      <c r="G5" s="170" t="s">
        <v>296</v>
      </c>
      <c r="H5" s="171" t="s">
        <v>297</v>
      </c>
      <c r="I5" s="171"/>
    </row>
    <row r="6" spans="1:9" x14ac:dyDescent="0.3">
      <c r="B6" s="169" t="s">
        <v>291</v>
      </c>
      <c r="C6" s="169" t="s">
        <v>292</v>
      </c>
      <c r="D6" s="169" t="s">
        <v>301</v>
      </c>
      <c r="E6" s="169" t="s">
        <v>302</v>
      </c>
      <c r="F6" s="169" t="s">
        <v>303</v>
      </c>
      <c r="G6" s="170" t="s">
        <v>296</v>
      </c>
      <c r="H6" s="171" t="s">
        <v>297</v>
      </c>
      <c r="I6" s="171"/>
    </row>
    <row r="7" spans="1:9" x14ac:dyDescent="0.3">
      <c r="B7" s="169" t="s">
        <v>291</v>
      </c>
      <c r="C7" s="169" t="s">
        <v>292</v>
      </c>
      <c r="D7" s="169" t="s">
        <v>304</v>
      </c>
      <c r="E7" s="169" t="s">
        <v>305</v>
      </c>
      <c r="F7" s="169" t="s">
        <v>306</v>
      </c>
      <c r="G7" s="170" t="s">
        <v>296</v>
      </c>
      <c r="H7" s="171" t="s">
        <v>297</v>
      </c>
      <c r="I7" s="171"/>
    </row>
    <row r="8" spans="1:9" x14ac:dyDescent="0.3">
      <c r="B8" s="169" t="s">
        <v>291</v>
      </c>
      <c r="C8" s="169" t="s">
        <v>292</v>
      </c>
      <c r="D8" s="169" t="s">
        <v>307</v>
      </c>
      <c r="E8" s="169" t="s">
        <v>308</v>
      </c>
      <c r="F8" s="169" t="s">
        <v>309</v>
      </c>
      <c r="G8" s="170" t="s">
        <v>296</v>
      </c>
      <c r="H8" s="171" t="s">
        <v>297</v>
      </c>
      <c r="I8" s="171"/>
    </row>
    <row r="9" spans="1:9" x14ac:dyDescent="0.3">
      <c r="B9" s="169" t="s">
        <v>291</v>
      </c>
      <c r="C9" s="169" t="s">
        <v>292</v>
      </c>
      <c r="D9" s="169" t="s">
        <v>310</v>
      </c>
      <c r="E9" s="169" t="s">
        <v>311</v>
      </c>
      <c r="F9" s="169" t="s">
        <v>312</v>
      </c>
      <c r="G9" s="170" t="s">
        <v>296</v>
      </c>
      <c r="H9" s="171" t="s">
        <v>297</v>
      </c>
      <c r="I9" s="171"/>
    </row>
    <row r="10" spans="1:9" x14ac:dyDescent="0.3">
      <c r="B10" s="169" t="s">
        <v>291</v>
      </c>
      <c r="C10" s="169" t="s">
        <v>292</v>
      </c>
      <c r="D10" s="169" t="s">
        <v>313</v>
      </c>
      <c r="E10" s="169" t="s">
        <v>57</v>
      </c>
      <c r="F10" s="169" t="s">
        <v>314</v>
      </c>
      <c r="G10" s="170" t="s">
        <v>296</v>
      </c>
      <c r="H10" s="171" t="s">
        <v>297</v>
      </c>
      <c r="I10" s="171"/>
    </row>
    <row r="11" spans="1:9" x14ac:dyDescent="0.3">
      <c r="B11" s="169" t="s">
        <v>315</v>
      </c>
      <c r="C11" s="169" t="s">
        <v>157</v>
      </c>
      <c r="D11" s="169" t="s">
        <v>316</v>
      </c>
      <c r="E11" s="169" t="s">
        <v>317</v>
      </c>
      <c r="F11" s="169" t="s">
        <v>318</v>
      </c>
      <c r="G11" s="170" t="s">
        <v>319</v>
      </c>
      <c r="H11" s="171" t="s">
        <v>157</v>
      </c>
      <c r="I11" s="171"/>
    </row>
    <row r="12" spans="1:9" x14ac:dyDescent="0.3">
      <c r="B12" s="169" t="s">
        <v>315</v>
      </c>
      <c r="C12" s="169" t="s">
        <v>157</v>
      </c>
      <c r="D12" s="169" t="s">
        <v>316</v>
      </c>
      <c r="E12" s="169" t="s">
        <v>317</v>
      </c>
      <c r="F12" s="169" t="s">
        <v>320</v>
      </c>
      <c r="G12" s="170" t="s">
        <v>321</v>
      </c>
      <c r="H12" s="171" t="s">
        <v>157</v>
      </c>
      <c r="I12" s="171"/>
    </row>
    <row r="13" spans="1:9" x14ac:dyDescent="0.3">
      <c r="B13" s="169" t="s">
        <v>315</v>
      </c>
      <c r="C13" s="169" t="s">
        <v>157</v>
      </c>
      <c r="D13" s="169" t="s">
        <v>316</v>
      </c>
      <c r="E13" s="169" t="s">
        <v>317</v>
      </c>
      <c r="F13" s="169" t="s">
        <v>322</v>
      </c>
      <c r="G13" s="170" t="s">
        <v>57</v>
      </c>
      <c r="H13" s="171" t="s">
        <v>157</v>
      </c>
      <c r="I13" s="171"/>
    </row>
    <row r="14" spans="1:9" x14ac:dyDescent="0.3">
      <c r="B14" s="169" t="s">
        <v>315</v>
      </c>
      <c r="C14" s="169" t="s">
        <v>157</v>
      </c>
      <c r="D14" s="169" t="s">
        <v>323</v>
      </c>
      <c r="E14" s="169" t="s">
        <v>324</v>
      </c>
      <c r="F14" s="169" t="s">
        <v>325</v>
      </c>
      <c r="G14" s="170" t="s">
        <v>326</v>
      </c>
      <c r="H14" s="171" t="s">
        <v>157</v>
      </c>
      <c r="I14" s="171"/>
    </row>
    <row r="15" spans="1:9" x14ac:dyDescent="0.3">
      <c r="B15" s="169" t="s">
        <v>315</v>
      </c>
      <c r="C15" s="169" t="s">
        <v>157</v>
      </c>
      <c r="D15" s="169" t="s">
        <v>323</v>
      </c>
      <c r="E15" s="169" t="s">
        <v>324</v>
      </c>
      <c r="F15" s="169" t="s">
        <v>327</v>
      </c>
      <c r="G15" s="170" t="s">
        <v>217</v>
      </c>
      <c r="H15" s="171" t="s">
        <v>157</v>
      </c>
      <c r="I15" s="171"/>
    </row>
    <row r="16" spans="1:9" x14ac:dyDescent="0.3">
      <c r="B16" s="169" t="s">
        <v>315</v>
      </c>
      <c r="C16" s="169" t="s">
        <v>157</v>
      </c>
      <c r="D16" s="169" t="s">
        <v>328</v>
      </c>
      <c r="E16" s="169" t="s">
        <v>329</v>
      </c>
      <c r="F16" s="169" t="s">
        <v>330</v>
      </c>
      <c r="G16" s="170" t="s">
        <v>326</v>
      </c>
      <c r="H16" s="171" t="s">
        <v>157</v>
      </c>
      <c r="I16" s="171"/>
    </row>
    <row r="17" spans="2:9" x14ac:dyDescent="0.3">
      <c r="B17" s="169" t="s">
        <v>315</v>
      </c>
      <c r="C17" s="169" t="s">
        <v>157</v>
      </c>
      <c r="D17" s="169" t="s">
        <v>328</v>
      </c>
      <c r="E17" s="169" t="s">
        <v>329</v>
      </c>
      <c r="F17" s="169" t="s">
        <v>331</v>
      </c>
      <c r="G17" s="170" t="s">
        <v>217</v>
      </c>
      <c r="H17" s="171" t="s">
        <v>157</v>
      </c>
      <c r="I17" s="171"/>
    </row>
    <row r="18" spans="2:9" x14ac:dyDescent="0.3">
      <c r="B18" s="169" t="s">
        <v>315</v>
      </c>
      <c r="C18" s="169" t="s">
        <v>157</v>
      </c>
      <c r="D18" s="169" t="s">
        <v>332</v>
      </c>
      <c r="E18" s="169" t="s">
        <v>333</v>
      </c>
      <c r="F18" s="169" t="s">
        <v>334</v>
      </c>
      <c r="G18" s="170" t="s">
        <v>326</v>
      </c>
      <c r="H18" s="171" t="s">
        <v>157</v>
      </c>
      <c r="I18" s="171"/>
    </row>
    <row r="19" spans="2:9" x14ac:dyDescent="0.3">
      <c r="B19" s="169" t="s">
        <v>315</v>
      </c>
      <c r="C19" s="169" t="s">
        <v>157</v>
      </c>
      <c r="D19" s="169" t="s">
        <v>332</v>
      </c>
      <c r="E19" s="169" t="s">
        <v>333</v>
      </c>
      <c r="F19" s="169" t="s">
        <v>335</v>
      </c>
      <c r="G19" s="170" t="s">
        <v>217</v>
      </c>
      <c r="H19" s="171" t="s">
        <v>157</v>
      </c>
      <c r="I19" s="171"/>
    </row>
    <row r="20" spans="2:9" x14ac:dyDescent="0.3">
      <c r="B20" s="169" t="s">
        <v>315</v>
      </c>
      <c r="C20" s="169" t="s">
        <v>157</v>
      </c>
      <c r="D20" s="169" t="s">
        <v>336</v>
      </c>
      <c r="E20" s="169" t="s">
        <v>337</v>
      </c>
      <c r="F20" s="169" t="s">
        <v>338</v>
      </c>
      <c r="G20" s="170" t="s">
        <v>326</v>
      </c>
      <c r="H20" s="171" t="s">
        <v>157</v>
      </c>
      <c r="I20" s="171"/>
    </row>
    <row r="21" spans="2:9" x14ac:dyDescent="0.3">
      <c r="B21" s="169" t="s">
        <v>315</v>
      </c>
      <c r="C21" s="169" t="s">
        <v>157</v>
      </c>
      <c r="D21" s="169" t="s">
        <v>336</v>
      </c>
      <c r="E21" s="169" t="s">
        <v>337</v>
      </c>
      <c r="F21" s="169" t="s">
        <v>339</v>
      </c>
      <c r="G21" s="170" t="s">
        <v>217</v>
      </c>
      <c r="H21" s="171" t="s">
        <v>157</v>
      </c>
      <c r="I21" s="171"/>
    </row>
    <row r="22" spans="2:9" x14ac:dyDescent="0.3">
      <c r="B22" s="169" t="s">
        <v>315</v>
      </c>
      <c r="C22" s="169" t="s">
        <v>157</v>
      </c>
      <c r="D22" s="169" t="s">
        <v>340</v>
      </c>
      <c r="E22" s="169" t="s">
        <v>341</v>
      </c>
      <c r="F22" s="169" t="s">
        <v>342</v>
      </c>
      <c r="G22" s="170" t="s">
        <v>343</v>
      </c>
      <c r="H22" s="171" t="s">
        <v>157</v>
      </c>
      <c r="I22" s="171"/>
    </row>
    <row r="23" spans="2:9" x14ac:dyDescent="0.3">
      <c r="B23" s="169" t="s">
        <v>315</v>
      </c>
      <c r="C23" s="169" t="s">
        <v>157</v>
      </c>
      <c r="D23" s="169" t="s">
        <v>340</v>
      </c>
      <c r="E23" s="169" t="s">
        <v>341</v>
      </c>
      <c r="F23" s="169" t="s">
        <v>344</v>
      </c>
      <c r="G23" s="170" t="s">
        <v>345</v>
      </c>
      <c r="H23" s="171" t="s">
        <v>157</v>
      </c>
      <c r="I23" s="171"/>
    </row>
    <row r="24" spans="2:9" x14ac:dyDescent="0.3">
      <c r="B24" s="169" t="s">
        <v>315</v>
      </c>
      <c r="C24" s="169" t="s">
        <v>157</v>
      </c>
      <c r="D24" s="169" t="s">
        <v>340</v>
      </c>
      <c r="E24" s="169" t="s">
        <v>341</v>
      </c>
      <c r="F24" s="169" t="s">
        <v>346</v>
      </c>
      <c r="G24" s="170" t="s">
        <v>57</v>
      </c>
      <c r="H24" s="171" t="s">
        <v>157</v>
      </c>
      <c r="I24" s="171"/>
    </row>
    <row r="25" spans="2:9" x14ac:dyDescent="0.3">
      <c r="B25" s="169" t="s">
        <v>315</v>
      </c>
      <c r="C25" s="169" t="s">
        <v>157</v>
      </c>
      <c r="D25" s="169" t="s">
        <v>347</v>
      </c>
      <c r="E25" s="169" t="s">
        <v>57</v>
      </c>
      <c r="F25" s="169" t="s">
        <v>348</v>
      </c>
      <c r="G25" s="170" t="s">
        <v>296</v>
      </c>
      <c r="H25" s="171" t="s">
        <v>157</v>
      </c>
      <c r="I25" s="171"/>
    </row>
    <row r="26" spans="2:9" s="125" customFormat="1" x14ac:dyDescent="0.3">
      <c r="B26" s="172" t="s">
        <v>349</v>
      </c>
      <c r="C26" s="172" t="s">
        <v>350</v>
      </c>
      <c r="D26" s="172" t="s">
        <v>351</v>
      </c>
      <c r="E26" s="172" t="s">
        <v>352</v>
      </c>
      <c r="F26" s="172" t="s">
        <v>353</v>
      </c>
      <c r="G26" s="172" t="s">
        <v>296</v>
      </c>
      <c r="H26" s="171" t="s">
        <v>354</v>
      </c>
      <c r="I26" s="173"/>
    </row>
    <row r="27" spans="2:9" x14ac:dyDescent="0.3">
      <c r="B27" s="169" t="s">
        <v>355</v>
      </c>
      <c r="C27" s="169" t="s">
        <v>158</v>
      </c>
      <c r="D27" s="169" t="s">
        <v>356</v>
      </c>
      <c r="E27" s="169" t="s">
        <v>357</v>
      </c>
      <c r="F27" s="169" t="s">
        <v>358</v>
      </c>
      <c r="G27" s="170" t="s">
        <v>296</v>
      </c>
      <c r="H27" s="171" t="s">
        <v>158</v>
      </c>
      <c r="I27" s="171"/>
    </row>
    <row r="28" spans="2:9" x14ac:dyDescent="0.3">
      <c r="B28" s="169" t="s">
        <v>355</v>
      </c>
      <c r="C28" s="169" t="s">
        <v>158</v>
      </c>
      <c r="D28" s="169" t="s">
        <v>359</v>
      </c>
      <c r="E28" s="169" t="s">
        <v>360</v>
      </c>
      <c r="F28" s="169" t="s">
        <v>361</v>
      </c>
      <c r="G28" s="170" t="s">
        <v>296</v>
      </c>
      <c r="H28" s="171" t="s">
        <v>158</v>
      </c>
      <c r="I28" s="171"/>
    </row>
    <row r="29" spans="2:9" x14ac:dyDescent="0.3">
      <c r="B29" s="169" t="s">
        <v>355</v>
      </c>
      <c r="C29" s="169" t="s">
        <v>158</v>
      </c>
      <c r="D29" s="169" t="s">
        <v>362</v>
      </c>
      <c r="E29" s="169" t="s">
        <v>324</v>
      </c>
      <c r="F29" s="169" t="s">
        <v>363</v>
      </c>
      <c r="G29" s="170" t="s">
        <v>326</v>
      </c>
      <c r="H29" s="171" t="s">
        <v>158</v>
      </c>
      <c r="I29" s="171"/>
    </row>
    <row r="30" spans="2:9" x14ac:dyDescent="0.3">
      <c r="B30" s="169" t="s">
        <v>355</v>
      </c>
      <c r="C30" s="169" t="s">
        <v>158</v>
      </c>
      <c r="D30" s="169" t="s">
        <v>362</v>
      </c>
      <c r="E30" s="169" t="s">
        <v>324</v>
      </c>
      <c r="F30" s="169" t="s">
        <v>364</v>
      </c>
      <c r="G30" s="170" t="s">
        <v>217</v>
      </c>
      <c r="H30" s="171" t="s">
        <v>158</v>
      </c>
      <c r="I30" s="171"/>
    </row>
    <row r="31" spans="2:9" x14ac:dyDescent="0.3">
      <c r="B31" s="169" t="s">
        <v>355</v>
      </c>
      <c r="C31" s="169" t="s">
        <v>158</v>
      </c>
      <c r="D31" s="169" t="s">
        <v>365</v>
      </c>
      <c r="E31" s="169" t="s">
        <v>366</v>
      </c>
      <c r="F31" s="169" t="s">
        <v>367</v>
      </c>
      <c r="G31" s="170" t="s">
        <v>368</v>
      </c>
      <c r="H31" s="171" t="s">
        <v>158</v>
      </c>
      <c r="I31" s="171"/>
    </row>
    <row r="32" spans="2:9" x14ac:dyDescent="0.3">
      <c r="B32" s="169" t="s">
        <v>355</v>
      </c>
      <c r="C32" s="169" t="s">
        <v>158</v>
      </c>
      <c r="D32" s="169" t="s">
        <v>365</v>
      </c>
      <c r="E32" s="169" t="s">
        <v>366</v>
      </c>
      <c r="F32" s="169" t="s">
        <v>369</v>
      </c>
      <c r="G32" s="170" t="s">
        <v>370</v>
      </c>
      <c r="H32" s="171" t="s">
        <v>158</v>
      </c>
      <c r="I32" s="171"/>
    </row>
    <row r="33" spans="2:9" x14ac:dyDescent="0.3">
      <c r="B33" s="169" t="s">
        <v>355</v>
      </c>
      <c r="C33" s="169" t="s">
        <v>158</v>
      </c>
      <c r="D33" s="169" t="s">
        <v>371</v>
      </c>
      <c r="E33" s="169" t="s">
        <v>321</v>
      </c>
      <c r="F33" s="169" t="s">
        <v>372</v>
      </c>
      <c r="G33" s="170" t="s">
        <v>296</v>
      </c>
      <c r="H33" s="171" t="s">
        <v>158</v>
      </c>
      <c r="I33" s="171"/>
    </row>
    <row r="34" spans="2:9" x14ac:dyDescent="0.3">
      <c r="B34" s="169" t="s">
        <v>355</v>
      </c>
      <c r="C34" s="169" t="s">
        <v>158</v>
      </c>
      <c r="D34" s="169" t="s">
        <v>373</v>
      </c>
      <c r="E34" s="169" t="s">
        <v>159</v>
      </c>
      <c r="F34" s="169" t="s">
        <v>374</v>
      </c>
      <c r="G34" s="170" t="s">
        <v>296</v>
      </c>
      <c r="H34" s="171" t="s">
        <v>159</v>
      </c>
      <c r="I34" s="171"/>
    </row>
    <row r="35" spans="2:9" x14ac:dyDescent="0.3">
      <c r="B35" s="169" t="s">
        <v>355</v>
      </c>
      <c r="C35" s="169" t="s">
        <v>158</v>
      </c>
      <c r="D35" s="169" t="s">
        <v>375</v>
      </c>
      <c r="E35" s="169" t="s">
        <v>376</v>
      </c>
      <c r="F35" s="169" t="s">
        <v>377</v>
      </c>
      <c r="G35" s="170" t="s">
        <v>296</v>
      </c>
      <c r="H35" s="171" t="s">
        <v>158</v>
      </c>
      <c r="I35" s="171"/>
    </row>
    <row r="36" spans="2:9" x14ac:dyDescent="0.3">
      <c r="B36" s="169" t="s">
        <v>355</v>
      </c>
      <c r="C36" s="169" t="s">
        <v>158</v>
      </c>
      <c r="D36" s="169" t="s">
        <v>378</v>
      </c>
      <c r="E36" s="169" t="s">
        <v>57</v>
      </c>
      <c r="F36" s="169" t="s">
        <v>379</v>
      </c>
      <c r="G36" s="170" t="s">
        <v>296</v>
      </c>
      <c r="H36" s="171" t="s">
        <v>158</v>
      </c>
      <c r="I36" s="171"/>
    </row>
    <row r="37" spans="2:9" x14ac:dyDescent="0.3">
      <c r="B37" s="169" t="s">
        <v>380</v>
      </c>
      <c r="C37" s="169" t="s">
        <v>222</v>
      </c>
      <c r="D37" s="169" t="s">
        <v>381</v>
      </c>
      <c r="E37" s="169" t="s">
        <v>382</v>
      </c>
      <c r="F37" s="169" t="s">
        <v>383</v>
      </c>
      <c r="G37" s="170" t="s">
        <v>384</v>
      </c>
      <c r="H37" s="171" t="s">
        <v>225</v>
      </c>
      <c r="I37" s="171"/>
    </row>
    <row r="38" spans="2:9" x14ac:dyDescent="0.3">
      <c r="B38" s="169" t="s">
        <v>380</v>
      </c>
      <c r="C38" s="169" t="s">
        <v>222</v>
      </c>
      <c r="D38" s="169" t="s">
        <v>381</v>
      </c>
      <c r="E38" s="169" t="s">
        <v>382</v>
      </c>
      <c r="F38" s="169" t="s">
        <v>385</v>
      </c>
      <c r="G38" s="170" t="s">
        <v>386</v>
      </c>
      <c r="H38" s="171" t="s">
        <v>227</v>
      </c>
      <c r="I38" s="171"/>
    </row>
    <row r="39" spans="2:9" x14ac:dyDescent="0.3">
      <c r="B39" s="169" t="s">
        <v>380</v>
      </c>
      <c r="C39" s="169" t="s">
        <v>222</v>
      </c>
      <c r="D39" s="169" t="s">
        <v>381</v>
      </c>
      <c r="E39" s="169" t="s">
        <v>382</v>
      </c>
      <c r="F39" s="169" t="s">
        <v>387</v>
      </c>
      <c r="G39" s="170" t="s">
        <v>388</v>
      </c>
      <c r="H39" s="171" t="s">
        <v>228</v>
      </c>
      <c r="I39" s="171"/>
    </row>
    <row r="40" spans="2:9" x14ac:dyDescent="0.3">
      <c r="B40" s="169" t="s">
        <v>380</v>
      </c>
      <c r="C40" s="169" t="s">
        <v>222</v>
      </c>
      <c r="D40" s="169" t="s">
        <v>381</v>
      </c>
      <c r="E40" s="169" t="s">
        <v>382</v>
      </c>
      <c r="F40" s="169" t="s">
        <v>389</v>
      </c>
      <c r="G40" s="170" t="s">
        <v>390</v>
      </c>
      <c r="H40" s="171" t="s">
        <v>229</v>
      </c>
      <c r="I40" s="171"/>
    </row>
    <row r="41" spans="2:9" x14ac:dyDescent="0.3">
      <c r="B41" s="169" t="s">
        <v>380</v>
      </c>
      <c r="C41" s="169" t="s">
        <v>222</v>
      </c>
      <c r="D41" s="169" t="s">
        <v>381</v>
      </c>
      <c r="E41" s="169" t="s">
        <v>382</v>
      </c>
      <c r="F41" s="169" t="s">
        <v>391</v>
      </c>
      <c r="G41" s="170" t="s">
        <v>392</v>
      </c>
      <c r="H41" s="171" t="s">
        <v>230</v>
      </c>
      <c r="I41" s="171"/>
    </row>
    <row r="42" spans="2:9" x14ac:dyDescent="0.3">
      <c r="B42" s="169" t="s">
        <v>380</v>
      </c>
      <c r="C42" s="169" t="s">
        <v>222</v>
      </c>
      <c r="D42" s="169" t="s">
        <v>381</v>
      </c>
      <c r="E42" s="169" t="s">
        <v>382</v>
      </c>
      <c r="F42" s="169" t="s">
        <v>393</v>
      </c>
      <c r="G42" s="170" t="s">
        <v>394</v>
      </c>
      <c r="H42" s="171" t="s">
        <v>231</v>
      </c>
      <c r="I42" s="171"/>
    </row>
    <row r="43" spans="2:9" x14ac:dyDescent="0.3">
      <c r="B43" s="169" t="s">
        <v>380</v>
      </c>
      <c r="C43" s="169" t="s">
        <v>222</v>
      </c>
      <c r="D43" s="169" t="s">
        <v>381</v>
      </c>
      <c r="E43" s="169" t="s">
        <v>382</v>
      </c>
      <c r="F43" s="169" t="s">
        <v>395</v>
      </c>
      <c r="G43" s="170" t="s">
        <v>396</v>
      </c>
      <c r="H43" s="171" t="s">
        <v>232</v>
      </c>
      <c r="I43" s="171"/>
    </row>
    <row r="44" spans="2:9" x14ac:dyDescent="0.3">
      <c r="B44" s="169" t="s">
        <v>380</v>
      </c>
      <c r="C44" s="169" t="s">
        <v>222</v>
      </c>
      <c r="D44" s="169" t="s">
        <v>381</v>
      </c>
      <c r="E44" s="169" t="s">
        <v>382</v>
      </c>
      <c r="F44" s="169" t="s">
        <v>397</v>
      </c>
      <c r="G44" s="170" t="s">
        <v>398</v>
      </c>
      <c r="H44" s="171" t="s">
        <v>233</v>
      </c>
      <c r="I44" s="171"/>
    </row>
    <row r="45" spans="2:9" x14ac:dyDescent="0.3">
      <c r="B45" s="169" t="s">
        <v>380</v>
      </c>
      <c r="C45" s="169" t="s">
        <v>222</v>
      </c>
      <c r="D45" s="169" t="s">
        <v>381</v>
      </c>
      <c r="E45" s="169" t="s">
        <v>382</v>
      </c>
      <c r="F45" s="169" t="s">
        <v>399</v>
      </c>
      <c r="G45" s="170" t="s">
        <v>217</v>
      </c>
      <c r="H45" s="171" t="s">
        <v>234</v>
      </c>
      <c r="I45" s="171"/>
    </row>
    <row r="46" spans="2:9" x14ac:dyDescent="0.3">
      <c r="B46" s="169" t="s">
        <v>380</v>
      </c>
      <c r="C46" s="169" t="s">
        <v>222</v>
      </c>
      <c r="D46" s="169" t="s">
        <v>381</v>
      </c>
      <c r="E46" s="169" t="s">
        <v>382</v>
      </c>
      <c r="F46" s="169" t="s">
        <v>400</v>
      </c>
      <c r="G46" s="170" t="s">
        <v>401</v>
      </c>
      <c r="H46" s="171" t="s">
        <v>402</v>
      </c>
      <c r="I46" s="171"/>
    </row>
    <row r="47" spans="2:9" x14ac:dyDescent="0.3">
      <c r="B47" s="169" t="s">
        <v>380</v>
      </c>
      <c r="C47" s="169" t="s">
        <v>222</v>
      </c>
      <c r="D47" s="169" t="s">
        <v>381</v>
      </c>
      <c r="E47" s="169" t="s">
        <v>382</v>
      </c>
      <c r="F47" s="169" t="s">
        <v>403</v>
      </c>
      <c r="G47" s="170" t="s">
        <v>404</v>
      </c>
      <c r="H47" s="171" t="s">
        <v>405</v>
      </c>
      <c r="I47" s="171"/>
    </row>
    <row r="48" spans="2:9" x14ac:dyDescent="0.3">
      <c r="B48" s="169" t="s">
        <v>380</v>
      </c>
      <c r="C48" s="169" t="s">
        <v>222</v>
      </c>
      <c r="D48" s="169" t="s">
        <v>406</v>
      </c>
      <c r="E48" s="169" t="s">
        <v>407</v>
      </c>
      <c r="F48" s="169" t="s">
        <v>408</v>
      </c>
      <c r="G48" s="170" t="s">
        <v>384</v>
      </c>
      <c r="H48" s="171" t="s">
        <v>236</v>
      </c>
      <c r="I48" s="171"/>
    </row>
    <row r="49" spans="2:9" x14ac:dyDescent="0.3">
      <c r="B49" s="169" t="s">
        <v>380</v>
      </c>
      <c r="C49" s="169" t="s">
        <v>222</v>
      </c>
      <c r="D49" s="169" t="s">
        <v>406</v>
      </c>
      <c r="E49" s="169" t="s">
        <v>407</v>
      </c>
      <c r="F49" s="169" t="s">
        <v>409</v>
      </c>
      <c r="G49" s="170" t="s">
        <v>386</v>
      </c>
      <c r="H49" s="171" t="s">
        <v>238</v>
      </c>
      <c r="I49" s="171"/>
    </row>
    <row r="50" spans="2:9" x14ac:dyDescent="0.3">
      <c r="B50" s="169" t="s">
        <v>380</v>
      </c>
      <c r="C50" s="169" t="s">
        <v>222</v>
      </c>
      <c r="D50" s="169" t="s">
        <v>406</v>
      </c>
      <c r="E50" s="169" t="s">
        <v>407</v>
      </c>
      <c r="F50" s="169" t="s">
        <v>410</v>
      </c>
      <c r="G50" s="170" t="s">
        <v>388</v>
      </c>
      <c r="H50" s="171" t="s">
        <v>239</v>
      </c>
      <c r="I50" s="171"/>
    </row>
    <row r="51" spans="2:9" x14ac:dyDescent="0.3">
      <c r="B51" s="169" t="s">
        <v>380</v>
      </c>
      <c r="C51" s="169" t="s">
        <v>222</v>
      </c>
      <c r="D51" s="169" t="s">
        <v>406</v>
      </c>
      <c r="E51" s="169" t="s">
        <v>407</v>
      </c>
      <c r="F51" s="169" t="s">
        <v>411</v>
      </c>
      <c r="G51" s="170" t="s">
        <v>390</v>
      </c>
      <c r="H51" s="171" t="s">
        <v>240</v>
      </c>
      <c r="I51" s="171"/>
    </row>
    <row r="52" spans="2:9" x14ac:dyDescent="0.3">
      <c r="B52" s="169" t="s">
        <v>380</v>
      </c>
      <c r="C52" s="169" t="s">
        <v>222</v>
      </c>
      <c r="D52" s="169" t="s">
        <v>406</v>
      </c>
      <c r="E52" s="169" t="s">
        <v>407</v>
      </c>
      <c r="F52" s="169" t="s">
        <v>412</v>
      </c>
      <c r="G52" s="170" t="s">
        <v>392</v>
      </c>
      <c r="H52" s="171" t="s">
        <v>241</v>
      </c>
      <c r="I52" s="171"/>
    </row>
    <row r="53" spans="2:9" x14ac:dyDescent="0.3">
      <c r="B53" s="169" t="s">
        <v>380</v>
      </c>
      <c r="C53" s="169" t="s">
        <v>222</v>
      </c>
      <c r="D53" s="169" t="s">
        <v>406</v>
      </c>
      <c r="E53" s="169" t="s">
        <v>407</v>
      </c>
      <c r="F53" s="169" t="s">
        <v>413</v>
      </c>
      <c r="G53" s="170" t="s">
        <v>394</v>
      </c>
      <c r="H53" s="171" t="s">
        <v>242</v>
      </c>
      <c r="I53" s="171"/>
    </row>
    <row r="54" spans="2:9" x14ac:dyDescent="0.3">
      <c r="B54" s="169" t="s">
        <v>380</v>
      </c>
      <c r="C54" s="169" t="s">
        <v>222</v>
      </c>
      <c r="D54" s="169" t="s">
        <v>406</v>
      </c>
      <c r="E54" s="169" t="s">
        <v>407</v>
      </c>
      <c r="F54" s="169" t="s">
        <v>414</v>
      </c>
      <c r="G54" s="170" t="s">
        <v>396</v>
      </c>
      <c r="H54" s="171" t="s">
        <v>243</v>
      </c>
      <c r="I54" s="171"/>
    </row>
    <row r="55" spans="2:9" x14ac:dyDescent="0.3">
      <c r="B55" s="169" t="s">
        <v>380</v>
      </c>
      <c r="C55" s="169" t="s">
        <v>222</v>
      </c>
      <c r="D55" s="169" t="s">
        <v>406</v>
      </c>
      <c r="E55" s="169" t="s">
        <v>407</v>
      </c>
      <c r="F55" s="169" t="s">
        <v>415</v>
      </c>
      <c r="G55" s="170" t="s">
        <v>398</v>
      </c>
      <c r="H55" s="171" t="s">
        <v>244</v>
      </c>
      <c r="I55" s="171"/>
    </row>
    <row r="56" spans="2:9" x14ac:dyDescent="0.3">
      <c r="B56" s="169" t="s">
        <v>380</v>
      </c>
      <c r="C56" s="169" t="s">
        <v>222</v>
      </c>
      <c r="D56" s="169" t="s">
        <v>406</v>
      </c>
      <c r="E56" s="169" t="s">
        <v>407</v>
      </c>
      <c r="F56" s="169" t="s">
        <v>416</v>
      </c>
      <c r="G56" s="170" t="s">
        <v>217</v>
      </c>
      <c r="H56" s="171" t="s">
        <v>245</v>
      </c>
      <c r="I56" s="171"/>
    </row>
    <row r="57" spans="2:9" x14ac:dyDescent="0.3">
      <c r="B57" s="169" t="s">
        <v>380</v>
      </c>
      <c r="C57" s="169" t="s">
        <v>222</v>
      </c>
      <c r="D57" s="169" t="s">
        <v>406</v>
      </c>
      <c r="E57" s="169" t="s">
        <v>407</v>
      </c>
      <c r="F57" s="169" t="s">
        <v>417</v>
      </c>
      <c r="G57" s="170" t="s">
        <v>401</v>
      </c>
      <c r="H57" s="171" t="s">
        <v>418</v>
      </c>
      <c r="I57" s="171"/>
    </row>
    <row r="58" spans="2:9" x14ac:dyDescent="0.3">
      <c r="B58" s="169" t="s">
        <v>380</v>
      </c>
      <c r="C58" s="169" t="s">
        <v>222</v>
      </c>
      <c r="D58" s="169" t="s">
        <v>406</v>
      </c>
      <c r="E58" s="169" t="s">
        <v>407</v>
      </c>
      <c r="F58" s="169" t="s">
        <v>419</v>
      </c>
      <c r="G58" s="170" t="s">
        <v>404</v>
      </c>
      <c r="H58" s="171" t="s">
        <v>246</v>
      </c>
      <c r="I58" s="171"/>
    </row>
    <row r="59" spans="2:9" x14ac:dyDescent="0.3">
      <c r="B59" s="169" t="s">
        <v>380</v>
      </c>
      <c r="C59" s="169" t="s">
        <v>222</v>
      </c>
      <c r="D59" s="169" t="s">
        <v>420</v>
      </c>
      <c r="E59" s="169" t="s">
        <v>421</v>
      </c>
      <c r="F59" s="169" t="s">
        <v>422</v>
      </c>
      <c r="G59" s="170" t="s">
        <v>296</v>
      </c>
      <c r="H59" s="171" t="s">
        <v>223</v>
      </c>
      <c r="I59" s="171"/>
    </row>
    <row r="60" spans="2:9" x14ac:dyDescent="0.3">
      <c r="B60" s="169" t="s">
        <v>380</v>
      </c>
      <c r="C60" s="169" t="s">
        <v>222</v>
      </c>
      <c r="D60" s="169" t="s">
        <v>423</v>
      </c>
      <c r="E60" s="169" t="s">
        <v>224</v>
      </c>
      <c r="F60" s="169" t="s">
        <v>424</v>
      </c>
      <c r="G60" s="170" t="s">
        <v>296</v>
      </c>
      <c r="H60" s="171" t="s">
        <v>224</v>
      </c>
      <c r="I60" s="171"/>
    </row>
    <row r="61" spans="2:9" x14ac:dyDescent="0.3">
      <c r="B61" s="169" t="s">
        <v>380</v>
      </c>
      <c r="C61" s="169" t="s">
        <v>222</v>
      </c>
      <c r="D61" s="169" t="s">
        <v>425</v>
      </c>
      <c r="E61" s="169" t="s">
        <v>57</v>
      </c>
      <c r="F61" s="169" t="s">
        <v>426</v>
      </c>
      <c r="G61" s="170" t="s">
        <v>296</v>
      </c>
      <c r="H61" s="171" t="s">
        <v>223</v>
      </c>
      <c r="I61" s="171"/>
    </row>
    <row r="62" spans="2:9" x14ac:dyDescent="0.3">
      <c r="B62" s="172" t="s">
        <v>427</v>
      </c>
      <c r="C62" s="174" t="s">
        <v>428</v>
      </c>
      <c r="D62" s="172" t="s">
        <v>429</v>
      </c>
      <c r="E62" s="174" t="s">
        <v>292</v>
      </c>
      <c r="F62" s="172" t="s">
        <v>430</v>
      </c>
      <c r="G62" s="175" t="s">
        <v>294</v>
      </c>
      <c r="H62" s="171" t="s">
        <v>431</v>
      </c>
      <c r="I62" s="171"/>
    </row>
    <row r="63" spans="2:9" x14ac:dyDescent="0.3">
      <c r="B63" s="172" t="s">
        <v>427</v>
      </c>
      <c r="C63" s="174" t="s">
        <v>428</v>
      </c>
      <c r="D63" s="172" t="s">
        <v>429</v>
      </c>
      <c r="E63" s="174" t="s">
        <v>292</v>
      </c>
      <c r="F63" s="172" t="s">
        <v>432</v>
      </c>
      <c r="G63" s="174" t="s">
        <v>299</v>
      </c>
      <c r="H63" s="171" t="s">
        <v>431</v>
      </c>
      <c r="I63" s="171"/>
    </row>
    <row r="64" spans="2:9" x14ac:dyDescent="0.3">
      <c r="B64" s="172" t="s">
        <v>427</v>
      </c>
      <c r="C64" s="174" t="s">
        <v>428</v>
      </c>
      <c r="D64" s="172" t="s">
        <v>429</v>
      </c>
      <c r="E64" s="174" t="s">
        <v>292</v>
      </c>
      <c r="F64" s="172" t="s">
        <v>433</v>
      </c>
      <c r="G64" s="175" t="s">
        <v>302</v>
      </c>
      <c r="H64" s="171" t="s">
        <v>431</v>
      </c>
      <c r="I64" s="171"/>
    </row>
    <row r="65" spans="2:10" x14ac:dyDescent="0.3">
      <c r="B65" s="172" t="s">
        <v>427</v>
      </c>
      <c r="C65" s="174" t="s">
        <v>428</v>
      </c>
      <c r="D65" s="172" t="s">
        <v>429</v>
      </c>
      <c r="E65" s="174" t="s">
        <v>292</v>
      </c>
      <c r="F65" s="172" t="s">
        <v>434</v>
      </c>
      <c r="G65" s="174" t="s">
        <v>305</v>
      </c>
      <c r="H65" s="171" t="s">
        <v>431</v>
      </c>
      <c r="I65" s="171"/>
    </row>
    <row r="66" spans="2:10" x14ac:dyDescent="0.3">
      <c r="B66" s="172" t="s">
        <v>427</v>
      </c>
      <c r="C66" s="174" t="s">
        <v>428</v>
      </c>
      <c r="D66" s="172" t="s">
        <v>429</v>
      </c>
      <c r="E66" s="174" t="s">
        <v>292</v>
      </c>
      <c r="F66" s="172" t="s">
        <v>435</v>
      </c>
      <c r="G66" s="175" t="s">
        <v>308</v>
      </c>
      <c r="H66" s="171" t="s">
        <v>431</v>
      </c>
      <c r="I66" s="171"/>
    </row>
    <row r="67" spans="2:10" x14ac:dyDescent="0.3">
      <c r="B67" s="172" t="s">
        <v>427</v>
      </c>
      <c r="C67" s="174" t="s">
        <v>428</v>
      </c>
      <c r="D67" s="172" t="s">
        <v>429</v>
      </c>
      <c r="E67" s="174" t="s">
        <v>292</v>
      </c>
      <c r="F67" s="172" t="s">
        <v>436</v>
      </c>
      <c r="G67" s="174" t="s">
        <v>311</v>
      </c>
      <c r="H67" s="171" t="s">
        <v>431</v>
      </c>
      <c r="I67" s="171"/>
    </row>
    <row r="68" spans="2:10" x14ac:dyDescent="0.3">
      <c r="B68" s="172" t="s">
        <v>427</v>
      </c>
      <c r="C68" s="174" t="s">
        <v>428</v>
      </c>
      <c r="D68" s="172" t="s">
        <v>429</v>
      </c>
      <c r="E68" s="174" t="s">
        <v>292</v>
      </c>
      <c r="F68" s="172" t="s">
        <v>437</v>
      </c>
      <c r="G68" s="175" t="s">
        <v>57</v>
      </c>
      <c r="H68" s="171" t="s">
        <v>431</v>
      </c>
      <c r="I68" s="171"/>
    </row>
    <row r="69" spans="2:10" x14ac:dyDescent="0.3">
      <c r="B69" s="169" t="s">
        <v>438</v>
      </c>
      <c r="C69" s="174" t="s">
        <v>247</v>
      </c>
      <c r="D69" s="169" t="s">
        <v>439</v>
      </c>
      <c r="E69" s="174" t="s">
        <v>440</v>
      </c>
      <c r="F69" s="169" t="s">
        <v>441</v>
      </c>
      <c r="G69" s="176" t="s">
        <v>442</v>
      </c>
      <c r="H69" s="171" t="s">
        <v>247</v>
      </c>
      <c r="I69" s="171" t="s">
        <v>223</v>
      </c>
      <c r="J69" s="26"/>
    </row>
    <row r="70" spans="2:10" x14ac:dyDescent="0.3">
      <c r="B70" s="169" t="s">
        <v>438</v>
      </c>
      <c r="C70" s="174" t="s">
        <v>247</v>
      </c>
      <c r="D70" s="169" t="s">
        <v>439</v>
      </c>
      <c r="E70" s="174" t="s">
        <v>440</v>
      </c>
      <c r="F70" s="169" t="s">
        <v>443</v>
      </c>
      <c r="G70" s="177" t="s">
        <v>444</v>
      </c>
      <c r="H70" s="171" t="s">
        <v>247</v>
      </c>
      <c r="I70" s="171" t="s">
        <v>223</v>
      </c>
      <c r="J70" s="26"/>
    </row>
    <row r="71" spans="2:10" x14ac:dyDescent="0.3">
      <c r="B71" s="169" t="s">
        <v>438</v>
      </c>
      <c r="C71" s="174" t="s">
        <v>247</v>
      </c>
      <c r="D71" s="169" t="s">
        <v>439</v>
      </c>
      <c r="E71" s="176" t="s">
        <v>440</v>
      </c>
      <c r="F71" s="169" t="s">
        <v>445</v>
      </c>
      <c r="G71" s="178" t="s">
        <v>321</v>
      </c>
      <c r="H71" s="171" t="s">
        <v>247</v>
      </c>
      <c r="I71" s="171" t="s">
        <v>223</v>
      </c>
      <c r="J71" s="26"/>
    </row>
    <row r="72" spans="2:10" x14ac:dyDescent="0.3">
      <c r="B72" s="169" t="s">
        <v>438</v>
      </c>
      <c r="C72" s="174" t="s">
        <v>247</v>
      </c>
      <c r="D72" s="169" t="s">
        <v>439</v>
      </c>
      <c r="E72" s="176" t="s">
        <v>440</v>
      </c>
      <c r="F72" s="169" t="s">
        <v>446</v>
      </c>
      <c r="G72" s="178" t="s">
        <v>57</v>
      </c>
      <c r="H72" s="171" t="s">
        <v>247</v>
      </c>
      <c r="I72" s="171" t="s">
        <v>223</v>
      </c>
      <c r="J72" s="26"/>
    </row>
    <row r="73" spans="2:10" x14ac:dyDescent="0.3">
      <c r="B73" s="169" t="s">
        <v>438</v>
      </c>
      <c r="C73" s="174" t="s">
        <v>247</v>
      </c>
      <c r="D73" s="169" t="s">
        <v>447</v>
      </c>
      <c r="E73" s="174" t="s">
        <v>382</v>
      </c>
      <c r="F73" s="169" t="s">
        <v>448</v>
      </c>
      <c r="G73" s="179" t="s">
        <v>401</v>
      </c>
      <c r="H73" s="171" t="s">
        <v>247</v>
      </c>
      <c r="I73" s="171" t="s">
        <v>402</v>
      </c>
      <c r="J73" s="26"/>
    </row>
    <row r="74" spans="2:10" x14ac:dyDescent="0.3">
      <c r="B74" s="169" t="s">
        <v>438</v>
      </c>
      <c r="C74" s="174" t="s">
        <v>247</v>
      </c>
      <c r="D74" s="169" t="s">
        <v>449</v>
      </c>
      <c r="E74" s="174" t="s">
        <v>407</v>
      </c>
      <c r="F74" s="169" t="s">
        <v>450</v>
      </c>
      <c r="G74" s="176" t="s">
        <v>401</v>
      </c>
      <c r="H74" s="171" t="s">
        <v>247</v>
      </c>
      <c r="I74" s="171" t="s">
        <v>418</v>
      </c>
      <c r="J74" s="26"/>
    </row>
    <row r="75" spans="2:10" x14ac:dyDescent="0.3">
      <c r="B75" s="169" t="s">
        <v>438</v>
      </c>
      <c r="C75" s="174" t="s">
        <v>247</v>
      </c>
      <c r="D75" s="169" t="s">
        <v>451</v>
      </c>
      <c r="E75" s="174" t="s">
        <v>452</v>
      </c>
      <c r="F75" s="169" t="s">
        <v>453</v>
      </c>
      <c r="G75" s="170" t="s">
        <v>454</v>
      </c>
      <c r="H75" s="171" t="s">
        <v>247</v>
      </c>
      <c r="I75" s="171" t="s">
        <v>229</v>
      </c>
      <c r="J75" s="26"/>
    </row>
    <row r="76" spans="2:10" x14ac:dyDescent="0.3">
      <c r="B76" s="169" t="s">
        <v>438</v>
      </c>
      <c r="C76" s="174" t="s">
        <v>247</v>
      </c>
      <c r="D76" s="169" t="s">
        <v>451</v>
      </c>
      <c r="E76" s="174" t="s">
        <v>452</v>
      </c>
      <c r="F76" s="169" t="s">
        <v>455</v>
      </c>
      <c r="G76" s="170" t="s">
        <v>456</v>
      </c>
      <c r="H76" s="171" t="s">
        <v>247</v>
      </c>
      <c r="I76" s="171" t="s">
        <v>230</v>
      </c>
      <c r="J76" s="26"/>
    </row>
    <row r="77" spans="2:10" x14ac:dyDescent="0.3">
      <c r="B77" s="169" t="s">
        <v>438</v>
      </c>
      <c r="C77" s="174" t="s">
        <v>247</v>
      </c>
      <c r="D77" s="169" t="s">
        <v>451</v>
      </c>
      <c r="E77" s="174" t="s">
        <v>452</v>
      </c>
      <c r="F77" s="169" t="s">
        <v>457</v>
      </c>
      <c r="G77" s="170" t="s">
        <v>458</v>
      </c>
      <c r="H77" s="171" t="s">
        <v>247</v>
      </c>
      <c r="I77" s="171" t="s">
        <v>231</v>
      </c>
      <c r="J77" s="26"/>
    </row>
    <row r="78" spans="2:10" x14ac:dyDescent="0.3">
      <c r="B78" s="169" t="s">
        <v>438</v>
      </c>
      <c r="C78" s="174" t="s">
        <v>247</v>
      </c>
      <c r="D78" s="169" t="s">
        <v>451</v>
      </c>
      <c r="E78" s="174" t="s">
        <v>452</v>
      </c>
      <c r="F78" s="169" t="s">
        <v>459</v>
      </c>
      <c r="G78" s="170" t="s">
        <v>460</v>
      </c>
      <c r="H78" s="171" t="s">
        <v>247</v>
      </c>
      <c r="I78" s="171" t="s">
        <v>227</v>
      </c>
      <c r="J78" s="26"/>
    </row>
    <row r="79" spans="2:10" x14ac:dyDescent="0.3">
      <c r="B79" s="169" t="s">
        <v>438</v>
      </c>
      <c r="C79" s="174" t="s">
        <v>247</v>
      </c>
      <c r="D79" s="169" t="s">
        <v>451</v>
      </c>
      <c r="E79" s="174" t="s">
        <v>452</v>
      </c>
      <c r="F79" s="169" t="s">
        <v>461</v>
      </c>
      <c r="G79" s="170" t="s">
        <v>462</v>
      </c>
      <c r="H79" s="171" t="s">
        <v>247</v>
      </c>
      <c r="I79" s="171" t="s">
        <v>234</v>
      </c>
      <c r="J79" s="26"/>
    </row>
    <row r="80" spans="2:10" x14ac:dyDescent="0.3">
      <c r="B80" s="169" t="s">
        <v>438</v>
      </c>
      <c r="C80" s="174" t="s">
        <v>247</v>
      </c>
      <c r="D80" s="169" t="s">
        <v>451</v>
      </c>
      <c r="E80" s="174" t="s">
        <v>452</v>
      </c>
      <c r="F80" s="169" t="s">
        <v>463</v>
      </c>
      <c r="G80" s="176" t="s">
        <v>464</v>
      </c>
      <c r="H80" s="171" t="s">
        <v>247</v>
      </c>
      <c r="I80" s="171" t="s">
        <v>465</v>
      </c>
      <c r="J80" s="26"/>
    </row>
    <row r="81" spans="2:10" x14ac:dyDescent="0.3">
      <c r="B81" s="169" t="s">
        <v>438</v>
      </c>
      <c r="C81" s="174" t="s">
        <v>247</v>
      </c>
      <c r="D81" s="169" t="s">
        <v>451</v>
      </c>
      <c r="E81" s="175" t="s">
        <v>452</v>
      </c>
      <c r="F81" s="169" t="s">
        <v>466</v>
      </c>
      <c r="G81" s="177" t="s">
        <v>467</v>
      </c>
      <c r="H81" s="171" t="s">
        <v>247</v>
      </c>
      <c r="I81" s="171" t="s">
        <v>468</v>
      </c>
      <c r="J81" s="26"/>
    </row>
    <row r="82" spans="2:10" x14ac:dyDescent="0.3">
      <c r="B82" s="169" t="s">
        <v>438</v>
      </c>
      <c r="C82" s="174" t="s">
        <v>247</v>
      </c>
      <c r="D82" s="169" t="s">
        <v>451</v>
      </c>
      <c r="E82" s="175" t="s">
        <v>452</v>
      </c>
      <c r="F82" s="169" t="s">
        <v>469</v>
      </c>
      <c r="G82" s="177" t="s">
        <v>470</v>
      </c>
      <c r="H82" s="171" t="s">
        <v>247</v>
      </c>
      <c r="I82" s="171" t="s">
        <v>471</v>
      </c>
      <c r="J82" s="26"/>
    </row>
    <row r="83" spans="2:10" x14ac:dyDescent="0.3">
      <c r="B83" s="169" t="s">
        <v>438</v>
      </c>
      <c r="C83" s="174" t="s">
        <v>247</v>
      </c>
      <c r="D83" s="169" t="s">
        <v>451</v>
      </c>
      <c r="E83" s="175" t="s">
        <v>452</v>
      </c>
      <c r="F83" s="169" t="s">
        <v>472</v>
      </c>
      <c r="G83" s="177" t="s">
        <v>473</v>
      </c>
      <c r="H83" s="171" t="s">
        <v>247</v>
      </c>
      <c r="I83" s="171" t="s">
        <v>474</v>
      </c>
      <c r="J83" s="26"/>
    </row>
    <row r="84" spans="2:10" x14ac:dyDescent="0.3">
      <c r="B84" s="169" t="s">
        <v>438</v>
      </c>
      <c r="C84" s="174" t="s">
        <v>247</v>
      </c>
      <c r="D84" s="169" t="s">
        <v>451</v>
      </c>
      <c r="E84" s="175" t="s">
        <v>452</v>
      </c>
      <c r="F84" s="169" t="s">
        <v>475</v>
      </c>
      <c r="G84" s="177" t="s">
        <v>476</v>
      </c>
      <c r="H84" s="171" t="s">
        <v>247</v>
      </c>
      <c r="I84" s="171" t="s">
        <v>235</v>
      </c>
      <c r="J84" s="26"/>
    </row>
    <row r="85" spans="2:10" x14ac:dyDescent="0.3">
      <c r="B85" s="169" t="s">
        <v>438</v>
      </c>
      <c r="C85" s="174" t="s">
        <v>247</v>
      </c>
      <c r="D85" s="169" t="s">
        <v>451</v>
      </c>
      <c r="E85" s="175" t="s">
        <v>452</v>
      </c>
      <c r="F85" s="169" t="s">
        <v>477</v>
      </c>
      <c r="G85" s="177" t="s">
        <v>478</v>
      </c>
      <c r="H85" s="171" t="s">
        <v>247</v>
      </c>
      <c r="I85" s="171" t="s">
        <v>418</v>
      </c>
      <c r="J85" s="26"/>
    </row>
    <row r="86" spans="2:10" x14ac:dyDescent="0.3">
      <c r="B86" s="169" t="s">
        <v>438</v>
      </c>
      <c r="C86" s="174" t="s">
        <v>247</v>
      </c>
      <c r="D86" s="169" t="s">
        <v>451</v>
      </c>
      <c r="E86" s="174" t="s">
        <v>452</v>
      </c>
      <c r="F86" s="169" t="s">
        <v>479</v>
      </c>
      <c r="G86" s="176" t="s">
        <v>57</v>
      </c>
      <c r="H86" s="171" t="s">
        <v>247</v>
      </c>
      <c r="I86" s="171" t="s">
        <v>235</v>
      </c>
      <c r="J86" s="26"/>
    </row>
    <row r="87" spans="2:10" x14ac:dyDescent="0.3">
      <c r="B87" s="169" t="s">
        <v>438</v>
      </c>
      <c r="C87" s="174" t="s">
        <v>247</v>
      </c>
      <c r="D87" s="169" t="s">
        <v>480</v>
      </c>
      <c r="E87" s="169" t="s">
        <v>421</v>
      </c>
      <c r="F87" s="169" t="s">
        <v>481</v>
      </c>
      <c r="G87" s="176" t="s">
        <v>296</v>
      </c>
      <c r="H87" s="171" t="s">
        <v>247</v>
      </c>
      <c r="I87" s="171" t="s">
        <v>223</v>
      </c>
      <c r="J87" s="26"/>
    </row>
    <row r="88" spans="2:10" x14ac:dyDescent="0.3">
      <c r="B88" s="169" t="s">
        <v>438</v>
      </c>
      <c r="C88" s="174" t="s">
        <v>247</v>
      </c>
      <c r="D88" s="169" t="s">
        <v>482</v>
      </c>
      <c r="E88" s="174" t="s">
        <v>483</v>
      </c>
      <c r="F88" s="169" t="s">
        <v>484</v>
      </c>
      <c r="G88" s="176" t="s">
        <v>296</v>
      </c>
      <c r="H88" s="171" t="s">
        <v>247</v>
      </c>
      <c r="I88" s="171" t="s">
        <v>223</v>
      </c>
      <c r="J88" s="26"/>
    </row>
    <row r="89" spans="2:10" x14ac:dyDescent="0.3">
      <c r="B89" s="169" t="s">
        <v>438</v>
      </c>
      <c r="C89" s="174" t="s">
        <v>247</v>
      </c>
      <c r="D89" s="169" t="s">
        <v>485</v>
      </c>
      <c r="E89" s="174" t="s">
        <v>341</v>
      </c>
      <c r="F89" s="169" t="s">
        <v>486</v>
      </c>
      <c r="G89" s="176" t="s">
        <v>343</v>
      </c>
      <c r="H89" s="171" t="s">
        <v>247</v>
      </c>
      <c r="I89" s="171" t="s">
        <v>223</v>
      </c>
      <c r="J89" s="26"/>
    </row>
    <row r="90" spans="2:10" x14ac:dyDescent="0.3">
      <c r="B90" s="169" t="s">
        <v>438</v>
      </c>
      <c r="C90" s="174" t="s">
        <v>247</v>
      </c>
      <c r="D90" s="169" t="s">
        <v>485</v>
      </c>
      <c r="E90" s="174" t="s">
        <v>341</v>
      </c>
      <c r="F90" s="169" t="s">
        <v>487</v>
      </c>
      <c r="G90" s="176" t="s">
        <v>488</v>
      </c>
      <c r="H90" s="171" t="s">
        <v>247</v>
      </c>
      <c r="I90" s="171" t="s">
        <v>223</v>
      </c>
      <c r="J90" s="26"/>
    </row>
    <row r="91" spans="2:10" x14ac:dyDescent="0.3">
      <c r="B91" s="169" t="s">
        <v>438</v>
      </c>
      <c r="C91" s="174" t="s">
        <v>247</v>
      </c>
      <c r="D91" s="169" t="s">
        <v>485</v>
      </c>
      <c r="E91" s="174" t="s">
        <v>341</v>
      </c>
      <c r="F91" s="169" t="s">
        <v>489</v>
      </c>
      <c r="G91" s="176" t="s">
        <v>490</v>
      </c>
      <c r="H91" s="171" t="s">
        <v>247</v>
      </c>
      <c r="I91" s="171" t="s">
        <v>223</v>
      </c>
      <c r="J91" s="26"/>
    </row>
    <row r="92" spans="2:10" x14ac:dyDescent="0.3">
      <c r="B92" s="169" t="s">
        <v>438</v>
      </c>
      <c r="C92" s="174" t="s">
        <v>247</v>
      </c>
      <c r="D92" s="169" t="s">
        <v>485</v>
      </c>
      <c r="E92" s="174" t="s">
        <v>341</v>
      </c>
      <c r="F92" s="169" t="s">
        <v>491</v>
      </c>
      <c r="G92" s="176" t="s">
        <v>57</v>
      </c>
      <c r="H92" s="171" t="s">
        <v>247</v>
      </c>
      <c r="I92" s="171" t="s">
        <v>223</v>
      </c>
      <c r="J92" s="26"/>
    </row>
    <row r="93" spans="2:10" x14ac:dyDescent="0.3">
      <c r="B93" s="169" t="s">
        <v>438</v>
      </c>
      <c r="C93" s="174" t="s">
        <v>247</v>
      </c>
      <c r="D93" s="169" t="s">
        <v>492</v>
      </c>
      <c r="E93" s="174" t="s">
        <v>57</v>
      </c>
      <c r="F93" s="169" t="s">
        <v>493</v>
      </c>
      <c r="G93" s="176" t="s">
        <v>296</v>
      </c>
      <c r="H93" s="171" t="s">
        <v>247</v>
      </c>
      <c r="I93" s="171" t="s">
        <v>223</v>
      </c>
      <c r="J93" s="26"/>
    </row>
    <row r="94" spans="2:10" x14ac:dyDescent="0.3">
      <c r="B94" s="169" t="s">
        <v>494</v>
      </c>
      <c r="C94" s="169" t="s">
        <v>160</v>
      </c>
      <c r="D94" s="169" t="s">
        <v>495</v>
      </c>
      <c r="E94" s="169" t="s">
        <v>161</v>
      </c>
      <c r="F94" s="169" t="s">
        <v>496</v>
      </c>
      <c r="G94" s="170" t="s">
        <v>296</v>
      </c>
      <c r="H94" s="171" t="s">
        <v>161</v>
      </c>
      <c r="I94" s="171"/>
    </row>
    <row r="95" spans="2:10" x14ac:dyDescent="0.3">
      <c r="B95" s="169" t="s">
        <v>494</v>
      </c>
      <c r="C95" s="169" t="s">
        <v>160</v>
      </c>
      <c r="D95" s="169" t="s">
        <v>497</v>
      </c>
      <c r="E95" s="169" t="s">
        <v>162</v>
      </c>
      <c r="F95" s="169" t="s">
        <v>498</v>
      </c>
      <c r="G95" s="170" t="s">
        <v>296</v>
      </c>
      <c r="H95" s="171" t="s">
        <v>162</v>
      </c>
      <c r="I95" s="171"/>
    </row>
    <row r="96" spans="2:10" x14ac:dyDescent="0.3">
      <c r="B96" s="169" t="s">
        <v>494</v>
      </c>
      <c r="C96" s="169" t="s">
        <v>160</v>
      </c>
      <c r="D96" s="169" t="s">
        <v>499</v>
      </c>
      <c r="E96" s="169" t="s">
        <v>500</v>
      </c>
      <c r="F96" s="169" t="s">
        <v>501</v>
      </c>
      <c r="G96" s="170" t="s">
        <v>296</v>
      </c>
      <c r="H96" s="171" t="s">
        <v>163</v>
      </c>
      <c r="I96" s="171"/>
    </row>
    <row r="97" spans="2:9" x14ac:dyDescent="0.3">
      <c r="B97" s="169" t="s">
        <v>494</v>
      </c>
      <c r="C97" s="169" t="s">
        <v>160</v>
      </c>
      <c r="D97" s="169" t="s">
        <v>502</v>
      </c>
      <c r="E97" s="169" t="s">
        <v>503</v>
      </c>
      <c r="F97" s="169" t="s">
        <v>504</v>
      </c>
      <c r="G97" s="170" t="s">
        <v>296</v>
      </c>
      <c r="H97" s="171" t="s">
        <v>163</v>
      </c>
      <c r="I97" s="171"/>
    </row>
    <row r="98" spans="2:9" x14ac:dyDescent="0.3">
      <c r="B98" s="169" t="s">
        <v>505</v>
      </c>
      <c r="C98" s="169" t="s">
        <v>164</v>
      </c>
      <c r="D98" s="169" t="s">
        <v>506</v>
      </c>
      <c r="E98" s="169" t="s">
        <v>507</v>
      </c>
      <c r="F98" s="169" t="s">
        <v>508</v>
      </c>
      <c r="G98" s="170" t="s">
        <v>509</v>
      </c>
      <c r="H98" s="171" t="s">
        <v>165</v>
      </c>
      <c r="I98" s="171"/>
    </row>
    <row r="99" spans="2:9" x14ac:dyDescent="0.3">
      <c r="B99" s="169" t="s">
        <v>505</v>
      </c>
      <c r="C99" s="169" t="s">
        <v>164</v>
      </c>
      <c r="D99" s="169" t="s">
        <v>506</v>
      </c>
      <c r="E99" s="169" t="s">
        <v>507</v>
      </c>
      <c r="F99" s="169" t="s">
        <v>510</v>
      </c>
      <c r="G99" s="170" t="s">
        <v>511</v>
      </c>
      <c r="H99" s="171" t="s">
        <v>165</v>
      </c>
      <c r="I99" s="171"/>
    </row>
    <row r="100" spans="2:9" x14ac:dyDescent="0.3">
      <c r="B100" s="169" t="s">
        <v>505</v>
      </c>
      <c r="C100" s="169" t="s">
        <v>164</v>
      </c>
      <c r="D100" s="169" t="s">
        <v>506</v>
      </c>
      <c r="E100" s="169" t="s">
        <v>507</v>
      </c>
      <c r="F100" s="169" t="s">
        <v>512</v>
      </c>
      <c r="G100" s="170" t="s">
        <v>513</v>
      </c>
      <c r="H100" s="171" t="s">
        <v>166</v>
      </c>
      <c r="I100" s="171"/>
    </row>
    <row r="101" spans="2:9" x14ac:dyDescent="0.3">
      <c r="B101" s="169" t="s">
        <v>505</v>
      </c>
      <c r="C101" s="169" t="s">
        <v>164</v>
      </c>
      <c r="D101" s="169" t="s">
        <v>506</v>
      </c>
      <c r="E101" s="169" t="s">
        <v>507</v>
      </c>
      <c r="F101" s="169" t="s">
        <v>514</v>
      </c>
      <c r="G101" s="170" t="s">
        <v>515</v>
      </c>
      <c r="H101" s="171" t="s">
        <v>165</v>
      </c>
      <c r="I101" s="171"/>
    </row>
    <row r="102" spans="2:9" x14ac:dyDescent="0.3">
      <c r="B102" s="169" t="s">
        <v>505</v>
      </c>
      <c r="C102" s="169" t="s">
        <v>164</v>
      </c>
      <c r="D102" s="169" t="s">
        <v>506</v>
      </c>
      <c r="E102" s="169" t="s">
        <v>507</v>
      </c>
      <c r="F102" s="169" t="s">
        <v>516</v>
      </c>
      <c r="G102" s="170" t="s">
        <v>517</v>
      </c>
      <c r="H102" s="171" t="s">
        <v>165</v>
      </c>
      <c r="I102" s="171"/>
    </row>
    <row r="103" spans="2:9" x14ac:dyDescent="0.3">
      <c r="B103" s="169" t="s">
        <v>505</v>
      </c>
      <c r="C103" s="169" t="s">
        <v>164</v>
      </c>
      <c r="D103" s="169" t="s">
        <v>506</v>
      </c>
      <c r="E103" s="169" t="s">
        <v>507</v>
      </c>
      <c r="F103" s="169" t="s">
        <v>518</v>
      </c>
      <c r="G103" s="170" t="s">
        <v>519</v>
      </c>
      <c r="H103" s="171" t="s">
        <v>165</v>
      </c>
      <c r="I103" s="171"/>
    </row>
    <row r="104" spans="2:9" x14ac:dyDescent="0.3">
      <c r="B104" s="169" t="s">
        <v>505</v>
      </c>
      <c r="C104" s="169" t="s">
        <v>164</v>
      </c>
      <c r="D104" s="169" t="s">
        <v>506</v>
      </c>
      <c r="E104" s="169" t="s">
        <v>507</v>
      </c>
      <c r="F104" s="169" t="s">
        <v>520</v>
      </c>
      <c r="G104" s="170" t="s">
        <v>57</v>
      </c>
      <c r="H104" s="171" t="s">
        <v>165</v>
      </c>
      <c r="I104" s="171"/>
    </row>
    <row r="105" spans="2:9" x14ac:dyDescent="0.3">
      <c r="B105" s="169" t="s">
        <v>505</v>
      </c>
      <c r="C105" s="169" t="s">
        <v>164</v>
      </c>
      <c r="D105" s="169" t="s">
        <v>521</v>
      </c>
      <c r="E105" s="169" t="s">
        <v>522</v>
      </c>
      <c r="F105" s="169" t="s">
        <v>523</v>
      </c>
      <c r="G105" s="170" t="s">
        <v>509</v>
      </c>
      <c r="H105" s="171" t="s">
        <v>167</v>
      </c>
      <c r="I105" s="171"/>
    </row>
    <row r="106" spans="2:9" x14ac:dyDescent="0.3">
      <c r="B106" s="169" t="s">
        <v>505</v>
      </c>
      <c r="C106" s="169" t="s">
        <v>164</v>
      </c>
      <c r="D106" s="169" t="s">
        <v>521</v>
      </c>
      <c r="E106" s="169" t="s">
        <v>522</v>
      </c>
      <c r="F106" s="169" t="s">
        <v>524</v>
      </c>
      <c r="G106" s="170" t="s">
        <v>511</v>
      </c>
      <c r="H106" s="171" t="s">
        <v>167</v>
      </c>
      <c r="I106" s="171"/>
    </row>
    <row r="107" spans="2:9" x14ac:dyDescent="0.3">
      <c r="B107" s="169" t="s">
        <v>505</v>
      </c>
      <c r="C107" s="169" t="s">
        <v>164</v>
      </c>
      <c r="D107" s="169" t="s">
        <v>521</v>
      </c>
      <c r="E107" s="169" t="s">
        <v>522</v>
      </c>
      <c r="F107" s="169" t="s">
        <v>525</v>
      </c>
      <c r="G107" s="170" t="s">
        <v>526</v>
      </c>
      <c r="H107" s="171" t="s">
        <v>167</v>
      </c>
      <c r="I107" s="171"/>
    </row>
    <row r="108" spans="2:9" x14ac:dyDescent="0.3">
      <c r="B108" s="169" t="s">
        <v>505</v>
      </c>
      <c r="C108" s="169" t="s">
        <v>164</v>
      </c>
      <c r="D108" s="169" t="s">
        <v>521</v>
      </c>
      <c r="E108" s="169" t="s">
        <v>522</v>
      </c>
      <c r="F108" s="169" t="s">
        <v>527</v>
      </c>
      <c r="G108" s="170" t="s">
        <v>528</v>
      </c>
      <c r="H108" s="171" t="s">
        <v>167</v>
      </c>
      <c r="I108" s="171"/>
    </row>
    <row r="109" spans="2:9" x14ac:dyDescent="0.3">
      <c r="B109" s="169" t="s">
        <v>505</v>
      </c>
      <c r="C109" s="169" t="s">
        <v>164</v>
      </c>
      <c r="D109" s="169" t="s">
        <v>521</v>
      </c>
      <c r="E109" s="169" t="s">
        <v>522</v>
      </c>
      <c r="F109" s="169" t="s">
        <v>529</v>
      </c>
      <c r="G109" s="170" t="s">
        <v>530</v>
      </c>
      <c r="H109" s="171" t="s">
        <v>167</v>
      </c>
      <c r="I109" s="171"/>
    </row>
    <row r="110" spans="2:9" x14ac:dyDescent="0.3">
      <c r="B110" s="169" t="s">
        <v>505</v>
      </c>
      <c r="C110" s="169" t="s">
        <v>164</v>
      </c>
      <c r="D110" s="169" t="s">
        <v>521</v>
      </c>
      <c r="E110" s="169" t="s">
        <v>522</v>
      </c>
      <c r="F110" s="169" t="s">
        <v>531</v>
      </c>
      <c r="G110" s="170" t="s">
        <v>532</v>
      </c>
      <c r="H110" s="171" t="s">
        <v>167</v>
      </c>
      <c r="I110" s="171"/>
    </row>
    <row r="111" spans="2:9" x14ac:dyDescent="0.3">
      <c r="B111" s="169" t="s">
        <v>505</v>
      </c>
      <c r="C111" s="169" t="s">
        <v>164</v>
      </c>
      <c r="D111" s="169" t="s">
        <v>521</v>
      </c>
      <c r="E111" s="169" t="s">
        <v>522</v>
      </c>
      <c r="F111" s="169" t="s">
        <v>533</v>
      </c>
      <c r="G111" s="170" t="s">
        <v>534</v>
      </c>
      <c r="H111" s="171" t="s">
        <v>168</v>
      </c>
      <c r="I111" s="171"/>
    </row>
    <row r="112" spans="2:9" x14ac:dyDescent="0.3">
      <c r="B112" s="169" t="s">
        <v>505</v>
      </c>
      <c r="C112" s="169" t="s">
        <v>164</v>
      </c>
      <c r="D112" s="169" t="s">
        <v>521</v>
      </c>
      <c r="E112" s="169" t="s">
        <v>522</v>
      </c>
      <c r="F112" s="169" t="s">
        <v>535</v>
      </c>
      <c r="G112" s="170" t="s">
        <v>536</v>
      </c>
      <c r="H112" s="171" t="s">
        <v>167</v>
      </c>
      <c r="I112" s="171"/>
    </row>
    <row r="113" spans="2:9" x14ac:dyDescent="0.3">
      <c r="B113" s="169" t="s">
        <v>505</v>
      </c>
      <c r="C113" s="169" t="s">
        <v>164</v>
      </c>
      <c r="D113" s="169" t="s">
        <v>521</v>
      </c>
      <c r="E113" s="169" t="s">
        <v>522</v>
      </c>
      <c r="F113" s="169" t="s">
        <v>537</v>
      </c>
      <c r="G113" s="170" t="s">
        <v>57</v>
      </c>
      <c r="H113" s="171" t="s">
        <v>167</v>
      </c>
      <c r="I113" s="171"/>
    </row>
    <row r="114" spans="2:9" x14ac:dyDescent="0.3">
      <c r="B114" s="169" t="s">
        <v>505</v>
      </c>
      <c r="C114" s="169" t="s">
        <v>164</v>
      </c>
      <c r="D114" s="169" t="s">
        <v>538</v>
      </c>
      <c r="E114" s="169" t="s">
        <v>169</v>
      </c>
      <c r="F114" s="169" t="s">
        <v>539</v>
      </c>
      <c r="G114" s="170" t="s">
        <v>509</v>
      </c>
      <c r="H114" s="171" t="s">
        <v>169</v>
      </c>
      <c r="I114" s="171"/>
    </row>
    <row r="115" spans="2:9" x14ac:dyDescent="0.3">
      <c r="B115" s="169" t="s">
        <v>505</v>
      </c>
      <c r="C115" s="169" t="s">
        <v>164</v>
      </c>
      <c r="D115" s="169" t="s">
        <v>538</v>
      </c>
      <c r="E115" s="169" t="s">
        <v>169</v>
      </c>
      <c r="F115" s="169" t="s">
        <v>540</v>
      </c>
      <c r="G115" s="170" t="s">
        <v>511</v>
      </c>
      <c r="H115" s="171" t="s">
        <v>169</v>
      </c>
      <c r="I115" s="171"/>
    </row>
    <row r="116" spans="2:9" x14ac:dyDescent="0.3">
      <c r="B116" s="169" t="s">
        <v>505</v>
      </c>
      <c r="C116" s="169" t="s">
        <v>164</v>
      </c>
      <c r="D116" s="169" t="s">
        <v>538</v>
      </c>
      <c r="E116" s="169" t="s">
        <v>169</v>
      </c>
      <c r="F116" s="169" t="s">
        <v>541</v>
      </c>
      <c r="G116" s="170" t="s">
        <v>542</v>
      </c>
      <c r="H116" s="171" t="s">
        <v>169</v>
      </c>
      <c r="I116" s="171"/>
    </row>
    <row r="117" spans="2:9" x14ac:dyDescent="0.3">
      <c r="B117" s="169" t="s">
        <v>505</v>
      </c>
      <c r="C117" s="169" t="s">
        <v>164</v>
      </c>
      <c r="D117" s="169" t="s">
        <v>538</v>
      </c>
      <c r="E117" s="169" t="s">
        <v>169</v>
      </c>
      <c r="F117" s="169" t="s">
        <v>543</v>
      </c>
      <c r="G117" s="170" t="s">
        <v>534</v>
      </c>
      <c r="H117" s="171" t="s">
        <v>169</v>
      </c>
      <c r="I117" s="171"/>
    </row>
    <row r="118" spans="2:9" x14ac:dyDescent="0.3">
      <c r="B118" s="169" t="s">
        <v>505</v>
      </c>
      <c r="C118" s="169" t="s">
        <v>164</v>
      </c>
      <c r="D118" s="169" t="s">
        <v>538</v>
      </c>
      <c r="E118" s="169" t="s">
        <v>169</v>
      </c>
      <c r="F118" s="169" t="s">
        <v>544</v>
      </c>
      <c r="G118" s="170" t="s">
        <v>545</v>
      </c>
      <c r="H118" s="171" t="s">
        <v>169</v>
      </c>
      <c r="I118" s="171"/>
    </row>
    <row r="119" spans="2:9" x14ac:dyDescent="0.3">
      <c r="B119" s="169" t="s">
        <v>505</v>
      </c>
      <c r="C119" s="169" t="s">
        <v>164</v>
      </c>
      <c r="D119" s="169" t="s">
        <v>538</v>
      </c>
      <c r="E119" s="169" t="s">
        <v>169</v>
      </c>
      <c r="F119" s="169" t="s">
        <v>546</v>
      </c>
      <c r="G119" s="170" t="s">
        <v>532</v>
      </c>
      <c r="H119" s="171" t="s">
        <v>169</v>
      </c>
      <c r="I119" s="171"/>
    </row>
    <row r="120" spans="2:9" x14ac:dyDescent="0.3">
      <c r="B120" s="169" t="s">
        <v>505</v>
      </c>
      <c r="C120" s="169" t="s">
        <v>164</v>
      </c>
      <c r="D120" s="169" t="s">
        <v>538</v>
      </c>
      <c r="E120" s="169" t="s">
        <v>169</v>
      </c>
      <c r="F120" s="169" t="s">
        <v>547</v>
      </c>
      <c r="G120" s="170" t="s">
        <v>548</v>
      </c>
      <c r="H120" s="171" t="s">
        <v>169</v>
      </c>
      <c r="I120" s="171"/>
    </row>
    <row r="121" spans="2:9" x14ac:dyDescent="0.3">
      <c r="B121" s="169" t="s">
        <v>505</v>
      </c>
      <c r="C121" s="169" t="s">
        <v>164</v>
      </c>
      <c r="D121" s="169" t="s">
        <v>538</v>
      </c>
      <c r="E121" s="169" t="s">
        <v>169</v>
      </c>
      <c r="F121" s="169" t="s">
        <v>549</v>
      </c>
      <c r="G121" s="170" t="s">
        <v>57</v>
      </c>
      <c r="H121" s="171" t="s">
        <v>169</v>
      </c>
      <c r="I121" s="171"/>
    </row>
    <row r="122" spans="2:9" x14ac:dyDescent="0.3">
      <c r="B122" s="169" t="s">
        <v>505</v>
      </c>
      <c r="C122" s="169" t="s">
        <v>164</v>
      </c>
      <c r="D122" s="169" t="s">
        <v>550</v>
      </c>
      <c r="E122" s="169" t="s">
        <v>551</v>
      </c>
      <c r="F122" s="169" t="s">
        <v>552</v>
      </c>
      <c r="G122" s="170" t="s">
        <v>509</v>
      </c>
      <c r="H122" s="171" t="s">
        <v>170</v>
      </c>
      <c r="I122" s="171"/>
    </row>
    <row r="123" spans="2:9" x14ac:dyDescent="0.3">
      <c r="B123" s="169" t="s">
        <v>505</v>
      </c>
      <c r="C123" s="169" t="s">
        <v>164</v>
      </c>
      <c r="D123" s="169" t="s">
        <v>550</v>
      </c>
      <c r="E123" s="169" t="s">
        <v>551</v>
      </c>
      <c r="F123" s="169" t="s">
        <v>553</v>
      </c>
      <c r="G123" s="170" t="s">
        <v>511</v>
      </c>
      <c r="H123" s="171" t="s">
        <v>170</v>
      </c>
      <c r="I123" s="171"/>
    </row>
    <row r="124" spans="2:9" x14ac:dyDescent="0.3">
      <c r="B124" s="169" t="s">
        <v>505</v>
      </c>
      <c r="C124" s="169" t="s">
        <v>164</v>
      </c>
      <c r="D124" s="169" t="s">
        <v>550</v>
      </c>
      <c r="E124" s="169" t="s">
        <v>551</v>
      </c>
      <c r="F124" s="169" t="s">
        <v>554</v>
      </c>
      <c r="G124" s="170" t="s">
        <v>555</v>
      </c>
      <c r="H124" s="171" t="s">
        <v>171</v>
      </c>
      <c r="I124" s="171"/>
    </row>
    <row r="125" spans="2:9" x14ac:dyDescent="0.3">
      <c r="B125" s="169" t="s">
        <v>505</v>
      </c>
      <c r="C125" s="169" t="s">
        <v>164</v>
      </c>
      <c r="D125" s="169" t="s">
        <v>550</v>
      </c>
      <c r="E125" s="169" t="s">
        <v>551</v>
      </c>
      <c r="F125" s="169" t="s">
        <v>556</v>
      </c>
      <c r="G125" s="170" t="s">
        <v>557</v>
      </c>
      <c r="H125" s="171" t="s">
        <v>170</v>
      </c>
      <c r="I125" s="171"/>
    </row>
    <row r="126" spans="2:9" x14ac:dyDescent="0.3">
      <c r="B126" s="169" t="s">
        <v>505</v>
      </c>
      <c r="C126" s="169" t="s">
        <v>164</v>
      </c>
      <c r="D126" s="169" t="s">
        <v>550</v>
      </c>
      <c r="E126" s="169" t="s">
        <v>551</v>
      </c>
      <c r="F126" s="169" t="s">
        <v>558</v>
      </c>
      <c r="G126" s="170" t="s">
        <v>57</v>
      </c>
      <c r="H126" s="171" t="s">
        <v>170</v>
      </c>
      <c r="I126" s="171"/>
    </row>
    <row r="127" spans="2:9" x14ac:dyDescent="0.3">
      <c r="B127" s="169" t="s">
        <v>505</v>
      </c>
      <c r="C127" s="169" t="s">
        <v>164</v>
      </c>
      <c r="D127" s="169" t="s">
        <v>559</v>
      </c>
      <c r="E127" s="169" t="s">
        <v>172</v>
      </c>
      <c r="F127" s="169" t="s">
        <v>560</v>
      </c>
      <c r="G127" s="170" t="s">
        <v>509</v>
      </c>
      <c r="H127" s="171" t="s">
        <v>172</v>
      </c>
      <c r="I127" s="171"/>
    </row>
    <row r="128" spans="2:9" x14ac:dyDescent="0.3">
      <c r="B128" s="169" t="s">
        <v>505</v>
      </c>
      <c r="C128" s="169" t="s">
        <v>164</v>
      </c>
      <c r="D128" s="169" t="s">
        <v>559</v>
      </c>
      <c r="E128" s="169" t="s">
        <v>172</v>
      </c>
      <c r="F128" s="169" t="s">
        <v>561</v>
      </c>
      <c r="G128" s="170" t="s">
        <v>511</v>
      </c>
      <c r="H128" s="171" t="s">
        <v>172</v>
      </c>
      <c r="I128" s="171"/>
    </row>
    <row r="129" spans="2:9" x14ac:dyDescent="0.3">
      <c r="B129" s="169" t="s">
        <v>505</v>
      </c>
      <c r="C129" s="169" t="s">
        <v>164</v>
      </c>
      <c r="D129" s="169" t="s">
        <v>559</v>
      </c>
      <c r="E129" s="169" t="s">
        <v>172</v>
      </c>
      <c r="F129" s="169" t="s">
        <v>562</v>
      </c>
      <c r="G129" s="170" t="s">
        <v>563</v>
      </c>
      <c r="H129" s="171" t="s">
        <v>172</v>
      </c>
      <c r="I129" s="171"/>
    </row>
    <row r="130" spans="2:9" x14ac:dyDescent="0.3">
      <c r="B130" s="169" t="s">
        <v>505</v>
      </c>
      <c r="C130" s="169" t="s">
        <v>164</v>
      </c>
      <c r="D130" s="169" t="s">
        <v>559</v>
      </c>
      <c r="E130" s="169" t="s">
        <v>172</v>
      </c>
      <c r="F130" s="169" t="s">
        <v>564</v>
      </c>
      <c r="G130" s="170" t="s">
        <v>565</v>
      </c>
      <c r="H130" s="171" t="s">
        <v>172</v>
      </c>
      <c r="I130" s="171"/>
    </row>
    <row r="131" spans="2:9" x14ac:dyDescent="0.3">
      <c r="B131" s="169" t="s">
        <v>505</v>
      </c>
      <c r="C131" s="169" t="s">
        <v>164</v>
      </c>
      <c r="D131" s="169" t="s">
        <v>559</v>
      </c>
      <c r="E131" s="169" t="s">
        <v>172</v>
      </c>
      <c r="F131" s="169" t="s">
        <v>566</v>
      </c>
      <c r="G131" s="170" t="s">
        <v>567</v>
      </c>
      <c r="H131" s="171" t="s">
        <v>172</v>
      </c>
      <c r="I131" s="171"/>
    </row>
    <row r="132" spans="2:9" x14ac:dyDescent="0.3">
      <c r="B132" s="169" t="s">
        <v>505</v>
      </c>
      <c r="C132" s="169" t="s">
        <v>164</v>
      </c>
      <c r="D132" s="169" t="s">
        <v>559</v>
      </c>
      <c r="E132" s="169" t="s">
        <v>172</v>
      </c>
      <c r="F132" s="169" t="s">
        <v>568</v>
      </c>
      <c r="G132" s="170" t="s">
        <v>57</v>
      </c>
      <c r="H132" s="171" t="s">
        <v>172</v>
      </c>
      <c r="I132" s="171"/>
    </row>
    <row r="133" spans="2:9" x14ac:dyDescent="0.3">
      <c r="B133" s="169" t="s">
        <v>505</v>
      </c>
      <c r="C133" s="169" t="s">
        <v>164</v>
      </c>
      <c r="D133" s="169" t="s">
        <v>569</v>
      </c>
      <c r="E133" s="169" t="s">
        <v>570</v>
      </c>
      <c r="F133" s="169" t="s">
        <v>571</v>
      </c>
      <c r="G133" s="170" t="s">
        <v>509</v>
      </c>
      <c r="H133" s="171" t="s">
        <v>172</v>
      </c>
      <c r="I133" s="171"/>
    </row>
    <row r="134" spans="2:9" x14ac:dyDescent="0.3">
      <c r="B134" s="169" t="s">
        <v>505</v>
      </c>
      <c r="C134" s="169" t="s">
        <v>164</v>
      </c>
      <c r="D134" s="169" t="s">
        <v>569</v>
      </c>
      <c r="E134" s="169" t="s">
        <v>570</v>
      </c>
      <c r="F134" s="169" t="s">
        <v>572</v>
      </c>
      <c r="G134" s="170" t="s">
        <v>511</v>
      </c>
      <c r="H134" s="171" t="s">
        <v>173</v>
      </c>
      <c r="I134" s="171"/>
    </row>
    <row r="135" spans="2:9" x14ac:dyDescent="0.3">
      <c r="B135" s="169" t="s">
        <v>505</v>
      </c>
      <c r="C135" s="169" t="s">
        <v>164</v>
      </c>
      <c r="D135" s="169" t="s">
        <v>569</v>
      </c>
      <c r="E135" s="169" t="s">
        <v>570</v>
      </c>
      <c r="F135" s="169" t="s">
        <v>573</v>
      </c>
      <c r="G135" s="170" t="s">
        <v>574</v>
      </c>
      <c r="H135" s="171" t="s">
        <v>173</v>
      </c>
      <c r="I135" s="171"/>
    </row>
    <row r="136" spans="2:9" x14ac:dyDescent="0.3">
      <c r="B136" s="169" t="s">
        <v>505</v>
      </c>
      <c r="C136" s="169" t="s">
        <v>164</v>
      </c>
      <c r="D136" s="169" t="s">
        <v>569</v>
      </c>
      <c r="E136" s="169" t="s">
        <v>570</v>
      </c>
      <c r="F136" s="169" t="s">
        <v>575</v>
      </c>
      <c r="G136" s="170" t="s">
        <v>576</v>
      </c>
      <c r="H136" s="171" t="s">
        <v>174</v>
      </c>
      <c r="I136" s="171"/>
    </row>
    <row r="137" spans="2:9" x14ac:dyDescent="0.3">
      <c r="B137" s="169" t="s">
        <v>505</v>
      </c>
      <c r="C137" s="169" t="s">
        <v>164</v>
      </c>
      <c r="D137" s="169" t="s">
        <v>569</v>
      </c>
      <c r="E137" s="169" t="s">
        <v>570</v>
      </c>
      <c r="F137" s="169" t="s">
        <v>577</v>
      </c>
      <c r="G137" s="170" t="s">
        <v>578</v>
      </c>
      <c r="H137" s="171" t="s">
        <v>173</v>
      </c>
      <c r="I137" s="171"/>
    </row>
    <row r="138" spans="2:9" x14ac:dyDescent="0.3">
      <c r="B138" s="169" t="s">
        <v>505</v>
      </c>
      <c r="C138" s="169" t="s">
        <v>164</v>
      </c>
      <c r="D138" s="169" t="s">
        <v>569</v>
      </c>
      <c r="E138" s="169" t="s">
        <v>570</v>
      </c>
      <c r="F138" s="169" t="s">
        <v>579</v>
      </c>
      <c r="G138" s="170" t="s">
        <v>580</v>
      </c>
      <c r="H138" s="171" t="s">
        <v>173</v>
      </c>
      <c r="I138" s="171"/>
    </row>
    <row r="139" spans="2:9" x14ac:dyDescent="0.3">
      <c r="B139" s="169" t="s">
        <v>505</v>
      </c>
      <c r="C139" s="169" t="s">
        <v>164</v>
      </c>
      <c r="D139" s="169" t="s">
        <v>569</v>
      </c>
      <c r="E139" s="169" t="s">
        <v>570</v>
      </c>
      <c r="F139" s="169" t="s">
        <v>581</v>
      </c>
      <c r="G139" s="170" t="s">
        <v>582</v>
      </c>
      <c r="H139" s="171" t="s">
        <v>173</v>
      </c>
      <c r="I139" s="171"/>
    </row>
    <row r="140" spans="2:9" x14ac:dyDescent="0.3">
      <c r="B140" s="169" t="s">
        <v>505</v>
      </c>
      <c r="C140" s="169" t="s">
        <v>164</v>
      </c>
      <c r="D140" s="169" t="s">
        <v>569</v>
      </c>
      <c r="E140" s="169" t="s">
        <v>570</v>
      </c>
      <c r="F140" s="169" t="s">
        <v>583</v>
      </c>
      <c r="G140" s="170" t="s">
        <v>584</v>
      </c>
      <c r="H140" s="171" t="s">
        <v>173</v>
      </c>
      <c r="I140" s="171"/>
    </row>
    <row r="141" spans="2:9" x14ac:dyDescent="0.3">
      <c r="B141" s="169" t="s">
        <v>505</v>
      </c>
      <c r="C141" s="169" t="s">
        <v>164</v>
      </c>
      <c r="D141" s="169" t="s">
        <v>569</v>
      </c>
      <c r="E141" s="169" t="s">
        <v>570</v>
      </c>
      <c r="F141" s="169" t="s">
        <v>585</v>
      </c>
      <c r="G141" s="170" t="s">
        <v>586</v>
      </c>
      <c r="H141" s="171" t="s">
        <v>173</v>
      </c>
      <c r="I141" s="171"/>
    </row>
    <row r="142" spans="2:9" x14ac:dyDescent="0.3">
      <c r="B142" s="169" t="s">
        <v>505</v>
      </c>
      <c r="C142" s="169" t="s">
        <v>164</v>
      </c>
      <c r="D142" s="169" t="s">
        <v>569</v>
      </c>
      <c r="E142" s="169" t="s">
        <v>570</v>
      </c>
      <c r="F142" s="169" t="s">
        <v>587</v>
      </c>
      <c r="G142" s="170" t="s">
        <v>588</v>
      </c>
      <c r="H142" s="171" t="s">
        <v>173</v>
      </c>
      <c r="I142" s="171"/>
    </row>
    <row r="143" spans="2:9" x14ac:dyDescent="0.3">
      <c r="B143" s="169" t="s">
        <v>505</v>
      </c>
      <c r="C143" s="169" t="s">
        <v>164</v>
      </c>
      <c r="D143" s="169" t="s">
        <v>569</v>
      </c>
      <c r="E143" s="169" t="s">
        <v>570</v>
      </c>
      <c r="F143" s="169" t="s">
        <v>589</v>
      </c>
      <c r="G143" s="170" t="s">
        <v>57</v>
      </c>
      <c r="H143" s="171" t="s">
        <v>173</v>
      </c>
      <c r="I143" s="171"/>
    </row>
    <row r="144" spans="2:9" x14ac:dyDescent="0.3">
      <c r="B144" s="169" t="s">
        <v>505</v>
      </c>
      <c r="C144" s="169" t="s">
        <v>164</v>
      </c>
      <c r="D144" s="169" t="s">
        <v>590</v>
      </c>
      <c r="E144" s="169" t="s">
        <v>175</v>
      </c>
      <c r="F144" s="169" t="s">
        <v>591</v>
      </c>
      <c r="G144" s="170" t="s">
        <v>509</v>
      </c>
      <c r="H144" s="171" t="s">
        <v>175</v>
      </c>
      <c r="I144" s="171"/>
    </row>
    <row r="145" spans="2:9" x14ac:dyDescent="0.3">
      <c r="B145" s="169" t="s">
        <v>505</v>
      </c>
      <c r="C145" s="169" t="s">
        <v>164</v>
      </c>
      <c r="D145" s="169" t="s">
        <v>590</v>
      </c>
      <c r="E145" s="169" t="s">
        <v>175</v>
      </c>
      <c r="F145" s="169" t="s">
        <v>592</v>
      </c>
      <c r="G145" s="170" t="s">
        <v>511</v>
      </c>
      <c r="H145" s="171" t="s">
        <v>175</v>
      </c>
      <c r="I145" s="171"/>
    </row>
    <row r="146" spans="2:9" x14ac:dyDescent="0.3">
      <c r="B146" s="169" t="s">
        <v>505</v>
      </c>
      <c r="C146" s="169" t="s">
        <v>164</v>
      </c>
      <c r="D146" s="169" t="s">
        <v>590</v>
      </c>
      <c r="E146" s="169" t="s">
        <v>175</v>
      </c>
      <c r="F146" s="169" t="s">
        <v>593</v>
      </c>
      <c r="G146" s="170" t="s">
        <v>594</v>
      </c>
      <c r="H146" s="171" t="s">
        <v>175</v>
      </c>
      <c r="I146" s="171"/>
    </row>
    <row r="147" spans="2:9" x14ac:dyDescent="0.3">
      <c r="B147" s="169" t="s">
        <v>505</v>
      </c>
      <c r="C147" s="169" t="s">
        <v>164</v>
      </c>
      <c r="D147" s="169" t="s">
        <v>590</v>
      </c>
      <c r="E147" s="169" t="s">
        <v>175</v>
      </c>
      <c r="F147" s="169" t="s">
        <v>595</v>
      </c>
      <c r="G147" s="170" t="s">
        <v>596</v>
      </c>
      <c r="H147" s="171" t="s">
        <v>175</v>
      </c>
      <c r="I147" s="171"/>
    </row>
    <row r="148" spans="2:9" x14ac:dyDescent="0.3">
      <c r="B148" s="169" t="s">
        <v>505</v>
      </c>
      <c r="C148" s="169" t="s">
        <v>164</v>
      </c>
      <c r="D148" s="169" t="s">
        <v>590</v>
      </c>
      <c r="E148" s="169" t="s">
        <v>175</v>
      </c>
      <c r="F148" s="169" t="s">
        <v>597</v>
      </c>
      <c r="G148" s="170" t="s">
        <v>598</v>
      </c>
      <c r="H148" s="171" t="s">
        <v>175</v>
      </c>
      <c r="I148" s="171"/>
    </row>
    <row r="149" spans="2:9" x14ac:dyDescent="0.3">
      <c r="B149" s="169" t="s">
        <v>505</v>
      </c>
      <c r="C149" s="169" t="s">
        <v>164</v>
      </c>
      <c r="D149" s="169" t="s">
        <v>590</v>
      </c>
      <c r="E149" s="169" t="s">
        <v>175</v>
      </c>
      <c r="F149" s="169" t="s">
        <v>599</v>
      </c>
      <c r="G149" s="170" t="s">
        <v>600</v>
      </c>
      <c r="H149" s="171" t="s">
        <v>175</v>
      </c>
      <c r="I149" s="171"/>
    </row>
    <row r="150" spans="2:9" x14ac:dyDescent="0.3">
      <c r="B150" s="169" t="s">
        <v>505</v>
      </c>
      <c r="C150" s="169" t="s">
        <v>164</v>
      </c>
      <c r="D150" s="169" t="s">
        <v>590</v>
      </c>
      <c r="E150" s="169" t="s">
        <v>175</v>
      </c>
      <c r="F150" s="169" t="s">
        <v>601</v>
      </c>
      <c r="G150" s="170" t="s">
        <v>602</v>
      </c>
      <c r="H150" s="171" t="s">
        <v>175</v>
      </c>
      <c r="I150" s="171"/>
    </row>
    <row r="151" spans="2:9" x14ac:dyDescent="0.3">
      <c r="B151" s="169" t="s">
        <v>505</v>
      </c>
      <c r="C151" s="169" t="s">
        <v>164</v>
      </c>
      <c r="D151" s="169" t="s">
        <v>590</v>
      </c>
      <c r="E151" s="169" t="s">
        <v>175</v>
      </c>
      <c r="F151" s="169" t="s">
        <v>603</v>
      </c>
      <c r="G151" s="170" t="s">
        <v>57</v>
      </c>
      <c r="H151" s="171" t="s">
        <v>175</v>
      </c>
      <c r="I151" s="171"/>
    </row>
    <row r="152" spans="2:9" x14ac:dyDescent="0.3">
      <c r="B152" s="169" t="s">
        <v>505</v>
      </c>
      <c r="C152" s="169" t="s">
        <v>164</v>
      </c>
      <c r="D152" s="169" t="s">
        <v>604</v>
      </c>
      <c r="E152" s="169" t="s">
        <v>176</v>
      </c>
      <c r="F152" s="169" t="s">
        <v>605</v>
      </c>
      <c r="G152" s="170" t="s">
        <v>509</v>
      </c>
      <c r="H152" s="171" t="s">
        <v>176</v>
      </c>
      <c r="I152" s="171"/>
    </row>
    <row r="153" spans="2:9" x14ac:dyDescent="0.3">
      <c r="B153" s="169" t="s">
        <v>505</v>
      </c>
      <c r="C153" s="169" t="s">
        <v>164</v>
      </c>
      <c r="D153" s="169" t="s">
        <v>604</v>
      </c>
      <c r="E153" s="169" t="s">
        <v>176</v>
      </c>
      <c r="F153" s="169" t="s">
        <v>606</v>
      </c>
      <c r="G153" s="170" t="s">
        <v>511</v>
      </c>
      <c r="H153" s="171" t="s">
        <v>176</v>
      </c>
      <c r="I153" s="171"/>
    </row>
    <row r="154" spans="2:9" x14ac:dyDescent="0.3">
      <c r="B154" s="169" t="s">
        <v>505</v>
      </c>
      <c r="C154" s="169" t="s">
        <v>164</v>
      </c>
      <c r="D154" s="169" t="s">
        <v>604</v>
      </c>
      <c r="E154" s="169" t="s">
        <v>176</v>
      </c>
      <c r="F154" s="169" t="s">
        <v>607</v>
      </c>
      <c r="G154" s="170" t="s">
        <v>608</v>
      </c>
      <c r="H154" s="171" t="s">
        <v>176</v>
      </c>
      <c r="I154" s="171"/>
    </row>
    <row r="155" spans="2:9" x14ac:dyDescent="0.3">
      <c r="B155" s="169" t="s">
        <v>505</v>
      </c>
      <c r="C155" s="169" t="s">
        <v>164</v>
      </c>
      <c r="D155" s="169" t="s">
        <v>604</v>
      </c>
      <c r="E155" s="169" t="s">
        <v>176</v>
      </c>
      <c r="F155" s="169" t="s">
        <v>609</v>
      </c>
      <c r="G155" s="170" t="s">
        <v>532</v>
      </c>
      <c r="H155" s="171" t="s">
        <v>176</v>
      </c>
      <c r="I155" s="171"/>
    </row>
    <row r="156" spans="2:9" x14ac:dyDescent="0.3">
      <c r="B156" s="169" t="s">
        <v>505</v>
      </c>
      <c r="C156" s="169" t="s">
        <v>164</v>
      </c>
      <c r="D156" s="169" t="s">
        <v>604</v>
      </c>
      <c r="E156" s="169" t="s">
        <v>176</v>
      </c>
      <c r="F156" s="169" t="s">
        <v>610</v>
      </c>
      <c r="G156" s="170" t="s">
        <v>536</v>
      </c>
      <c r="H156" s="171" t="s">
        <v>176</v>
      </c>
      <c r="I156" s="171"/>
    </row>
    <row r="157" spans="2:9" x14ac:dyDescent="0.3">
      <c r="B157" s="169" t="s">
        <v>505</v>
      </c>
      <c r="C157" s="169" t="s">
        <v>164</v>
      </c>
      <c r="D157" s="169" t="s">
        <v>604</v>
      </c>
      <c r="E157" s="169" t="s">
        <v>176</v>
      </c>
      <c r="F157" s="169" t="s">
        <v>611</v>
      </c>
      <c r="G157" s="170" t="s">
        <v>57</v>
      </c>
      <c r="H157" s="171" t="s">
        <v>176</v>
      </c>
      <c r="I157" s="171"/>
    </row>
    <row r="158" spans="2:9" x14ac:dyDescent="0.3">
      <c r="B158" s="169" t="s">
        <v>505</v>
      </c>
      <c r="C158" s="169" t="s">
        <v>164</v>
      </c>
      <c r="D158" s="169" t="s">
        <v>612</v>
      </c>
      <c r="E158" s="169" t="s">
        <v>613</v>
      </c>
      <c r="F158" s="169" t="s">
        <v>614</v>
      </c>
      <c r="G158" s="170" t="s">
        <v>509</v>
      </c>
      <c r="H158" s="171" t="s">
        <v>196</v>
      </c>
      <c r="I158" s="171"/>
    </row>
    <row r="159" spans="2:9" x14ac:dyDescent="0.3">
      <c r="B159" s="169" t="s">
        <v>505</v>
      </c>
      <c r="C159" s="169" t="s">
        <v>164</v>
      </c>
      <c r="D159" s="169" t="s">
        <v>612</v>
      </c>
      <c r="E159" s="169" t="s">
        <v>613</v>
      </c>
      <c r="F159" s="169" t="s">
        <v>615</v>
      </c>
      <c r="G159" s="170" t="s">
        <v>511</v>
      </c>
      <c r="H159" s="171" t="s">
        <v>196</v>
      </c>
      <c r="I159" s="171"/>
    </row>
    <row r="160" spans="2:9" x14ac:dyDescent="0.3">
      <c r="B160" s="169" t="s">
        <v>505</v>
      </c>
      <c r="C160" s="169" t="s">
        <v>164</v>
      </c>
      <c r="D160" s="169" t="s">
        <v>612</v>
      </c>
      <c r="E160" s="169" t="s">
        <v>613</v>
      </c>
      <c r="F160" s="169" t="s">
        <v>616</v>
      </c>
      <c r="G160" s="170" t="s">
        <v>617</v>
      </c>
      <c r="H160" s="171" t="s">
        <v>196</v>
      </c>
      <c r="I160" s="171"/>
    </row>
    <row r="161" spans="2:9" x14ac:dyDescent="0.3">
      <c r="B161" s="169" t="s">
        <v>505</v>
      </c>
      <c r="C161" s="169" t="s">
        <v>164</v>
      </c>
      <c r="D161" s="169" t="s">
        <v>612</v>
      </c>
      <c r="E161" s="169" t="s">
        <v>613</v>
      </c>
      <c r="F161" s="169" t="s">
        <v>618</v>
      </c>
      <c r="G161" s="170" t="s">
        <v>619</v>
      </c>
      <c r="H161" s="171" t="s">
        <v>196</v>
      </c>
      <c r="I161" s="171"/>
    </row>
    <row r="162" spans="2:9" x14ac:dyDescent="0.3">
      <c r="B162" s="169" t="s">
        <v>505</v>
      </c>
      <c r="C162" s="169" t="s">
        <v>164</v>
      </c>
      <c r="D162" s="169" t="s">
        <v>612</v>
      </c>
      <c r="E162" s="169" t="s">
        <v>613</v>
      </c>
      <c r="F162" s="169" t="s">
        <v>620</v>
      </c>
      <c r="G162" s="170" t="s">
        <v>621</v>
      </c>
      <c r="H162" s="171" t="s">
        <v>196</v>
      </c>
      <c r="I162" s="171"/>
    </row>
    <row r="163" spans="2:9" x14ac:dyDescent="0.3">
      <c r="B163" s="169" t="s">
        <v>505</v>
      </c>
      <c r="C163" s="169" t="s">
        <v>164</v>
      </c>
      <c r="D163" s="169" t="s">
        <v>612</v>
      </c>
      <c r="E163" s="169" t="s">
        <v>613</v>
      </c>
      <c r="F163" s="169" t="s">
        <v>622</v>
      </c>
      <c r="G163" s="170" t="s">
        <v>57</v>
      </c>
      <c r="H163" s="171" t="s">
        <v>196</v>
      </c>
      <c r="I163" s="171"/>
    </row>
    <row r="164" spans="2:9" x14ac:dyDescent="0.3">
      <c r="B164" s="169" t="s">
        <v>505</v>
      </c>
      <c r="C164" s="169" t="s">
        <v>164</v>
      </c>
      <c r="D164" s="169" t="s">
        <v>623</v>
      </c>
      <c r="E164" s="169" t="s">
        <v>398</v>
      </c>
      <c r="F164" s="169" t="s">
        <v>624</v>
      </c>
      <c r="G164" s="170" t="s">
        <v>509</v>
      </c>
      <c r="H164" s="171" t="s">
        <v>177</v>
      </c>
      <c r="I164" s="171"/>
    </row>
    <row r="165" spans="2:9" x14ac:dyDescent="0.3">
      <c r="B165" s="169" t="s">
        <v>505</v>
      </c>
      <c r="C165" s="169" t="s">
        <v>164</v>
      </c>
      <c r="D165" s="169" t="s">
        <v>623</v>
      </c>
      <c r="E165" s="169" t="s">
        <v>398</v>
      </c>
      <c r="F165" s="169" t="s">
        <v>625</v>
      </c>
      <c r="G165" s="170" t="s">
        <v>511</v>
      </c>
      <c r="H165" s="171" t="s">
        <v>177</v>
      </c>
      <c r="I165" s="171"/>
    </row>
    <row r="166" spans="2:9" x14ac:dyDescent="0.3">
      <c r="B166" s="169" t="s">
        <v>505</v>
      </c>
      <c r="C166" s="169" t="s">
        <v>164</v>
      </c>
      <c r="D166" s="169" t="s">
        <v>623</v>
      </c>
      <c r="E166" s="169" t="s">
        <v>398</v>
      </c>
      <c r="F166" s="169" t="s">
        <v>626</v>
      </c>
      <c r="G166" s="170" t="s">
        <v>627</v>
      </c>
      <c r="H166" s="171" t="s">
        <v>177</v>
      </c>
      <c r="I166" s="171"/>
    </row>
    <row r="167" spans="2:9" x14ac:dyDescent="0.3">
      <c r="B167" s="169" t="s">
        <v>505</v>
      </c>
      <c r="C167" s="169" t="s">
        <v>164</v>
      </c>
      <c r="D167" s="169" t="s">
        <v>623</v>
      </c>
      <c r="E167" s="169" t="s">
        <v>398</v>
      </c>
      <c r="F167" s="169" t="s">
        <v>628</v>
      </c>
      <c r="G167" s="170" t="s">
        <v>608</v>
      </c>
      <c r="H167" s="171" t="s">
        <v>178</v>
      </c>
      <c r="I167" s="171"/>
    </row>
    <row r="168" spans="2:9" x14ac:dyDescent="0.3">
      <c r="B168" s="169" t="s">
        <v>505</v>
      </c>
      <c r="C168" s="169" t="s">
        <v>164</v>
      </c>
      <c r="D168" s="169" t="s">
        <v>623</v>
      </c>
      <c r="E168" s="169" t="s">
        <v>398</v>
      </c>
      <c r="F168" s="169" t="s">
        <v>629</v>
      </c>
      <c r="G168" s="170" t="s">
        <v>630</v>
      </c>
      <c r="H168" s="171" t="s">
        <v>177</v>
      </c>
      <c r="I168" s="171"/>
    </row>
    <row r="169" spans="2:9" x14ac:dyDescent="0.3">
      <c r="B169" s="169" t="s">
        <v>505</v>
      </c>
      <c r="C169" s="169" t="s">
        <v>164</v>
      </c>
      <c r="D169" s="169" t="s">
        <v>623</v>
      </c>
      <c r="E169" s="169" t="s">
        <v>398</v>
      </c>
      <c r="F169" s="169" t="s">
        <v>631</v>
      </c>
      <c r="G169" s="170" t="s">
        <v>632</v>
      </c>
      <c r="H169" s="171" t="s">
        <v>177</v>
      </c>
      <c r="I169" s="171"/>
    </row>
    <row r="170" spans="2:9" x14ac:dyDescent="0.3">
      <c r="B170" s="169" t="s">
        <v>505</v>
      </c>
      <c r="C170" s="169" t="s">
        <v>164</v>
      </c>
      <c r="D170" s="169" t="s">
        <v>623</v>
      </c>
      <c r="E170" s="169" t="s">
        <v>398</v>
      </c>
      <c r="F170" s="169" t="s">
        <v>633</v>
      </c>
      <c r="G170" s="170" t="s">
        <v>634</v>
      </c>
      <c r="H170" s="171" t="s">
        <v>177</v>
      </c>
      <c r="I170" s="171"/>
    </row>
    <row r="171" spans="2:9" x14ac:dyDescent="0.3">
      <c r="B171" s="169" t="s">
        <v>505</v>
      </c>
      <c r="C171" s="169" t="s">
        <v>164</v>
      </c>
      <c r="D171" s="169" t="s">
        <v>623</v>
      </c>
      <c r="E171" s="169" t="s">
        <v>398</v>
      </c>
      <c r="F171" s="169" t="s">
        <v>635</v>
      </c>
      <c r="G171" s="170" t="s">
        <v>536</v>
      </c>
      <c r="H171" s="171" t="s">
        <v>177</v>
      </c>
      <c r="I171" s="171"/>
    </row>
    <row r="172" spans="2:9" x14ac:dyDescent="0.3">
      <c r="B172" s="169" t="s">
        <v>505</v>
      </c>
      <c r="C172" s="169" t="s">
        <v>164</v>
      </c>
      <c r="D172" s="169" t="s">
        <v>623</v>
      </c>
      <c r="E172" s="169" t="s">
        <v>398</v>
      </c>
      <c r="F172" s="169" t="s">
        <v>636</v>
      </c>
      <c r="G172" s="170" t="s">
        <v>57</v>
      </c>
      <c r="H172" s="171" t="s">
        <v>177</v>
      </c>
      <c r="I172" s="171"/>
    </row>
    <row r="173" spans="2:9" x14ac:dyDescent="0.3">
      <c r="B173" s="169" t="s">
        <v>505</v>
      </c>
      <c r="C173" s="169" t="s">
        <v>164</v>
      </c>
      <c r="D173" s="169" t="s">
        <v>637</v>
      </c>
      <c r="E173" s="169" t="s">
        <v>638</v>
      </c>
      <c r="F173" s="169" t="s">
        <v>639</v>
      </c>
      <c r="G173" s="170" t="s">
        <v>509</v>
      </c>
      <c r="H173" s="171" t="s">
        <v>179</v>
      </c>
      <c r="I173" s="171"/>
    </row>
    <row r="174" spans="2:9" x14ac:dyDescent="0.3">
      <c r="B174" s="169" t="s">
        <v>505</v>
      </c>
      <c r="C174" s="169" t="s">
        <v>164</v>
      </c>
      <c r="D174" s="169" t="s">
        <v>637</v>
      </c>
      <c r="E174" s="169" t="s">
        <v>638</v>
      </c>
      <c r="F174" s="169" t="s">
        <v>640</v>
      </c>
      <c r="G174" s="170" t="s">
        <v>511</v>
      </c>
      <c r="H174" s="171" t="s">
        <v>179</v>
      </c>
      <c r="I174" s="171"/>
    </row>
    <row r="175" spans="2:9" x14ac:dyDescent="0.3">
      <c r="B175" s="169" t="s">
        <v>505</v>
      </c>
      <c r="C175" s="169" t="s">
        <v>164</v>
      </c>
      <c r="D175" s="169" t="s">
        <v>637</v>
      </c>
      <c r="E175" s="169" t="s">
        <v>638</v>
      </c>
      <c r="F175" s="169" t="s">
        <v>641</v>
      </c>
      <c r="G175" s="170" t="s">
        <v>642</v>
      </c>
      <c r="H175" s="171" t="s">
        <v>179</v>
      </c>
      <c r="I175" s="171"/>
    </row>
    <row r="176" spans="2:9" x14ac:dyDescent="0.3">
      <c r="B176" s="169" t="s">
        <v>505</v>
      </c>
      <c r="C176" s="169" t="s">
        <v>164</v>
      </c>
      <c r="D176" s="169" t="s">
        <v>637</v>
      </c>
      <c r="E176" s="169" t="s">
        <v>638</v>
      </c>
      <c r="F176" s="169" t="s">
        <v>643</v>
      </c>
      <c r="G176" s="170" t="s">
        <v>608</v>
      </c>
      <c r="H176" s="171" t="s">
        <v>179</v>
      </c>
      <c r="I176" s="171"/>
    </row>
    <row r="177" spans="2:9" x14ac:dyDescent="0.3">
      <c r="B177" s="169" t="s">
        <v>505</v>
      </c>
      <c r="C177" s="169" t="s">
        <v>164</v>
      </c>
      <c r="D177" s="169" t="s">
        <v>637</v>
      </c>
      <c r="E177" s="169" t="s">
        <v>638</v>
      </c>
      <c r="F177" s="169" t="s">
        <v>644</v>
      </c>
      <c r="G177" s="170" t="s">
        <v>645</v>
      </c>
      <c r="H177" s="171" t="s">
        <v>179</v>
      </c>
      <c r="I177" s="171"/>
    </row>
    <row r="178" spans="2:9" x14ac:dyDescent="0.3">
      <c r="B178" s="169" t="s">
        <v>505</v>
      </c>
      <c r="C178" s="169" t="s">
        <v>164</v>
      </c>
      <c r="D178" s="169" t="s">
        <v>637</v>
      </c>
      <c r="E178" s="169" t="s">
        <v>638</v>
      </c>
      <c r="F178" s="169" t="s">
        <v>646</v>
      </c>
      <c r="G178" s="170" t="s">
        <v>536</v>
      </c>
      <c r="H178" s="171" t="s">
        <v>180</v>
      </c>
      <c r="I178" s="171"/>
    </row>
    <row r="179" spans="2:9" x14ac:dyDescent="0.3">
      <c r="B179" s="169" t="s">
        <v>505</v>
      </c>
      <c r="C179" s="169" t="s">
        <v>164</v>
      </c>
      <c r="D179" s="169" t="s">
        <v>637</v>
      </c>
      <c r="E179" s="169" t="s">
        <v>638</v>
      </c>
      <c r="F179" s="169" t="s">
        <v>647</v>
      </c>
      <c r="G179" s="170" t="s">
        <v>57</v>
      </c>
      <c r="H179" s="171" t="s">
        <v>179</v>
      </c>
      <c r="I179" s="171"/>
    </row>
    <row r="180" spans="2:9" x14ac:dyDescent="0.3">
      <c r="B180" s="169" t="s">
        <v>505</v>
      </c>
      <c r="C180" s="169" t="s">
        <v>164</v>
      </c>
      <c r="D180" s="169" t="s">
        <v>648</v>
      </c>
      <c r="E180" s="169" t="s">
        <v>649</v>
      </c>
      <c r="F180" s="169" t="s">
        <v>650</v>
      </c>
      <c r="G180" s="170" t="s">
        <v>509</v>
      </c>
      <c r="H180" s="171" t="s">
        <v>181</v>
      </c>
      <c r="I180" s="171"/>
    </row>
    <row r="181" spans="2:9" x14ac:dyDescent="0.3">
      <c r="B181" s="169" t="s">
        <v>505</v>
      </c>
      <c r="C181" s="169" t="s">
        <v>164</v>
      </c>
      <c r="D181" s="169" t="s">
        <v>648</v>
      </c>
      <c r="E181" s="169" t="s">
        <v>649</v>
      </c>
      <c r="F181" s="169" t="s">
        <v>651</v>
      </c>
      <c r="G181" s="170" t="s">
        <v>511</v>
      </c>
      <c r="H181" s="171" t="s">
        <v>181</v>
      </c>
      <c r="I181" s="171"/>
    </row>
    <row r="182" spans="2:9" x14ac:dyDescent="0.3">
      <c r="B182" s="169" t="s">
        <v>505</v>
      </c>
      <c r="C182" s="169" t="s">
        <v>164</v>
      </c>
      <c r="D182" s="169" t="s">
        <v>648</v>
      </c>
      <c r="E182" s="169" t="s">
        <v>649</v>
      </c>
      <c r="F182" s="169" t="s">
        <v>652</v>
      </c>
      <c r="G182" s="170" t="s">
        <v>653</v>
      </c>
      <c r="H182" s="171" t="s">
        <v>182</v>
      </c>
      <c r="I182" s="171"/>
    </row>
    <row r="183" spans="2:9" x14ac:dyDescent="0.3">
      <c r="B183" s="169" t="s">
        <v>505</v>
      </c>
      <c r="C183" s="169" t="s">
        <v>164</v>
      </c>
      <c r="D183" s="169" t="s">
        <v>648</v>
      </c>
      <c r="E183" s="169" t="s">
        <v>649</v>
      </c>
      <c r="F183" s="169" t="s">
        <v>654</v>
      </c>
      <c r="G183" s="170" t="s">
        <v>536</v>
      </c>
      <c r="H183" s="171" t="s">
        <v>183</v>
      </c>
      <c r="I183" s="171"/>
    </row>
    <row r="184" spans="2:9" x14ac:dyDescent="0.3">
      <c r="B184" s="169" t="s">
        <v>505</v>
      </c>
      <c r="C184" s="169" t="s">
        <v>164</v>
      </c>
      <c r="D184" s="169" t="s">
        <v>648</v>
      </c>
      <c r="E184" s="169" t="s">
        <v>649</v>
      </c>
      <c r="F184" s="169" t="s">
        <v>655</v>
      </c>
      <c r="G184" s="170" t="s">
        <v>57</v>
      </c>
      <c r="H184" s="171" t="s">
        <v>181</v>
      </c>
      <c r="I184" s="171"/>
    </row>
    <row r="185" spans="2:9" x14ac:dyDescent="0.3">
      <c r="B185" s="169" t="s">
        <v>505</v>
      </c>
      <c r="C185" s="169" t="s">
        <v>164</v>
      </c>
      <c r="D185" s="169" t="s">
        <v>656</v>
      </c>
      <c r="E185" s="169" t="s">
        <v>184</v>
      </c>
      <c r="F185" s="169" t="s">
        <v>657</v>
      </c>
      <c r="G185" s="170" t="s">
        <v>296</v>
      </c>
      <c r="H185" s="171" t="s">
        <v>184</v>
      </c>
      <c r="I185" s="171"/>
    </row>
    <row r="186" spans="2:9" x14ac:dyDescent="0.3">
      <c r="B186" s="169" t="s">
        <v>658</v>
      </c>
      <c r="C186" s="169" t="s">
        <v>185</v>
      </c>
      <c r="D186" s="169" t="s">
        <v>659</v>
      </c>
      <c r="E186" s="169" t="s">
        <v>660</v>
      </c>
      <c r="F186" s="169" t="s">
        <v>661</v>
      </c>
      <c r="G186" s="170" t="s">
        <v>509</v>
      </c>
      <c r="H186" s="171" t="s">
        <v>186</v>
      </c>
      <c r="I186" s="171"/>
    </row>
    <row r="187" spans="2:9" x14ac:dyDescent="0.3">
      <c r="B187" s="169" t="s">
        <v>658</v>
      </c>
      <c r="C187" s="169" t="s">
        <v>185</v>
      </c>
      <c r="D187" s="169" t="s">
        <v>659</v>
      </c>
      <c r="E187" s="169" t="s">
        <v>660</v>
      </c>
      <c r="F187" s="169" t="s">
        <v>662</v>
      </c>
      <c r="G187" s="170" t="s">
        <v>511</v>
      </c>
      <c r="H187" s="171" t="s">
        <v>186</v>
      </c>
      <c r="I187" s="171"/>
    </row>
    <row r="188" spans="2:9" x14ac:dyDescent="0.3">
      <c r="B188" s="169" t="s">
        <v>658</v>
      </c>
      <c r="C188" s="169" t="s">
        <v>185</v>
      </c>
      <c r="D188" s="169" t="s">
        <v>659</v>
      </c>
      <c r="E188" s="169" t="s">
        <v>660</v>
      </c>
      <c r="F188" s="169" t="s">
        <v>663</v>
      </c>
      <c r="G188" s="170" t="s">
        <v>532</v>
      </c>
      <c r="H188" s="171" t="s">
        <v>187</v>
      </c>
      <c r="I188" s="171"/>
    </row>
    <row r="189" spans="2:9" x14ac:dyDescent="0.3">
      <c r="B189" s="169" t="s">
        <v>658</v>
      </c>
      <c r="C189" s="169" t="s">
        <v>185</v>
      </c>
      <c r="D189" s="169" t="s">
        <v>659</v>
      </c>
      <c r="E189" s="169" t="s">
        <v>660</v>
      </c>
      <c r="F189" s="169" t="s">
        <v>664</v>
      </c>
      <c r="G189" s="170" t="s">
        <v>665</v>
      </c>
      <c r="H189" s="171" t="s">
        <v>190</v>
      </c>
      <c r="I189" s="171"/>
    </row>
    <row r="190" spans="2:9" x14ac:dyDescent="0.3">
      <c r="B190" s="169" t="s">
        <v>658</v>
      </c>
      <c r="C190" s="169" t="s">
        <v>185</v>
      </c>
      <c r="D190" s="169" t="s">
        <v>659</v>
      </c>
      <c r="E190" s="169" t="s">
        <v>660</v>
      </c>
      <c r="F190" s="169" t="s">
        <v>666</v>
      </c>
      <c r="G190" s="170" t="s">
        <v>667</v>
      </c>
      <c r="H190" s="171" t="s">
        <v>190</v>
      </c>
      <c r="I190" s="171"/>
    </row>
    <row r="191" spans="2:9" x14ac:dyDescent="0.3">
      <c r="B191" s="169" t="s">
        <v>658</v>
      </c>
      <c r="C191" s="169" t="s">
        <v>185</v>
      </c>
      <c r="D191" s="169" t="s">
        <v>659</v>
      </c>
      <c r="E191" s="169" t="s">
        <v>660</v>
      </c>
      <c r="F191" s="169" t="s">
        <v>668</v>
      </c>
      <c r="G191" s="170" t="s">
        <v>57</v>
      </c>
      <c r="H191" s="171" t="s">
        <v>186</v>
      </c>
      <c r="I191" s="171"/>
    </row>
    <row r="192" spans="2:9" x14ac:dyDescent="0.3">
      <c r="B192" s="169" t="s">
        <v>658</v>
      </c>
      <c r="C192" s="169" t="s">
        <v>185</v>
      </c>
      <c r="D192" s="169" t="s">
        <v>669</v>
      </c>
      <c r="E192" s="169" t="s">
        <v>188</v>
      </c>
      <c r="F192" s="169" t="s">
        <v>670</v>
      </c>
      <c r="G192" s="170" t="s">
        <v>509</v>
      </c>
      <c r="H192" s="171" t="s">
        <v>671</v>
      </c>
      <c r="I192" s="171"/>
    </row>
    <row r="193" spans="2:9" x14ac:dyDescent="0.3">
      <c r="B193" s="169" t="s">
        <v>658</v>
      </c>
      <c r="C193" s="169" t="s">
        <v>185</v>
      </c>
      <c r="D193" s="169" t="s">
        <v>669</v>
      </c>
      <c r="E193" s="169" t="s">
        <v>188</v>
      </c>
      <c r="F193" s="169" t="s">
        <v>672</v>
      </c>
      <c r="G193" s="170" t="s">
        <v>673</v>
      </c>
      <c r="H193" s="171" t="s">
        <v>188</v>
      </c>
      <c r="I193" s="171"/>
    </row>
    <row r="194" spans="2:9" x14ac:dyDescent="0.3">
      <c r="B194" s="169" t="s">
        <v>658</v>
      </c>
      <c r="C194" s="169" t="s">
        <v>185</v>
      </c>
      <c r="D194" s="169" t="s">
        <v>669</v>
      </c>
      <c r="E194" s="169" t="s">
        <v>188</v>
      </c>
      <c r="F194" s="169" t="s">
        <v>674</v>
      </c>
      <c r="G194" s="170" t="s">
        <v>675</v>
      </c>
      <c r="H194" s="171" t="s">
        <v>188</v>
      </c>
      <c r="I194" s="171"/>
    </row>
    <row r="195" spans="2:9" x14ac:dyDescent="0.3">
      <c r="B195" s="169" t="s">
        <v>658</v>
      </c>
      <c r="C195" s="169" t="s">
        <v>185</v>
      </c>
      <c r="D195" s="169" t="s">
        <v>669</v>
      </c>
      <c r="E195" s="169" t="s">
        <v>188</v>
      </c>
      <c r="F195" s="169" t="s">
        <v>676</v>
      </c>
      <c r="G195" s="170" t="s">
        <v>677</v>
      </c>
      <c r="H195" s="171" t="s">
        <v>188</v>
      </c>
      <c r="I195" s="171"/>
    </row>
    <row r="196" spans="2:9" x14ac:dyDescent="0.3">
      <c r="B196" s="169" t="s">
        <v>658</v>
      </c>
      <c r="C196" s="169" t="s">
        <v>185</v>
      </c>
      <c r="D196" s="169" t="s">
        <v>669</v>
      </c>
      <c r="E196" s="169" t="s">
        <v>188</v>
      </c>
      <c r="F196" s="169" t="s">
        <v>678</v>
      </c>
      <c r="G196" s="170" t="s">
        <v>57</v>
      </c>
      <c r="H196" s="171" t="s">
        <v>188</v>
      </c>
      <c r="I196" s="171"/>
    </row>
    <row r="197" spans="2:9" x14ac:dyDescent="0.3">
      <c r="B197" s="169" t="s">
        <v>658</v>
      </c>
      <c r="C197" s="169" t="s">
        <v>185</v>
      </c>
      <c r="D197" s="169" t="s">
        <v>679</v>
      </c>
      <c r="E197" s="169" t="s">
        <v>680</v>
      </c>
      <c r="F197" s="169" t="s">
        <v>681</v>
      </c>
      <c r="G197" s="170" t="s">
        <v>509</v>
      </c>
      <c r="H197" s="171" t="s">
        <v>189</v>
      </c>
      <c r="I197" s="171"/>
    </row>
    <row r="198" spans="2:9" x14ac:dyDescent="0.3">
      <c r="B198" s="169" t="s">
        <v>658</v>
      </c>
      <c r="C198" s="169" t="s">
        <v>185</v>
      </c>
      <c r="D198" s="169" t="s">
        <v>679</v>
      </c>
      <c r="E198" s="169" t="s">
        <v>680</v>
      </c>
      <c r="F198" s="169" t="s">
        <v>682</v>
      </c>
      <c r="G198" s="170" t="s">
        <v>511</v>
      </c>
      <c r="H198" s="171" t="s">
        <v>189</v>
      </c>
      <c r="I198" s="171"/>
    </row>
    <row r="199" spans="2:9" x14ac:dyDescent="0.3">
      <c r="B199" s="169" t="s">
        <v>658</v>
      </c>
      <c r="C199" s="169" t="s">
        <v>185</v>
      </c>
      <c r="D199" s="169" t="s">
        <v>679</v>
      </c>
      <c r="E199" s="169" t="s">
        <v>680</v>
      </c>
      <c r="F199" s="169" t="s">
        <v>683</v>
      </c>
      <c r="G199" s="170" t="s">
        <v>684</v>
      </c>
      <c r="H199" s="171" t="s">
        <v>189</v>
      </c>
      <c r="I199" s="171"/>
    </row>
    <row r="200" spans="2:9" x14ac:dyDescent="0.3">
      <c r="B200" s="169" t="s">
        <v>658</v>
      </c>
      <c r="C200" s="169" t="s">
        <v>185</v>
      </c>
      <c r="D200" s="169" t="s">
        <v>679</v>
      </c>
      <c r="E200" s="169" t="s">
        <v>680</v>
      </c>
      <c r="F200" s="169" t="s">
        <v>685</v>
      </c>
      <c r="G200" s="170" t="s">
        <v>532</v>
      </c>
      <c r="H200" s="171" t="s">
        <v>189</v>
      </c>
      <c r="I200" s="171"/>
    </row>
    <row r="201" spans="2:9" x14ac:dyDescent="0.3">
      <c r="B201" s="169" t="s">
        <v>658</v>
      </c>
      <c r="C201" s="169" t="s">
        <v>185</v>
      </c>
      <c r="D201" s="169" t="s">
        <v>679</v>
      </c>
      <c r="E201" s="169" t="s">
        <v>680</v>
      </c>
      <c r="F201" s="169" t="s">
        <v>686</v>
      </c>
      <c r="G201" s="170" t="s">
        <v>665</v>
      </c>
      <c r="H201" s="171" t="s">
        <v>190</v>
      </c>
      <c r="I201" s="171"/>
    </row>
    <row r="202" spans="2:9" x14ac:dyDescent="0.3">
      <c r="B202" s="169" t="s">
        <v>658</v>
      </c>
      <c r="C202" s="169" t="s">
        <v>185</v>
      </c>
      <c r="D202" s="169" t="s">
        <v>679</v>
      </c>
      <c r="E202" s="169" t="s">
        <v>680</v>
      </c>
      <c r="F202" s="169" t="s">
        <v>687</v>
      </c>
      <c r="G202" s="170" t="s">
        <v>667</v>
      </c>
      <c r="H202" s="171" t="s">
        <v>190</v>
      </c>
      <c r="I202" s="171"/>
    </row>
    <row r="203" spans="2:9" x14ac:dyDescent="0.3">
      <c r="B203" s="169" t="s">
        <v>658</v>
      </c>
      <c r="C203" s="169" t="s">
        <v>185</v>
      </c>
      <c r="D203" s="169" t="s">
        <v>679</v>
      </c>
      <c r="E203" s="169" t="s">
        <v>680</v>
      </c>
      <c r="F203" s="169" t="s">
        <v>688</v>
      </c>
      <c r="G203" s="170" t="s">
        <v>57</v>
      </c>
      <c r="H203" s="171" t="s">
        <v>189</v>
      </c>
      <c r="I203" s="171"/>
    </row>
    <row r="204" spans="2:9" x14ac:dyDescent="0.3">
      <c r="B204" s="169" t="s">
        <v>658</v>
      </c>
      <c r="C204" s="169" t="s">
        <v>185</v>
      </c>
      <c r="D204" s="169" t="s">
        <v>689</v>
      </c>
      <c r="E204" s="169" t="s">
        <v>191</v>
      </c>
      <c r="F204" s="169" t="s">
        <v>690</v>
      </c>
      <c r="G204" s="170" t="s">
        <v>509</v>
      </c>
      <c r="H204" s="171" t="s">
        <v>191</v>
      </c>
      <c r="I204" s="171"/>
    </row>
    <row r="205" spans="2:9" x14ac:dyDescent="0.3">
      <c r="B205" s="169" t="s">
        <v>658</v>
      </c>
      <c r="C205" s="169" t="s">
        <v>185</v>
      </c>
      <c r="D205" s="169" t="s">
        <v>689</v>
      </c>
      <c r="E205" s="169" t="s">
        <v>191</v>
      </c>
      <c r="F205" s="169" t="s">
        <v>691</v>
      </c>
      <c r="G205" s="170" t="s">
        <v>511</v>
      </c>
      <c r="H205" s="171" t="s">
        <v>191</v>
      </c>
      <c r="I205" s="171"/>
    </row>
    <row r="206" spans="2:9" x14ac:dyDescent="0.3">
      <c r="B206" s="169" t="s">
        <v>658</v>
      </c>
      <c r="C206" s="169" t="s">
        <v>185</v>
      </c>
      <c r="D206" s="169" t="s">
        <v>689</v>
      </c>
      <c r="E206" s="169" t="s">
        <v>191</v>
      </c>
      <c r="F206" s="169" t="s">
        <v>692</v>
      </c>
      <c r="G206" s="170" t="s">
        <v>693</v>
      </c>
      <c r="H206" s="171" t="s">
        <v>191</v>
      </c>
      <c r="I206" s="171"/>
    </row>
    <row r="207" spans="2:9" x14ac:dyDescent="0.3">
      <c r="B207" s="169" t="s">
        <v>658</v>
      </c>
      <c r="C207" s="169" t="s">
        <v>185</v>
      </c>
      <c r="D207" s="169" t="s">
        <v>689</v>
      </c>
      <c r="E207" s="169" t="s">
        <v>191</v>
      </c>
      <c r="F207" s="169" t="s">
        <v>694</v>
      </c>
      <c r="G207" s="170" t="s">
        <v>695</v>
      </c>
      <c r="H207" s="171" t="s">
        <v>191</v>
      </c>
      <c r="I207" s="171"/>
    </row>
    <row r="208" spans="2:9" x14ac:dyDescent="0.3">
      <c r="B208" s="169" t="s">
        <v>658</v>
      </c>
      <c r="C208" s="169" t="s">
        <v>185</v>
      </c>
      <c r="D208" s="169" t="s">
        <v>689</v>
      </c>
      <c r="E208" s="169" t="s">
        <v>191</v>
      </c>
      <c r="F208" s="169" t="s">
        <v>696</v>
      </c>
      <c r="G208" s="170" t="s">
        <v>697</v>
      </c>
      <c r="H208" s="171" t="s">
        <v>191</v>
      </c>
      <c r="I208" s="171"/>
    </row>
    <row r="209" spans="2:9" x14ac:dyDescent="0.3">
      <c r="B209" s="169" t="s">
        <v>658</v>
      </c>
      <c r="C209" s="169" t="s">
        <v>185</v>
      </c>
      <c r="D209" s="169" t="s">
        <v>689</v>
      </c>
      <c r="E209" s="169" t="s">
        <v>191</v>
      </c>
      <c r="F209" s="169" t="s">
        <v>698</v>
      </c>
      <c r="G209" s="170" t="s">
        <v>57</v>
      </c>
      <c r="H209" s="171" t="s">
        <v>191</v>
      </c>
      <c r="I209" s="171"/>
    </row>
    <row r="210" spans="2:9" x14ac:dyDescent="0.3">
      <c r="B210" s="169" t="s">
        <v>658</v>
      </c>
      <c r="C210" s="169" t="s">
        <v>185</v>
      </c>
      <c r="D210" s="169" t="s">
        <v>699</v>
      </c>
      <c r="E210" s="169" t="s">
        <v>700</v>
      </c>
      <c r="F210" s="169" t="s">
        <v>701</v>
      </c>
      <c r="G210" s="170" t="s">
        <v>509</v>
      </c>
      <c r="H210" s="171" t="s">
        <v>192</v>
      </c>
      <c r="I210" s="171"/>
    </row>
    <row r="211" spans="2:9" x14ac:dyDescent="0.3">
      <c r="B211" s="169" t="s">
        <v>658</v>
      </c>
      <c r="C211" s="169" t="s">
        <v>185</v>
      </c>
      <c r="D211" s="169" t="s">
        <v>699</v>
      </c>
      <c r="E211" s="169" t="s">
        <v>702</v>
      </c>
      <c r="F211" s="169" t="s">
        <v>703</v>
      </c>
      <c r="G211" s="170" t="s">
        <v>511</v>
      </c>
      <c r="H211" s="171" t="s">
        <v>192</v>
      </c>
      <c r="I211" s="171"/>
    </row>
    <row r="212" spans="2:9" x14ac:dyDescent="0.3">
      <c r="B212" s="169" t="s">
        <v>658</v>
      </c>
      <c r="C212" s="169" t="s">
        <v>185</v>
      </c>
      <c r="D212" s="169" t="s">
        <v>699</v>
      </c>
      <c r="E212" s="169" t="s">
        <v>702</v>
      </c>
      <c r="F212" s="169" t="s">
        <v>704</v>
      </c>
      <c r="G212" s="170" t="s">
        <v>705</v>
      </c>
      <c r="H212" s="171" t="s">
        <v>194</v>
      </c>
      <c r="I212" s="171"/>
    </row>
    <row r="213" spans="2:9" x14ac:dyDescent="0.3">
      <c r="B213" s="169" t="s">
        <v>658</v>
      </c>
      <c r="C213" s="169" t="s">
        <v>185</v>
      </c>
      <c r="D213" s="169" t="s">
        <v>699</v>
      </c>
      <c r="E213" s="169" t="s">
        <v>702</v>
      </c>
      <c r="F213" s="169" t="s">
        <v>706</v>
      </c>
      <c r="G213" s="170" t="s">
        <v>707</v>
      </c>
      <c r="H213" s="171" t="s">
        <v>192</v>
      </c>
      <c r="I213" s="171"/>
    </row>
    <row r="214" spans="2:9" x14ac:dyDescent="0.3">
      <c r="B214" s="169" t="s">
        <v>658</v>
      </c>
      <c r="C214" s="169" t="s">
        <v>185</v>
      </c>
      <c r="D214" s="169" t="s">
        <v>699</v>
      </c>
      <c r="E214" s="169" t="s">
        <v>702</v>
      </c>
      <c r="F214" s="169" t="s">
        <v>708</v>
      </c>
      <c r="G214" s="170" t="s">
        <v>532</v>
      </c>
      <c r="H214" s="171" t="s">
        <v>192</v>
      </c>
      <c r="I214" s="171"/>
    </row>
    <row r="215" spans="2:9" x14ac:dyDescent="0.3">
      <c r="B215" s="169" t="s">
        <v>658</v>
      </c>
      <c r="C215" s="169" t="s">
        <v>185</v>
      </c>
      <c r="D215" s="169" t="s">
        <v>699</v>
      </c>
      <c r="E215" s="169" t="s">
        <v>702</v>
      </c>
      <c r="F215" s="169" t="s">
        <v>709</v>
      </c>
      <c r="G215" s="170" t="s">
        <v>710</v>
      </c>
      <c r="H215" s="171" t="s">
        <v>194</v>
      </c>
      <c r="I215" s="171"/>
    </row>
    <row r="216" spans="2:9" x14ac:dyDescent="0.3">
      <c r="B216" s="169" t="s">
        <v>658</v>
      </c>
      <c r="C216" s="169" t="s">
        <v>185</v>
      </c>
      <c r="D216" s="169" t="s">
        <v>699</v>
      </c>
      <c r="E216" s="169" t="s">
        <v>702</v>
      </c>
      <c r="F216" s="169" t="s">
        <v>711</v>
      </c>
      <c r="G216" s="170" t="s">
        <v>712</v>
      </c>
      <c r="H216" s="171" t="s">
        <v>192</v>
      </c>
      <c r="I216" s="171"/>
    </row>
    <row r="217" spans="2:9" x14ac:dyDescent="0.3">
      <c r="B217" s="169" t="s">
        <v>658</v>
      </c>
      <c r="C217" s="169" t="s">
        <v>185</v>
      </c>
      <c r="D217" s="169" t="s">
        <v>699</v>
      </c>
      <c r="E217" s="169" t="s">
        <v>702</v>
      </c>
      <c r="F217" s="169" t="s">
        <v>713</v>
      </c>
      <c r="G217" s="170" t="s">
        <v>534</v>
      </c>
      <c r="H217" s="171" t="s">
        <v>193</v>
      </c>
      <c r="I217" s="171"/>
    </row>
    <row r="218" spans="2:9" x14ac:dyDescent="0.3">
      <c r="B218" s="169" t="s">
        <v>658</v>
      </c>
      <c r="C218" s="169" t="s">
        <v>185</v>
      </c>
      <c r="D218" s="169" t="s">
        <v>699</v>
      </c>
      <c r="E218" s="169" t="s">
        <v>702</v>
      </c>
      <c r="F218" s="169" t="s">
        <v>714</v>
      </c>
      <c r="G218" s="170" t="s">
        <v>57</v>
      </c>
      <c r="H218" s="171" t="s">
        <v>192</v>
      </c>
      <c r="I218" s="171"/>
    </row>
    <row r="219" spans="2:9" x14ac:dyDescent="0.3">
      <c r="B219" s="169" t="s">
        <v>658</v>
      </c>
      <c r="C219" s="169" t="s">
        <v>185</v>
      </c>
      <c r="D219" s="169" t="s">
        <v>715</v>
      </c>
      <c r="E219" s="169" t="s">
        <v>195</v>
      </c>
      <c r="F219" s="169" t="s">
        <v>716</v>
      </c>
      <c r="G219" s="170" t="s">
        <v>509</v>
      </c>
      <c r="H219" s="171" t="s">
        <v>195</v>
      </c>
      <c r="I219" s="171"/>
    </row>
    <row r="220" spans="2:9" x14ac:dyDescent="0.3">
      <c r="B220" s="169" t="s">
        <v>658</v>
      </c>
      <c r="C220" s="169" t="s">
        <v>185</v>
      </c>
      <c r="D220" s="169" t="s">
        <v>715</v>
      </c>
      <c r="E220" s="169" t="s">
        <v>195</v>
      </c>
      <c r="F220" s="169" t="s">
        <v>717</v>
      </c>
      <c r="G220" s="170" t="s">
        <v>511</v>
      </c>
      <c r="H220" s="171" t="s">
        <v>195</v>
      </c>
      <c r="I220" s="171"/>
    </row>
    <row r="221" spans="2:9" x14ac:dyDescent="0.3">
      <c r="B221" s="169" t="s">
        <v>658</v>
      </c>
      <c r="C221" s="169" t="s">
        <v>185</v>
      </c>
      <c r="D221" s="169" t="s">
        <v>715</v>
      </c>
      <c r="E221" s="169" t="s">
        <v>195</v>
      </c>
      <c r="F221" s="169" t="s">
        <v>718</v>
      </c>
      <c r="G221" s="170" t="s">
        <v>719</v>
      </c>
      <c r="H221" s="171" t="s">
        <v>195</v>
      </c>
      <c r="I221" s="171"/>
    </row>
    <row r="222" spans="2:9" x14ac:dyDescent="0.3">
      <c r="B222" s="169" t="s">
        <v>658</v>
      </c>
      <c r="C222" s="169" t="s">
        <v>185</v>
      </c>
      <c r="D222" s="169" t="s">
        <v>715</v>
      </c>
      <c r="E222" s="169" t="s">
        <v>195</v>
      </c>
      <c r="F222" s="169" t="s">
        <v>720</v>
      </c>
      <c r="G222" s="170" t="s">
        <v>721</v>
      </c>
      <c r="H222" s="171" t="s">
        <v>195</v>
      </c>
      <c r="I222" s="171"/>
    </row>
    <row r="223" spans="2:9" x14ac:dyDescent="0.3">
      <c r="B223" s="169" t="s">
        <v>658</v>
      </c>
      <c r="C223" s="169" t="s">
        <v>185</v>
      </c>
      <c r="D223" s="169" t="s">
        <v>715</v>
      </c>
      <c r="E223" s="169" t="s">
        <v>195</v>
      </c>
      <c r="F223" s="169" t="s">
        <v>722</v>
      </c>
      <c r="G223" s="170" t="s">
        <v>57</v>
      </c>
      <c r="H223" s="171" t="s">
        <v>195</v>
      </c>
      <c r="I223" s="171"/>
    </row>
    <row r="224" spans="2:9" x14ac:dyDescent="0.3">
      <c r="B224" s="169" t="s">
        <v>658</v>
      </c>
      <c r="C224" s="169" t="s">
        <v>185</v>
      </c>
      <c r="D224" s="169" t="s">
        <v>723</v>
      </c>
      <c r="E224" s="169" t="s">
        <v>724</v>
      </c>
      <c r="F224" s="169" t="s">
        <v>725</v>
      </c>
      <c r="G224" s="170" t="s">
        <v>509</v>
      </c>
      <c r="H224" s="171" t="s">
        <v>196</v>
      </c>
      <c r="I224" s="171"/>
    </row>
    <row r="225" spans="2:9" x14ac:dyDescent="0.3">
      <c r="B225" s="169" t="s">
        <v>658</v>
      </c>
      <c r="C225" s="169" t="s">
        <v>185</v>
      </c>
      <c r="D225" s="169" t="s">
        <v>723</v>
      </c>
      <c r="E225" s="169" t="s">
        <v>724</v>
      </c>
      <c r="F225" s="169" t="s">
        <v>726</v>
      </c>
      <c r="G225" s="170" t="s">
        <v>511</v>
      </c>
      <c r="H225" s="171" t="s">
        <v>196</v>
      </c>
      <c r="I225" s="171"/>
    </row>
    <row r="226" spans="2:9" x14ac:dyDescent="0.3">
      <c r="B226" s="169" t="s">
        <v>658</v>
      </c>
      <c r="C226" s="169" t="s">
        <v>185</v>
      </c>
      <c r="D226" s="169" t="s">
        <v>723</v>
      </c>
      <c r="E226" s="169" t="s">
        <v>724</v>
      </c>
      <c r="F226" s="169" t="s">
        <v>727</v>
      </c>
      <c r="G226" s="170" t="s">
        <v>728</v>
      </c>
      <c r="H226" s="171" t="s">
        <v>196</v>
      </c>
      <c r="I226" s="171"/>
    </row>
    <row r="227" spans="2:9" x14ac:dyDescent="0.3">
      <c r="B227" s="169" t="s">
        <v>658</v>
      </c>
      <c r="C227" s="169" t="s">
        <v>185</v>
      </c>
      <c r="D227" s="169" t="s">
        <v>723</v>
      </c>
      <c r="E227" s="169" t="s">
        <v>724</v>
      </c>
      <c r="F227" s="169" t="s">
        <v>729</v>
      </c>
      <c r="G227" s="170" t="s">
        <v>730</v>
      </c>
      <c r="H227" s="171" t="s">
        <v>196</v>
      </c>
      <c r="I227" s="171"/>
    </row>
    <row r="228" spans="2:9" x14ac:dyDescent="0.3">
      <c r="B228" s="169" t="s">
        <v>658</v>
      </c>
      <c r="C228" s="169" t="s">
        <v>185</v>
      </c>
      <c r="D228" s="169" t="s">
        <v>723</v>
      </c>
      <c r="E228" s="169" t="s">
        <v>724</v>
      </c>
      <c r="F228" s="169" t="s">
        <v>731</v>
      </c>
      <c r="G228" s="170" t="s">
        <v>57</v>
      </c>
      <c r="H228" s="171" t="s">
        <v>196</v>
      </c>
      <c r="I228" s="171"/>
    </row>
    <row r="229" spans="2:9" x14ac:dyDescent="0.3">
      <c r="B229" s="169" t="s">
        <v>658</v>
      </c>
      <c r="C229" s="169" t="s">
        <v>185</v>
      </c>
      <c r="D229" s="169" t="s">
        <v>732</v>
      </c>
      <c r="E229" s="169" t="s">
        <v>733</v>
      </c>
      <c r="F229" s="169" t="s">
        <v>734</v>
      </c>
      <c r="G229" s="170" t="s">
        <v>509</v>
      </c>
      <c r="H229" s="171" t="s">
        <v>735</v>
      </c>
      <c r="I229" s="171"/>
    </row>
    <row r="230" spans="2:9" x14ac:dyDescent="0.3">
      <c r="B230" s="169" t="s">
        <v>658</v>
      </c>
      <c r="C230" s="169" t="s">
        <v>185</v>
      </c>
      <c r="D230" s="169" t="s">
        <v>732</v>
      </c>
      <c r="E230" s="169" t="s">
        <v>736</v>
      </c>
      <c r="F230" s="169" t="s">
        <v>737</v>
      </c>
      <c r="G230" s="170" t="s">
        <v>511</v>
      </c>
      <c r="H230" s="171" t="s">
        <v>197</v>
      </c>
      <c r="I230" s="171"/>
    </row>
    <row r="231" spans="2:9" x14ac:dyDescent="0.3">
      <c r="B231" s="169" t="s">
        <v>658</v>
      </c>
      <c r="C231" s="169" t="s">
        <v>185</v>
      </c>
      <c r="D231" s="169" t="s">
        <v>732</v>
      </c>
      <c r="E231" s="169" t="s">
        <v>736</v>
      </c>
      <c r="F231" s="169" t="s">
        <v>738</v>
      </c>
      <c r="G231" s="170" t="s">
        <v>739</v>
      </c>
      <c r="H231" s="171" t="s">
        <v>197</v>
      </c>
      <c r="I231" s="171"/>
    </row>
    <row r="232" spans="2:9" x14ac:dyDescent="0.3">
      <c r="B232" s="169" t="s">
        <v>658</v>
      </c>
      <c r="C232" s="169" t="s">
        <v>185</v>
      </c>
      <c r="D232" s="169" t="s">
        <v>732</v>
      </c>
      <c r="E232" s="169" t="s">
        <v>736</v>
      </c>
      <c r="F232" s="169" t="s">
        <v>740</v>
      </c>
      <c r="G232" s="170" t="s">
        <v>741</v>
      </c>
      <c r="H232" s="171" t="s">
        <v>197</v>
      </c>
      <c r="I232" s="171"/>
    </row>
    <row r="233" spans="2:9" x14ac:dyDescent="0.3">
      <c r="B233" s="169" t="s">
        <v>658</v>
      </c>
      <c r="C233" s="169" t="s">
        <v>185</v>
      </c>
      <c r="D233" s="169" t="s">
        <v>732</v>
      </c>
      <c r="E233" s="169" t="s">
        <v>736</v>
      </c>
      <c r="F233" s="169" t="s">
        <v>742</v>
      </c>
      <c r="G233" s="170" t="s">
        <v>743</v>
      </c>
      <c r="H233" s="171" t="s">
        <v>197</v>
      </c>
      <c r="I233" s="171"/>
    </row>
    <row r="234" spans="2:9" x14ac:dyDescent="0.3">
      <c r="B234" s="169" t="s">
        <v>658</v>
      </c>
      <c r="C234" s="169" t="s">
        <v>185</v>
      </c>
      <c r="D234" s="169" t="s">
        <v>732</v>
      </c>
      <c r="E234" s="169" t="s">
        <v>736</v>
      </c>
      <c r="F234" s="169" t="s">
        <v>744</v>
      </c>
      <c r="G234" s="170" t="s">
        <v>745</v>
      </c>
      <c r="H234" s="171" t="s">
        <v>197</v>
      </c>
      <c r="I234" s="171"/>
    </row>
    <row r="235" spans="2:9" x14ac:dyDescent="0.3">
      <c r="B235" s="169" t="s">
        <v>658</v>
      </c>
      <c r="C235" s="169" t="s">
        <v>185</v>
      </c>
      <c r="D235" s="169" t="s">
        <v>732</v>
      </c>
      <c r="E235" s="169" t="s">
        <v>736</v>
      </c>
      <c r="F235" s="169" t="s">
        <v>746</v>
      </c>
      <c r="G235" s="170" t="s">
        <v>57</v>
      </c>
      <c r="H235" s="171" t="s">
        <v>197</v>
      </c>
      <c r="I235" s="171"/>
    </row>
    <row r="236" spans="2:9" x14ac:dyDescent="0.3">
      <c r="B236" s="169" t="s">
        <v>658</v>
      </c>
      <c r="C236" s="169" t="s">
        <v>185</v>
      </c>
      <c r="D236" s="169" t="s">
        <v>747</v>
      </c>
      <c r="E236" s="169" t="s">
        <v>748</v>
      </c>
      <c r="F236" s="169" t="s">
        <v>749</v>
      </c>
      <c r="G236" s="170" t="s">
        <v>509</v>
      </c>
      <c r="H236" s="171" t="s">
        <v>197</v>
      </c>
      <c r="I236" s="171"/>
    </row>
    <row r="237" spans="2:9" x14ac:dyDescent="0.3">
      <c r="B237" s="169" t="s">
        <v>658</v>
      </c>
      <c r="C237" s="169" t="s">
        <v>185</v>
      </c>
      <c r="D237" s="169" t="s">
        <v>747</v>
      </c>
      <c r="E237" s="169" t="s">
        <v>748</v>
      </c>
      <c r="F237" s="169" t="s">
        <v>750</v>
      </c>
      <c r="G237" s="170" t="s">
        <v>511</v>
      </c>
      <c r="H237" s="171" t="s">
        <v>197</v>
      </c>
      <c r="I237" s="171"/>
    </row>
    <row r="238" spans="2:9" x14ac:dyDescent="0.3">
      <c r="B238" s="169" t="s">
        <v>658</v>
      </c>
      <c r="C238" s="169" t="s">
        <v>185</v>
      </c>
      <c r="D238" s="169" t="s">
        <v>747</v>
      </c>
      <c r="E238" s="169" t="s">
        <v>748</v>
      </c>
      <c r="F238" s="169" t="s">
        <v>751</v>
      </c>
      <c r="G238" s="170" t="s">
        <v>752</v>
      </c>
      <c r="H238" s="171" t="s">
        <v>197</v>
      </c>
      <c r="I238" s="171"/>
    </row>
    <row r="239" spans="2:9" x14ac:dyDescent="0.3">
      <c r="B239" s="169" t="s">
        <v>658</v>
      </c>
      <c r="C239" s="169" t="s">
        <v>185</v>
      </c>
      <c r="D239" s="169" t="s">
        <v>747</v>
      </c>
      <c r="E239" s="169" t="s">
        <v>748</v>
      </c>
      <c r="F239" s="169" t="s">
        <v>753</v>
      </c>
      <c r="G239" s="170" t="s">
        <v>754</v>
      </c>
      <c r="H239" s="171" t="s">
        <v>197</v>
      </c>
      <c r="I239" s="171"/>
    </row>
    <row r="240" spans="2:9" x14ac:dyDescent="0.3">
      <c r="B240" s="169" t="s">
        <v>658</v>
      </c>
      <c r="C240" s="169" t="s">
        <v>185</v>
      </c>
      <c r="D240" s="169" t="s">
        <v>747</v>
      </c>
      <c r="E240" s="169" t="s">
        <v>748</v>
      </c>
      <c r="F240" s="169" t="s">
        <v>755</v>
      </c>
      <c r="G240" s="170" t="s">
        <v>745</v>
      </c>
      <c r="H240" s="171" t="s">
        <v>197</v>
      </c>
      <c r="I240" s="171"/>
    </row>
    <row r="241" spans="2:9" x14ac:dyDescent="0.3">
      <c r="B241" s="169" t="s">
        <v>658</v>
      </c>
      <c r="C241" s="169" t="s">
        <v>185</v>
      </c>
      <c r="D241" s="169" t="s">
        <v>747</v>
      </c>
      <c r="E241" s="169" t="s">
        <v>748</v>
      </c>
      <c r="F241" s="169" t="s">
        <v>756</v>
      </c>
      <c r="G241" s="170" t="s">
        <v>57</v>
      </c>
      <c r="H241" s="171" t="s">
        <v>197</v>
      </c>
      <c r="I241" s="171"/>
    </row>
    <row r="242" spans="2:9" x14ac:dyDescent="0.3">
      <c r="B242" s="169" t="s">
        <v>658</v>
      </c>
      <c r="C242" s="169" t="s">
        <v>185</v>
      </c>
      <c r="D242" s="169" t="s">
        <v>757</v>
      </c>
      <c r="E242" s="169" t="s">
        <v>758</v>
      </c>
      <c r="F242" s="169" t="s">
        <v>759</v>
      </c>
      <c r="G242" s="170" t="s">
        <v>296</v>
      </c>
      <c r="H242" s="171" t="s">
        <v>198</v>
      </c>
      <c r="I242" s="171"/>
    </row>
    <row r="243" spans="2:9" x14ac:dyDescent="0.3">
      <c r="B243" s="169" t="s">
        <v>658</v>
      </c>
      <c r="C243" s="169" t="s">
        <v>185</v>
      </c>
      <c r="D243" s="169" t="s">
        <v>760</v>
      </c>
      <c r="E243" s="169" t="s">
        <v>199</v>
      </c>
      <c r="F243" s="169" t="s">
        <v>761</v>
      </c>
      <c r="G243" s="170" t="s">
        <v>509</v>
      </c>
      <c r="H243" s="171" t="s">
        <v>199</v>
      </c>
      <c r="I243" s="171"/>
    </row>
    <row r="244" spans="2:9" x14ac:dyDescent="0.3">
      <c r="B244" s="169" t="s">
        <v>658</v>
      </c>
      <c r="C244" s="169" t="s">
        <v>185</v>
      </c>
      <c r="D244" s="169" t="s">
        <v>760</v>
      </c>
      <c r="E244" s="169" t="s">
        <v>199</v>
      </c>
      <c r="F244" s="169" t="s">
        <v>762</v>
      </c>
      <c r="G244" s="170" t="s">
        <v>511</v>
      </c>
      <c r="H244" s="171" t="s">
        <v>199</v>
      </c>
      <c r="I244" s="171"/>
    </row>
    <row r="245" spans="2:9" x14ac:dyDescent="0.3">
      <c r="B245" s="169" t="s">
        <v>658</v>
      </c>
      <c r="C245" s="169" t="s">
        <v>185</v>
      </c>
      <c r="D245" s="169" t="s">
        <v>760</v>
      </c>
      <c r="E245" s="169" t="s">
        <v>199</v>
      </c>
      <c r="F245" s="169" t="s">
        <v>763</v>
      </c>
      <c r="G245" s="170" t="s">
        <v>764</v>
      </c>
      <c r="H245" s="171" t="s">
        <v>199</v>
      </c>
      <c r="I245" s="171"/>
    </row>
    <row r="246" spans="2:9" x14ac:dyDescent="0.3">
      <c r="B246" s="169" t="s">
        <v>658</v>
      </c>
      <c r="C246" s="169" t="s">
        <v>185</v>
      </c>
      <c r="D246" s="169" t="s">
        <v>760</v>
      </c>
      <c r="E246" s="169" t="s">
        <v>199</v>
      </c>
      <c r="F246" s="169" t="s">
        <v>765</v>
      </c>
      <c r="G246" s="170" t="s">
        <v>57</v>
      </c>
      <c r="H246" s="171" t="s">
        <v>199</v>
      </c>
      <c r="I246" s="171"/>
    </row>
    <row r="247" spans="2:9" x14ac:dyDescent="0.3">
      <c r="B247" s="169" t="s">
        <v>766</v>
      </c>
      <c r="C247" s="169" t="s">
        <v>200</v>
      </c>
      <c r="D247" s="169" t="s">
        <v>767</v>
      </c>
      <c r="E247" s="169" t="s">
        <v>768</v>
      </c>
      <c r="F247" s="169" t="s">
        <v>769</v>
      </c>
      <c r="G247" s="170" t="s">
        <v>509</v>
      </c>
      <c r="H247" s="171" t="s">
        <v>770</v>
      </c>
      <c r="I247" s="171"/>
    </row>
    <row r="248" spans="2:9" x14ac:dyDescent="0.3">
      <c r="B248" s="169" t="s">
        <v>766</v>
      </c>
      <c r="C248" s="169" t="s">
        <v>200</v>
      </c>
      <c r="D248" s="169" t="s">
        <v>767</v>
      </c>
      <c r="E248" s="169" t="s">
        <v>768</v>
      </c>
      <c r="F248" s="169" t="s">
        <v>771</v>
      </c>
      <c r="G248" s="170" t="s">
        <v>511</v>
      </c>
      <c r="H248" s="171" t="s">
        <v>770</v>
      </c>
      <c r="I248" s="171"/>
    </row>
    <row r="249" spans="2:9" x14ac:dyDescent="0.3">
      <c r="B249" s="169" t="s">
        <v>766</v>
      </c>
      <c r="C249" s="169" t="s">
        <v>200</v>
      </c>
      <c r="D249" s="169" t="s">
        <v>767</v>
      </c>
      <c r="E249" s="169" t="s">
        <v>768</v>
      </c>
      <c r="F249" s="169" t="s">
        <v>772</v>
      </c>
      <c r="G249" s="170" t="s">
        <v>773</v>
      </c>
      <c r="H249" s="171" t="s">
        <v>202</v>
      </c>
      <c r="I249" s="171"/>
    </row>
    <row r="250" spans="2:9" x14ac:dyDescent="0.3">
      <c r="B250" s="169" t="s">
        <v>766</v>
      </c>
      <c r="C250" s="169" t="s">
        <v>200</v>
      </c>
      <c r="D250" s="169" t="s">
        <v>767</v>
      </c>
      <c r="E250" s="169" t="s">
        <v>768</v>
      </c>
      <c r="F250" s="169" t="s">
        <v>774</v>
      </c>
      <c r="G250" s="170" t="s">
        <v>582</v>
      </c>
      <c r="H250" s="171" t="s">
        <v>203</v>
      </c>
      <c r="I250" s="171"/>
    </row>
    <row r="251" spans="2:9" x14ac:dyDescent="0.3">
      <c r="B251" s="169" t="s">
        <v>766</v>
      </c>
      <c r="C251" s="169" t="s">
        <v>200</v>
      </c>
      <c r="D251" s="169" t="s">
        <v>767</v>
      </c>
      <c r="E251" s="169" t="s">
        <v>768</v>
      </c>
      <c r="F251" s="169" t="s">
        <v>775</v>
      </c>
      <c r="G251" s="170" t="s">
        <v>776</v>
      </c>
      <c r="H251" s="171" t="s">
        <v>202</v>
      </c>
      <c r="I251" s="171"/>
    </row>
    <row r="252" spans="2:9" x14ac:dyDescent="0.3">
      <c r="B252" s="169" t="s">
        <v>766</v>
      </c>
      <c r="C252" s="169" t="s">
        <v>200</v>
      </c>
      <c r="D252" s="169" t="s">
        <v>767</v>
      </c>
      <c r="E252" s="169" t="s">
        <v>768</v>
      </c>
      <c r="F252" s="169" t="s">
        <v>777</v>
      </c>
      <c r="G252" s="170" t="s">
        <v>778</v>
      </c>
      <c r="H252" s="171" t="s">
        <v>203</v>
      </c>
      <c r="I252" s="171"/>
    </row>
    <row r="253" spans="2:9" x14ac:dyDescent="0.3">
      <c r="B253" s="169" t="s">
        <v>766</v>
      </c>
      <c r="C253" s="169" t="s">
        <v>200</v>
      </c>
      <c r="D253" s="169" t="s">
        <v>767</v>
      </c>
      <c r="E253" s="169" t="s">
        <v>768</v>
      </c>
      <c r="F253" s="169" t="s">
        <v>779</v>
      </c>
      <c r="G253" s="170" t="s">
        <v>57</v>
      </c>
      <c r="H253" s="171" t="s">
        <v>770</v>
      </c>
      <c r="I253" s="171"/>
    </row>
    <row r="254" spans="2:9" x14ac:dyDescent="0.3">
      <c r="B254" s="169" t="s">
        <v>766</v>
      </c>
      <c r="C254" s="169" t="s">
        <v>200</v>
      </c>
      <c r="D254" s="169" t="s">
        <v>780</v>
      </c>
      <c r="E254" s="169" t="s">
        <v>204</v>
      </c>
      <c r="F254" s="169" t="s">
        <v>781</v>
      </c>
      <c r="G254" s="170" t="s">
        <v>509</v>
      </c>
      <c r="H254" s="171" t="s">
        <v>204</v>
      </c>
      <c r="I254" s="171"/>
    </row>
    <row r="255" spans="2:9" x14ac:dyDescent="0.3">
      <c r="B255" s="169" t="s">
        <v>766</v>
      </c>
      <c r="C255" s="169" t="s">
        <v>200</v>
      </c>
      <c r="D255" s="169" t="s">
        <v>780</v>
      </c>
      <c r="E255" s="169" t="s">
        <v>204</v>
      </c>
      <c r="F255" s="169" t="s">
        <v>782</v>
      </c>
      <c r="G255" s="170" t="s">
        <v>511</v>
      </c>
      <c r="H255" s="171" t="s">
        <v>204</v>
      </c>
      <c r="I255" s="171"/>
    </row>
    <row r="256" spans="2:9" x14ac:dyDescent="0.3">
      <c r="B256" s="169" t="s">
        <v>766</v>
      </c>
      <c r="C256" s="169" t="s">
        <v>200</v>
      </c>
      <c r="D256" s="169" t="s">
        <v>780</v>
      </c>
      <c r="E256" s="169" t="s">
        <v>204</v>
      </c>
      <c r="F256" s="169" t="s">
        <v>783</v>
      </c>
      <c r="G256" s="170" t="s">
        <v>773</v>
      </c>
      <c r="H256" s="171" t="s">
        <v>204</v>
      </c>
      <c r="I256" s="171"/>
    </row>
    <row r="257" spans="2:9" x14ac:dyDescent="0.3">
      <c r="B257" s="169" t="s">
        <v>766</v>
      </c>
      <c r="C257" s="169" t="s">
        <v>200</v>
      </c>
      <c r="D257" s="169" t="s">
        <v>780</v>
      </c>
      <c r="E257" s="169" t="s">
        <v>204</v>
      </c>
      <c r="F257" s="169" t="s">
        <v>784</v>
      </c>
      <c r="G257" s="170" t="s">
        <v>582</v>
      </c>
      <c r="H257" s="171" t="s">
        <v>204</v>
      </c>
      <c r="I257" s="171"/>
    </row>
    <row r="258" spans="2:9" x14ac:dyDescent="0.3">
      <c r="B258" s="169" t="s">
        <v>766</v>
      </c>
      <c r="C258" s="169" t="s">
        <v>200</v>
      </c>
      <c r="D258" s="169" t="s">
        <v>780</v>
      </c>
      <c r="E258" s="169" t="s">
        <v>204</v>
      </c>
      <c r="F258" s="169" t="s">
        <v>785</v>
      </c>
      <c r="G258" s="170" t="s">
        <v>57</v>
      </c>
      <c r="H258" s="171" t="s">
        <v>204</v>
      </c>
      <c r="I258" s="171"/>
    </row>
    <row r="259" spans="2:9" x14ac:dyDescent="0.3">
      <c r="B259" s="169" t="s">
        <v>766</v>
      </c>
      <c r="C259" s="169" t="s">
        <v>200</v>
      </c>
      <c r="D259" s="169" t="s">
        <v>786</v>
      </c>
      <c r="E259" s="169" t="s">
        <v>787</v>
      </c>
      <c r="F259" s="169" t="s">
        <v>788</v>
      </c>
      <c r="G259" s="170" t="s">
        <v>509</v>
      </c>
      <c r="H259" s="171" t="s">
        <v>205</v>
      </c>
      <c r="I259" s="171"/>
    </row>
    <row r="260" spans="2:9" x14ac:dyDescent="0.3">
      <c r="B260" s="169" t="s">
        <v>766</v>
      </c>
      <c r="C260" s="169" t="s">
        <v>200</v>
      </c>
      <c r="D260" s="169" t="s">
        <v>786</v>
      </c>
      <c r="E260" s="169" t="s">
        <v>787</v>
      </c>
      <c r="F260" s="169" t="s">
        <v>789</v>
      </c>
      <c r="G260" s="170" t="s">
        <v>511</v>
      </c>
      <c r="H260" s="171" t="s">
        <v>205</v>
      </c>
      <c r="I260" s="171"/>
    </row>
    <row r="261" spans="2:9" x14ac:dyDescent="0.3">
      <c r="B261" s="169" t="s">
        <v>766</v>
      </c>
      <c r="C261" s="169" t="s">
        <v>200</v>
      </c>
      <c r="D261" s="169" t="s">
        <v>786</v>
      </c>
      <c r="E261" s="169" t="s">
        <v>787</v>
      </c>
      <c r="F261" s="169" t="s">
        <v>790</v>
      </c>
      <c r="G261" s="170" t="s">
        <v>791</v>
      </c>
      <c r="H261" s="171" t="s">
        <v>206</v>
      </c>
      <c r="I261" s="171"/>
    </row>
    <row r="262" spans="2:9" x14ac:dyDescent="0.3">
      <c r="B262" s="169" t="s">
        <v>766</v>
      </c>
      <c r="C262" s="169" t="s">
        <v>200</v>
      </c>
      <c r="D262" s="169" t="s">
        <v>786</v>
      </c>
      <c r="E262" s="169" t="s">
        <v>787</v>
      </c>
      <c r="F262" s="169" t="s">
        <v>792</v>
      </c>
      <c r="G262" s="170" t="s">
        <v>793</v>
      </c>
      <c r="H262" s="171" t="s">
        <v>205</v>
      </c>
      <c r="I262" s="171"/>
    </row>
    <row r="263" spans="2:9" x14ac:dyDescent="0.3">
      <c r="B263" s="169" t="s">
        <v>766</v>
      </c>
      <c r="C263" s="169" t="s">
        <v>200</v>
      </c>
      <c r="D263" s="169" t="s">
        <v>786</v>
      </c>
      <c r="E263" s="169" t="s">
        <v>787</v>
      </c>
      <c r="F263" s="169" t="s">
        <v>794</v>
      </c>
      <c r="G263" s="170" t="s">
        <v>57</v>
      </c>
      <c r="H263" s="171" t="s">
        <v>205</v>
      </c>
      <c r="I263" s="171"/>
    </row>
    <row r="264" spans="2:9" x14ac:dyDescent="0.3">
      <c r="B264" s="169" t="s">
        <v>766</v>
      </c>
      <c r="C264" s="169" t="s">
        <v>200</v>
      </c>
      <c r="D264" s="169" t="s">
        <v>795</v>
      </c>
      <c r="E264" s="169" t="s">
        <v>207</v>
      </c>
      <c r="F264" s="169" t="s">
        <v>796</v>
      </c>
      <c r="G264" s="170" t="s">
        <v>509</v>
      </c>
      <c r="H264" s="171" t="s">
        <v>207</v>
      </c>
      <c r="I264" s="171"/>
    </row>
    <row r="265" spans="2:9" x14ac:dyDescent="0.3">
      <c r="B265" s="169" t="s">
        <v>766</v>
      </c>
      <c r="C265" s="169" t="s">
        <v>200</v>
      </c>
      <c r="D265" s="169" t="s">
        <v>795</v>
      </c>
      <c r="E265" s="169" t="s">
        <v>207</v>
      </c>
      <c r="F265" s="169" t="s">
        <v>797</v>
      </c>
      <c r="G265" s="170" t="s">
        <v>511</v>
      </c>
      <c r="H265" s="171" t="s">
        <v>207</v>
      </c>
      <c r="I265" s="171"/>
    </row>
    <row r="266" spans="2:9" x14ac:dyDescent="0.3">
      <c r="B266" s="169" t="s">
        <v>766</v>
      </c>
      <c r="C266" s="169" t="s">
        <v>200</v>
      </c>
      <c r="D266" s="169" t="s">
        <v>795</v>
      </c>
      <c r="E266" s="169" t="s">
        <v>207</v>
      </c>
      <c r="F266" s="169" t="s">
        <v>798</v>
      </c>
      <c r="G266" s="170" t="s">
        <v>793</v>
      </c>
      <c r="H266" s="171" t="s">
        <v>207</v>
      </c>
      <c r="I266" s="171"/>
    </row>
    <row r="267" spans="2:9" x14ac:dyDescent="0.3">
      <c r="B267" s="169" t="s">
        <v>766</v>
      </c>
      <c r="C267" s="169" t="s">
        <v>200</v>
      </c>
      <c r="D267" s="169" t="s">
        <v>795</v>
      </c>
      <c r="E267" s="169" t="s">
        <v>207</v>
      </c>
      <c r="F267" s="169" t="s">
        <v>799</v>
      </c>
      <c r="G267" s="170" t="s">
        <v>764</v>
      </c>
      <c r="H267" s="171" t="s">
        <v>207</v>
      </c>
      <c r="I267" s="171"/>
    </row>
    <row r="268" spans="2:9" x14ac:dyDescent="0.3">
      <c r="B268" s="169" t="s">
        <v>766</v>
      </c>
      <c r="C268" s="169" t="s">
        <v>200</v>
      </c>
      <c r="D268" s="169" t="s">
        <v>795</v>
      </c>
      <c r="E268" s="169" t="s">
        <v>207</v>
      </c>
      <c r="F268" s="169" t="s">
        <v>800</v>
      </c>
      <c r="G268" s="170" t="s">
        <v>57</v>
      </c>
      <c r="H268" s="171" t="s">
        <v>207</v>
      </c>
      <c r="I268" s="171"/>
    </row>
    <row r="269" spans="2:9" x14ac:dyDescent="0.3">
      <c r="B269" s="169" t="s">
        <v>766</v>
      </c>
      <c r="C269" s="169" t="s">
        <v>200</v>
      </c>
      <c r="D269" s="169" t="s">
        <v>801</v>
      </c>
      <c r="E269" s="169" t="s">
        <v>208</v>
      </c>
      <c r="F269" s="169" t="s">
        <v>802</v>
      </c>
      <c r="G269" s="170" t="s">
        <v>509</v>
      </c>
      <c r="H269" s="171" t="s">
        <v>208</v>
      </c>
      <c r="I269" s="171"/>
    </row>
    <row r="270" spans="2:9" x14ac:dyDescent="0.3">
      <c r="B270" s="169" t="s">
        <v>766</v>
      </c>
      <c r="C270" s="169" t="s">
        <v>200</v>
      </c>
      <c r="D270" s="169" t="s">
        <v>801</v>
      </c>
      <c r="E270" s="169" t="s">
        <v>208</v>
      </c>
      <c r="F270" s="169" t="s">
        <v>803</v>
      </c>
      <c r="G270" s="170" t="s">
        <v>511</v>
      </c>
      <c r="H270" s="171" t="s">
        <v>208</v>
      </c>
      <c r="I270" s="171"/>
    </row>
    <row r="271" spans="2:9" x14ac:dyDescent="0.3">
      <c r="B271" s="169" t="s">
        <v>766</v>
      </c>
      <c r="C271" s="169" t="s">
        <v>200</v>
      </c>
      <c r="D271" s="169" t="s">
        <v>801</v>
      </c>
      <c r="E271" s="169" t="s">
        <v>208</v>
      </c>
      <c r="F271" s="169" t="s">
        <v>804</v>
      </c>
      <c r="G271" s="170" t="s">
        <v>805</v>
      </c>
      <c r="H271" s="171" t="s">
        <v>208</v>
      </c>
      <c r="I271" s="171"/>
    </row>
    <row r="272" spans="2:9" x14ac:dyDescent="0.3">
      <c r="B272" s="169" t="s">
        <v>766</v>
      </c>
      <c r="C272" s="169" t="s">
        <v>200</v>
      </c>
      <c r="D272" s="169" t="s">
        <v>801</v>
      </c>
      <c r="E272" s="169" t="s">
        <v>208</v>
      </c>
      <c r="F272" s="169" t="s">
        <v>806</v>
      </c>
      <c r="G272" s="170" t="s">
        <v>807</v>
      </c>
      <c r="H272" s="171" t="s">
        <v>208</v>
      </c>
      <c r="I272" s="171"/>
    </row>
    <row r="273" spans="2:9" x14ac:dyDescent="0.3">
      <c r="B273" s="169" t="s">
        <v>766</v>
      </c>
      <c r="C273" s="169" t="s">
        <v>200</v>
      </c>
      <c r="D273" s="169" t="s">
        <v>801</v>
      </c>
      <c r="E273" s="169" t="s">
        <v>208</v>
      </c>
      <c r="F273" s="169" t="s">
        <v>808</v>
      </c>
      <c r="G273" s="170" t="s">
        <v>809</v>
      </c>
      <c r="H273" s="171" t="s">
        <v>208</v>
      </c>
      <c r="I273" s="171"/>
    </row>
    <row r="274" spans="2:9" x14ac:dyDescent="0.3">
      <c r="B274" s="169" t="s">
        <v>766</v>
      </c>
      <c r="C274" s="169" t="s">
        <v>200</v>
      </c>
      <c r="D274" s="169" t="s">
        <v>801</v>
      </c>
      <c r="E274" s="169" t="s">
        <v>208</v>
      </c>
      <c r="F274" s="169" t="s">
        <v>810</v>
      </c>
      <c r="G274" s="170" t="s">
        <v>811</v>
      </c>
      <c r="H274" s="171" t="s">
        <v>208</v>
      </c>
      <c r="I274" s="171"/>
    </row>
    <row r="275" spans="2:9" x14ac:dyDescent="0.3">
      <c r="B275" s="169" t="s">
        <v>766</v>
      </c>
      <c r="C275" s="169" t="s">
        <v>200</v>
      </c>
      <c r="D275" s="169" t="s">
        <v>801</v>
      </c>
      <c r="E275" s="169" t="s">
        <v>208</v>
      </c>
      <c r="F275" s="169" t="s">
        <v>812</v>
      </c>
      <c r="G275" s="170" t="s">
        <v>57</v>
      </c>
      <c r="H275" s="171" t="s">
        <v>208</v>
      </c>
      <c r="I275" s="171"/>
    </row>
    <row r="276" spans="2:9" x14ac:dyDescent="0.3">
      <c r="B276" s="169" t="s">
        <v>766</v>
      </c>
      <c r="C276" s="169" t="s">
        <v>200</v>
      </c>
      <c r="D276" s="169" t="s">
        <v>813</v>
      </c>
      <c r="E276" s="169" t="s">
        <v>209</v>
      </c>
      <c r="F276" s="169" t="s">
        <v>814</v>
      </c>
      <c r="G276" s="170" t="s">
        <v>509</v>
      </c>
      <c r="H276" s="171" t="s">
        <v>209</v>
      </c>
      <c r="I276" s="171"/>
    </row>
    <row r="277" spans="2:9" x14ac:dyDescent="0.3">
      <c r="B277" s="169" t="s">
        <v>766</v>
      </c>
      <c r="C277" s="169" t="s">
        <v>200</v>
      </c>
      <c r="D277" s="169" t="s">
        <v>813</v>
      </c>
      <c r="E277" s="169" t="s">
        <v>209</v>
      </c>
      <c r="F277" s="169" t="s">
        <v>815</v>
      </c>
      <c r="G277" s="170" t="s">
        <v>511</v>
      </c>
      <c r="H277" s="171" t="s">
        <v>209</v>
      </c>
      <c r="I277" s="171"/>
    </row>
    <row r="278" spans="2:9" x14ac:dyDescent="0.3">
      <c r="B278" s="169" t="s">
        <v>766</v>
      </c>
      <c r="C278" s="169" t="s">
        <v>200</v>
      </c>
      <c r="D278" s="169" t="s">
        <v>813</v>
      </c>
      <c r="E278" s="169" t="s">
        <v>209</v>
      </c>
      <c r="F278" s="169" t="s">
        <v>816</v>
      </c>
      <c r="G278" s="170" t="s">
        <v>764</v>
      </c>
      <c r="H278" s="171" t="s">
        <v>209</v>
      </c>
      <c r="I278" s="171"/>
    </row>
    <row r="279" spans="2:9" x14ac:dyDescent="0.3">
      <c r="B279" s="169" t="s">
        <v>766</v>
      </c>
      <c r="C279" s="169" t="s">
        <v>200</v>
      </c>
      <c r="D279" s="169" t="s">
        <v>813</v>
      </c>
      <c r="E279" s="169" t="s">
        <v>209</v>
      </c>
      <c r="F279" s="169" t="s">
        <v>817</v>
      </c>
      <c r="G279" s="170" t="s">
        <v>57</v>
      </c>
      <c r="H279" s="171" t="s">
        <v>209</v>
      </c>
      <c r="I279" s="171"/>
    </row>
    <row r="280" spans="2:9" x14ac:dyDescent="0.3">
      <c r="B280" s="169" t="s">
        <v>766</v>
      </c>
      <c r="C280" s="169" t="s">
        <v>200</v>
      </c>
      <c r="D280" s="169" t="s">
        <v>818</v>
      </c>
      <c r="E280" s="169" t="s">
        <v>819</v>
      </c>
      <c r="F280" s="169" t="s">
        <v>820</v>
      </c>
      <c r="G280" s="170" t="s">
        <v>509</v>
      </c>
      <c r="H280" s="171" t="s">
        <v>210</v>
      </c>
      <c r="I280" s="171"/>
    </row>
    <row r="281" spans="2:9" x14ac:dyDescent="0.3">
      <c r="B281" s="169" t="s">
        <v>766</v>
      </c>
      <c r="C281" s="169" t="s">
        <v>200</v>
      </c>
      <c r="D281" s="169" t="s">
        <v>818</v>
      </c>
      <c r="E281" s="169" t="s">
        <v>819</v>
      </c>
      <c r="F281" s="169" t="s">
        <v>821</v>
      </c>
      <c r="G281" s="170" t="s">
        <v>511</v>
      </c>
      <c r="H281" s="171" t="s">
        <v>210</v>
      </c>
      <c r="I281" s="171"/>
    </row>
    <row r="282" spans="2:9" x14ac:dyDescent="0.3">
      <c r="B282" s="169" t="s">
        <v>766</v>
      </c>
      <c r="C282" s="169" t="s">
        <v>200</v>
      </c>
      <c r="D282" s="169" t="s">
        <v>818</v>
      </c>
      <c r="E282" s="169" t="s">
        <v>819</v>
      </c>
      <c r="F282" s="169" t="s">
        <v>822</v>
      </c>
      <c r="G282" s="170" t="s">
        <v>764</v>
      </c>
      <c r="H282" s="171" t="s">
        <v>210</v>
      </c>
      <c r="I282" s="171"/>
    </row>
    <row r="283" spans="2:9" x14ac:dyDescent="0.3">
      <c r="B283" s="169" t="s">
        <v>766</v>
      </c>
      <c r="C283" s="169" t="s">
        <v>200</v>
      </c>
      <c r="D283" s="169" t="s">
        <v>818</v>
      </c>
      <c r="E283" s="169" t="s">
        <v>819</v>
      </c>
      <c r="F283" s="169" t="s">
        <v>823</v>
      </c>
      <c r="G283" s="170" t="s">
        <v>57</v>
      </c>
      <c r="H283" s="171" t="s">
        <v>210</v>
      </c>
      <c r="I283" s="171"/>
    </row>
    <row r="284" spans="2:9" x14ac:dyDescent="0.3">
      <c r="B284" s="169" t="s">
        <v>766</v>
      </c>
      <c r="C284" s="169" t="s">
        <v>200</v>
      </c>
      <c r="D284" s="169" t="s">
        <v>824</v>
      </c>
      <c r="E284" s="169" t="s">
        <v>825</v>
      </c>
      <c r="F284" s="169" t="s">
        <v>826</v>
      </c>
      <c r="G284" s="170" t="s">
        <v>509</v>
      </c>
      <c r="H284" s="171" t="s">
        <v>211</v>
      </c>
      <c r="I284" s="171"/>
    </row>
    <row r="285" spans="2:9" x14ac:dyDescent="0.3">
      <c r="B285" s="169" t="s">
        <v>766</v>
      </c>
      <c r="C285" s="169" t="s">
        <v>200</v>
      </c>
      <c r="D285" s="169" t="s">
        <v>824</v>
      </c>
      <c r="E285" s="169" t="s">
        <v>825</v>
      </c>
      <c r="F285" s="169" t="s">
        <v>827</v>
      </c>
      <c r="G285" s="170" t="s">
        <v>511</v>
      </c>
      <c r="H285" s="171" t="s">
        <v>211</v>
      </c>
      <c r="I285" s="171"/>
    </row>
    <row r="286" spans="2:9" x14ac:dyDescent="0.3">
      <c r="B286" s="169" t="s">
        <v>766</v>
      </c>
      <c r="C286" s="169" t="s">
        <v>200</v>
      </c>
      <c r="D286" s="169" t="s">
        <v>824</v>
      </c>
      <c r="E286" s="169" t="s">
        <v>825</v>
      </c>
      <c r="F286" s="169" t="s">
        <v>828</v>
      </c>
      <c r="G286" s="170" t="s">
        <v>764</v>
      </c>
      <c r="H286" s="171" t="s">
        <v>211</v>
      </c>
      <c r="I286" s="171"/>
    </row>
    <row r="287" spans="2:9" x14ac:dyDescent="0.3">
      <c r="B287" s="169" t="s">
        <v>766</v>
      </c>
      <c r="C287" s="169" t="s">
        <v>200</v>
      </c>
      <c r="D287" s="169" t="s">
        <v>824</v>
      </c>
      <c r="E287" s="169" t="s">
        <v>825</v>
      </c>
      <c r="F287" s="169" t="s">
        <v>829</v>
      </c>
      <c r="G287" s="170" t="s">
        <v>57</v>
      </c>
      <c r="H287" s="171" t="s">
        <v>211</v>
      </c>
      <c r="I287" s="171"/>
    </row>
    <row r="288" spans="2:9" x14ac:dyDescent="0.3">
      <c r="B288" s="169" t="s">
        <v>830</v>
      </c>
      <c r="C288" s="169" t="s">
        <v>217</v>
      </c>
      <c r="D288" s="169" t="s">
        <v>831</v>
      </c>
      <c r="E288" s="169" t="s">
        <v>832</v>
      </c>
      <c r="F288" s="169" t="s">
        <v>833</v>
      </c>
      <c r="G288" s="170" t="s">
        <v>296</v>
      </c>
      <c r="H288" s="171" t="s">
        <v>218</v>
      </c>
      <c r="I288" s="171"/>
    </row>
    <row r="289" spans="2:9" x14ac:dyDescent="0.3">
      <c r="B289" s="169" t="s">
        <v>830</v>
      </c>
      <c r="C289" s="169" t="s">
        <v>217</v>
      </c>
      <c r="D289" s="169" t="s">
        <v>834</v>
      </c>
      <c r="E289" s="169" t="s">
        <v>835</v>
      </c>
      <c r="F289" s="169" t="s">
        <v>836</v>
      </c>
      <c r="G289" s="170" t="s">
        <v>296</v>
      </c>
      <c r="H289" s="171" t="s">
        <v>218</v>
      </c>
      <c r="I289" s="171"/>
    </row>
    <row r="290" spans="2:9" x14ac:dyDescent="0.3">
      <c r="B290" s="169" t="s">
        <v>830</v>
      </c>
      <c r="C290" s="169" t="s">
        <v>217</v>
      </c>
      <c r="D290" s="169" t="s">
        <v>837</v>
      </c>
      <c r="E290" s="169" t="s">
        <v>838</v>
      </c>
      <c r="F290" s="169" t="s">
        <v>839</v>
      </c>
      <c r="G290" s="170" t="s">
        <v>296</v>
      </c>
      <c r="H290" s="171" t="s">
        <v>218</v>
      </c>
      <c r="I290" s="171"/>
    </row>
    <row r="291" spans="2:9" x14ac:dyDescent="0.3">
      <c r="B291" s="169" t="s">
        <v>830</v>
      </c>
      <c r="C291" s="169" t="s">
        <v>217</v>
      </c>
      <c r="D291" s="169" t="s">
        <v>840</v>
      </c>
      <c r="E291" s="169" t="s">
        <v>841</v>
      </c>
      <c r="F291" s="169" t="s">
        <v>842</v>
      </c>
      <c r="G291" s="170" t="s">
        <v>296</v>
      </c>
      <c r="H291" s="171" t="s">
        <v>219</v>
      </c>
      <c r="I291" s="171"/>
    </row>
    <row r="292" spans="2:9" x14ac:dyDescent="0.3">
      <c r="B292" s="169" t="s">
        <v>830</v>
      </c>
      <c r="C292" s="169" t="s">
        <v>217</v>
      </c>
      <c r="D292" s="169" t="s">
        <v>843</v>
      </c>
      <c r="E292" s="169" t="s">
        <v>844</v>
      </c>
      <c r="F292" s="169" t="s">
        <v>845</v>
      </c>
      <c r="G292" s="170" t="s">
        <v>296</v>
      </c>
      <c r="H292" s="171" t="s">
        <v>220</v>
      </c>
      <c r="I292" s="171"/>
    </row>
    <row r="293" spans="2:9" x14ac:dyDescent="0.3">
      <c r="B293" s="169" t="s">
        <v>830</v>
      </c>
      <c r="C293" s="169" t="s">
        <v>217</v>
      </c>
      <c r="D293" s="169" t="s">
        <v>846</v>
      </c>
      <c r="E293" s="169" t="s">
        <v>847</v>
      </c>
      <c r="F293" s="169" t="s">
        <v>848</v>
      </c>
      <c r="G293" s="170" t="s">
        <v>296</v>
      </c>
      <c r="H293" s="171" t="s">
        <v>219</v>
      </c>
      <c r="I293" s="171"/>
    </row>
    <row r="294" spans="2:9" x14ac:dyDescent="0.3">
      <c r="B294" s="169" t="s">
        <v>830</v>
      </c>
      <c r="C294" s="169" t="s">
        <v>217</v>
      </c>
      <c r="D294" s="169" t="s">
        <v>849</v>
      </c>
      <c r="E294" s="169" t="s">
        <v>57</v>
      </c>
      <c r="F294" s="169" t="s">
        <v>850</v>
      </c>
      <c r="G294" s="170" t="s">
        <v>296</v>
      </c>
      <c r="H294" s="171" t="s">
        <v>218</v>
      </c>
      <c r="I294" s="171"/>
    </row>
    <row r="295" spans="2:9" x14ac:dyDescent="0.3">
      <c r="B295" s="169" t="s">
        <v>851</v>
      </c>
      <c r="C295" s="169" t="s">
        <v>212</v>
      </c>
      <c r="D295" s="169" t="s">
        <v>852</v>
      </c>
      <c r="E295" s="169" t="s">
        <v>329</v>
      </c>
      <c r="F295" s="169" t="s">
        <v>853</v>
      </c>
      <c r="G295" s="170" t="s">
        <v>326</v>
      </c>
      <c r="H295" s="171" t="s">
        <v>213</v>
      </c>
      <c r="I295" s="171"/>
    </row>
    <row r="296" spans="2:9" x14ac:dyDescent="0.3">
      <c r="B296" s="169" t="s">
        <v>851</v>
      </c>
      <c r="C296" s="169" t="s">
        <v>212</v>
      </c>
      <c r="D296" s="169" t="s">
        <v>852</v>
      </c>
      <c r="E296" s="169" t="s">
        <v>329</v>
      </c>
      <c r="F296" s="169" t="s">
        <v>854</v>
      </c>
      <c r="G296" s="170" t="s">
        <v>217</v>
      </c>
      <c r="H296" s="171" t="s">
        <v>214</v>
      </c>
      <c r="I296" s="171"/>
    </row>
    <row r="297" spans="2:9" x14ac:dyDescent="0.3">
      <c r="B297" s="169" t="s">
        <v>851</v>
      </c>
      <c r="C297" s="169" t="s">
        <v>212</v>
      </c>
      <c r="D297" s="169" t="s">
        <v>855</v>
      </c>
      <c r="E297" s="169" t="s">
        <v>856</v>
      </c>
      <c r="F297" s="169" t="s">
        <v>853</v>
      </c>
      <c r="G297" s="170" t="s">
        <v>296</v>
      </c>
      <c r="H297" s="171" t="s">
        <v>212</v>
      </c>
      <c r="I297" s="171"/>
    </row>
    <row r="298" spans="2:9" x14ac:dyDescent="0.3">
      <c r="B298" s="169" t="s">
        <v>851</v>
      </c>
      <c r="C298" s="169" t="s">
        <v>212</v>
      </c>
      <c r="D298" s="169" t="s">
        <v>857</v>
      </c>
      <c r="E298" s="169" t="s">
        <v>333</v>
      </c>
      <c r="F298" s="169" t="s">
        <v>858</v>
      </c>
      <c r="G298" s="170" t="s">
        <v>326</v>
      </c>
      <c r="H298" s="171" t="s">
        <v>215</v>
      </c>
      <c r="I298" s="171"/>
    </row>
    <row r="299" spans="2:9" x14ac:dyDescent="0.3">
      <c r="B299" s="169" t="s">
        <v>851</v>
      </c>
      <c r="C299" s="169" t="s">
        <v>212</v>
      </c>
      <c r="D299" s="169" t="s">
        <v>857</v>
      </c>
      <c r="E299" s="169" t="s">
        <v>333</v>
      </c>
      <c r="F299" s="169" t="s">
        <v>859</v>
      </c>
      <c r="G299" s="170" t="s">
        <v>217</v>
      </c>
      <c r="H299" s="171" t="s">
        <v>221</v>
      </c>
      <c r="I299" s="171"/>
    </row>
    <row r="300" spans="2:9" x14ac:dyDescent="0.3">
      <c r="B300" s="169" t="s">
        <v>851</v>
      </c>
      <c r="C300" s="169" t="s">
        <v>212</v>
      </c>
      <c r="D300" s="169" t="s">
        <v>860</v>
      </c>
      <c r="E300" s="169" t="s">
        <v>861</v>
      </c>
      <c r="F300" s="169" t="s">
        <v>862</v>
      </c>
      <c r="G300" s="170" t="s">
        <v>326</v>
      </c>
      <c r="H300" s="171" t="s">
        <v>212</v>
      </c>
      <c r="I300" s="171"/>
    </row>
    <row r="301" spans="2:9" x14ac:dyDescent="0.3">
      <c r="B301" s="169" t="s">
        <v>851</v>
      </c>
      <c r="C301" s="169" t="s">
        <v>212</v>
      </c>
      <c r="D301" s="169" t="s">
        <v>860</v>
      </c>
      <c r="E301" s="169" t="s">
        <v>861</v>
      </c>
      <c r="F301" s="169" t="s">
        <v>863</v>
      </c>
      <c r="G301" s="170" t="s">
        <v>217</v>
      </c>
      <c r="H301" s="171" t="s">
        <v>212</v>
      </c>
      <c r="I301" s="171"/>
    </row>
    <row r="302" spans="2:9" x14ac:dyDescent="0.3">
      <c r="B302" s="169" t="s">
        <v>851</v>
      </c>
      <c r="C302" s="169" t="s">
        <v>212</v>
      </c>
      <c r="D302" s="169" t="s">
        <v>864</v>
      </c>
      <c r="E302" s="169" t="s">
        <v>337</v>
      </c>
      <c r="F302" s="169" t="s">
        <v>865</v>
      </c>
      <c r="G302" s="170" t="s">
        <v>326</v>
      </c>
      <c r="H302" s="171" t="s">
        <v>212</v>
      </c>
      <c r="I302" s="171"/>
    </row>
    <row r="303" spans="2:9" x14ac:dyDescent="0.3">
      <c r="B303" s="169" t="s">
        <v>851</v>
      </c>
      <c r="C303" s="169" t="s">
        <v>212</v>
      </c>
      <c r="D303" s="169" t="s">
        <v>864</v>
      </c>
      <c r="E303" s="169" t="s">
        <v>337</v>
      </c>
      <c r="F303" s="169" t="s">
        <v>866</v>
      </c>
      <c r="G303" s="170" t="s">
        <v>217</v>
      </c>
      <c r="H303" s="171" t="s">
        <v>212</v>
      </c>
      <c r="I303" s="171"/>
    </row>
    <row r="304" spans="2:9" x14ac:dyDescent="0.3">
      <c r="B304" s="169" t="s">
        <v>851</v>
      </c>
      <c r="C304" s="169" t="s">
        <v>212</v>
      </c>
      <c r="D304" s="169" t="s">
        <v>867</v>
      </c>
      <c r="E304" s="169" t="s">
        <v>868</v>
      </c>
      <c r="F304" s="169" t="s">
        <v>869</v>
      </c>
      <c r="G304" s="170" t="s">
        <v>326</v>
      </c>
      <c r="H304" s="171" t="s">
        <v>212</v>
      </c>
      <c r="I304" s="171"/>
    </row>
    <row r="305" spans="2:9" x14ac:dyDescent="0.3">
      <c r="B305" s="169" t="s">
        <v>851</v>
      </c>
      <c r="C305" s="169" t="s">
        <v>212</v>
      </c>
      <c r="D305" s="169" t="s">
        <v>867</v>
      </c>
      <c r="E305" s="169" t="s">
        <v>868</v>
      </c>
      <c r="F305" s="169" t="s">
        <v>870</v>
      </c>
      <c r="G305" s="170" t="s">
        <v>217</v>
      </c>
      <c r="H305" s="171" t="s">
        <v>212</v>
      </c>
      <c r="I305" s="171"/>
    </row>
    <row r="306" spans="2:9" x14ac:dyDescent="0.3">
      <c r="B306" s="169" t="s">
        <v>851</v>
      </c>
      <c r="C306" s="169" t="s">
        <v>212</v>
      </c>
      <c r="D306" s="169" t="s">
        <v>871</v>
      </c>
      <c r="E306" s="169" t="s">
        <v>872</v>
      </c>
      <c r="F306" s="169" t="s">
        <v>873</v>
      </c>
      <c r="G306" s="170" t="s">
        <v>368</v>
      </c>
      <c r="H306" s="171" t="s">
        <v>212</v>
      </c>
      <c r="I306" s="171"/>
    </row>
    <row r="307" spans="2:9" x14ac:dyDescent="0.3">
      <c r="B307" s="169" t="s">
        <v>851</v>
      </c>
      <c r="C307" s="169" t="s">
        <v>212</v>
      </c>
      <c r="D307" s="169" t="s">
        <v>871</v>
      </c>
      <c r="E307" s="169" t="s">
        <v>872</v>
      </c>
      <c r="F307" s="169" t="s">
        <v>874</v>
      </c>
      <c r="G307" s="170" t="s">
        <v>370</v>
      </c>
      <c r="H307" s="171" t="s">
        <v>212</v>
      </c>
      <c r="I307" s="171"/>
    </row>
    <row r="308" spans="2:9" x14ac:dyDescent="0.3">
      <c r="B308" s="169" t="s">
        <v>851</v>
      </c>
      <c r="C308" s="169" t="s">
        <v>212</v>
      </c>
      <c r="D308" s="169" t="s">
        <v>875</v>
      </c>
      <c r="E308" s="169" t="s">
        <v>343</v>
      </c>
      <c r="F308" s="169" t="s">
        <v>876</v>
      </c>
      <c r="G308" s="170" t="s">
        <v>296</v>
      </c>
      <c r="H308" s="171" t="s">
        <v>212</v>
      </c>
      <c r="I308" s="171"/>
    </row>
    <row r="309" spans="2:9" x14ac:dyDescent="0.3">
      <c r="B309" s="169" t="s">
        <v>851</v>
      </c>
      <c r="C309" s="169" t="s">
        <v>212</v>
      </c>
      <c r="D309" s="169" t="s">
        <v>877</v>
      </c>
      <c r="E309" s="169" t="s">
        <v>488</v>
      </c>
      <c r="F309" s="169" t="s">
        <v>878</v>
      </c>
      <c r="G309" s="170" t="s">
        <v>296</v>
      </c>
      <c r="H309" s="171" t="s">
        <v>212</v>
      </c>
      <c r="I309" s="171"/>
    </row>
    <row r="310" spans="2:9" x14ac:dyDescent="0.3">
      <c r="B310" s="169" t="s">
        <v>851</v>
      </c>
      <c r="C310" s="169" t="s">
        <v>212</v>
      </c>
      <c r="D310" s="169" t="s">
        <v>879</v>
      </c>
      <c r="E310" s="169" t="s">
        <v>216</v>
      </c>
      <c r="F310" s="169" t="s">
        <v>880</v>
      </c>
      <c r="G310" s="170" t="s">
        <v>296</v>
      </c>
      <c r="H310" s="171" t="s">
        <v>216</v>
      </c>
      <c r="I310" s="171"/>
    </row>
    <row r="311" spans="2:9" x14ac:dyDescent="0.3">
      <c r="B311" s="169" t="s">
        <v>851</v>
      </c>
      <c r="C311" s="169" t="s">
        <v>212</v>
      </c>
      <c r="D311" s="169" t="s">
        <v>881</v>
      </c>
      <c r="E311" s="169" t="s">
        <v>57</v>
      </c>
      <c r="F311" s="169" t="s">
        <v>882</v>
      </c>
      <c r="G311" s="170" t="s">
        <v>296</v>
      </c>
      <c r="H311" s="171" t="s">
        <v>212</v>
      </c>
      <c r="I311" s="171"/>
    </row>
  </sheetData>
  <autoFilter ref="B2:J311" xr:uid="{4FDED985-7ED2-49E2-B4C0-6226DFC0AD27}"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8DD7-5DE0-4FD3-8376-B04CE8E6037C}">
  <sheetPr codeName="Sheet15">
    <tabColor theme="0" tint="-0.499984740745262"/>
  </sheetPr>
  <dimension ref="A1:G64"/>
  <sheetViews>
    <sheetView zoomScale="85" zoomScaleNormal="85" workbookViewId="0">
      <selection activeCell="F16" sqref="F16"/>
    </sheetView>
  </sheetViews>
  <sheetFormatPr defaultColWidth="8.75" defaultRowHeight="16.5" x14ac:dyDescent="0.3"/>
  <cols>
    <col min="1" max="1" width="23.25" style="3" customWidth="1"/>
    <col min="2" max="2" width="38" style="3" customWidth="1"/>
    <col min="3" max="3" width="19.5" style="3" customWidth="1"/>
    <col min="4" max="4" width="21" style="3" customWidth="1"/>
    <col min="5" max="5" width="8.75" style="3"/>
    <col min="6" max="6" width="29" style="3" customWidth="1"/>
    <col min="7" max="7" width="31.125" style="3" customWidth="1"/>
    <col min="8" max="16384" width="8.75" style="3"/>
  </cols>
  <sheetData>
    <row r="1" spans="1:7" x14ac:dyDescent="0.3">
      <c r="A1" s="3" t="s">
        <v>66</v>
      </c>
      <c r="B1" s="3" t="s">
        <v>883</v>
      </c>
      <c r="C1" s="3" t="s">
        <v>884</v>
      </c>
      <c r="D1" s="3" t="s">
        <v>885</v>
      </c>
      <c r="E1" s="3" t="s">
        <v>886</v>
      </c>
      <c r="F1" s="3" t="s">
        <v>887</v>
      </c>
      <c r="G1" s="3" t="s">
        <v>888</v>
      </c>
    </row>
    <row r="2" spans="1:7" x14ac:dyDescent="0.3">
      <c r="A2" s="3" t="s">
        <v>889</v>
      </c>
      <c r="B2" s="180" t="s">
        <v>890</v>
      </c>
      <c r="C2" s="180" t="str" cm="1">
        <f t="array" aca="1" ref="C2" ca="1">INDIRECT(A2)</f>
        <v>⑤ 도소매업</v>
      </c>
      <c r="D2" s="180" t="str" cm="1">
        <f t="array" aca="1" ref="D2" ca="1">INDIRECT(SUBSTITUTE(B2,"=",""))</f>
        <v>⑤ 도소매업</v>
      </c>
      <c r="E2" s="3" t="b">
        <f ca="1">C2=D2</f>
        <v>1</v>
      </c>
      <c r="F2" s="3" t="s">
        <v>891</v>
      </c>
      <c r="G2" s="3" t="s">
        <v>5</v>
      </c>
    </row>
    <row r="3" spans="1:7" x14ac:dyDescent="0.3">
      <c r="A3" s="3" t="s">
        <v>892</v>
      </c>
      <c r="B3" s="180" t="s">
        <v>893</v>
      </c>
      <c r="C3" s="180" t="str" cm="1">
        <f t="array" aca="1" ref="C3" ca="1">INDIRECT(A3)</f>
        <v>⑤ 별도 1천억미만 ~ 500억이상</v>
      </c>
      <c r="D3" s="180" t="str" cm="1">
        <f t="array" aca="1" ref="D3" ca="1">INDIRECT(SUBSTITUTE(B3,"=",""))</f>
        <v>⑤ 별도 1천억미만 ~ 500억이상</v>
      </c>
      <c r="E3" s="3" t="b">
        <f t="shared" ref="E3:E51" ca="1" si="0">C3=D3</f>
        <v>1</v>
      </c>
      <c r="F3" s="3" t="s">
        <v>891</v>
      </c>
      <c r="G3" s="3" t="s">
        <v>8</v>
      </c>
    </row>
    <row r="4" spans="1:7" x14ac:dyDescent="0.3">
      <c r="A4" s="3" t="s">
        <v>894</v>
      </c>
      <c r="B4" s="180" t="s">
        <v>895</v>
      </c>
      <c r="C4" s="180" t="str" cm="1">
        <f t="array" aca="1" ref="C4" ca="1">INDIRECT(A4)</f>
        <v>⑥ 비상장</v>
      </c>
      <c r="D4" s="180" t="str" cm="1">
        <f t="array" aca="1" ref="D4" ca="1">INDIRECT(SUBSTITUTE(B4,"=",""))</f>
        <v>⑥ 비상장</v>
      </c>
      <c r="E4" s="3" t="b">
        <f t="shared" ca="1" si="0"/>
        <v>1</v>
      </c>
      <c r="F4" s="3" t="s">
        <v>891</v>
      </c>
      <c r="G4" s="3" t="s">
        <v>11</v>
      </c>
    </row>
    <row r="5" spans="1:7" x14ac:dyDescent="0.3">
      <c r="A5" s="3" t="s">
        <v>896</v>
      </c>
      <c r="B5" s="180" t="s">
        <v>897</v>
      </c>
      <c r="C5" s="180" t="str" cm="1">
        <f t="array" aca="1" ref="C5" ca="1">INDIRECT(A5)</f>
        <v>② 사업보고서 제출미대상</v>
      </c>
      <c r="D5" s="180" t="str" cm="1">
        <f t="array" aca="1" ref="D5" ca="1">INDIRECT(SUBSTITUTE(B5,"=",""))</f>
        <v>② 사업보고서 제출미대상</v>
      </c>
      <c r="E5" s="3" t="b">
        <f t="shared" ca="1" si="0"/>
        <v>1</v>
      </c>
      <c r="F5" s="3" t="s">
        <v>891</v>
      </c>
      <c r="G5" s="3" t="s">
        <v>14</v>
      </c>
    </row>
    <row r="6" spans="1:7" x14ac:dyDescent="0.3">
      <c r="A6" s="3" t="s">
        <v>898</v>
      </c>
      <c r="B6" s="180" t="s">
        <v>899</v>
      </c>
      <c r="C6" s="180" t="str" cm="1">
        <f t="array" aca="1" ref="C6" ca="1">INDIRECT(A6)</f>
        <v>① IFRS</v>
      </c>
      <c r="D6" s="180" t="str" cm="1">
        <f t="array" aca="1" ref="D6" ca="1">INDIRECT(SUBSTITUTE(B6,"=",""))</f>
        <v>① IFRS</v>
      </c>
      <c r="E6" s="3" t="b">
        <f t="shared" ca="1" si="0"/>
        <v>1</v>
      </c>
      <c r="F6" s="3" t="s">
        <v>891</v>
      </c>
      <c r="G6" s="3" t="s">
        <v>17</v>
      </c>
    </row>
    <row r="7" spans="1:7" x14ac:dyDescent="0.3">
      <c r="A7" s="3" t="s">
        <v>900</v>
      </c>
      <c r="B7" s="180" t="s">
        <v>901</v>
      </c>
      <c r="C7" s="180" t="str" cm="1">
        <f t="array" aca="1" ref="C7" ca="1">INDIRECT(A7)</f>
        <v>② 미작성</v>
      </c>
      <c r="D7" s="180" t="str" cm="1">
        <f t="array" aca="1" ref="D7" ca="1">INDIRECT(SUBSTITUTE(B7,"=",""))</f>
        <v>② 미작성</v>
      </c>
      <c r="E7" s="3" t="b">
        <f t="shared" ca="1" si="0"/>
        <v>1</v>
      </c>
      <c r="F7" s="3" t="s">
        <v>891</v>
      </c>
      <c r="G7" s="3" t="s">
        <v>20</v>
      </c>
    </row>
    <row r="8" spans="1:7" x14ac:dyDescent="0.3">
      <c r="A8" s="3" t="s">
        <v>902</v>
      </c>
      <c r="B8" s="180" t="s">
        <v>903</v>
      </c>
      <c r="C8" s="180" t="str" cm="1">
        <f t="array" aca="1" ref="C8" ca="1">INDIRECT(A8)</f>
        <v>① 없음</v>
      </c>
      <c r="D8" s="180" t="str" cm="1">
        <f t="array" aca="1" ref="D8" ca="1">INDIRECT(SUBSTITUTE(B8,"=",""))</f>
        <v>① 없음</v>
      </c>
      <c r="E8" s="3" t="b">
        <f t="shared" ca="1" si="0"/>
        <v>1</v>
      </c>
      <c r="F8" s="3" t="s">
        <v>891</v>
      </c>
      <c r="G8" s="3" t="s">
        <v>23</v>
      </c>
    </row>
    <row r="9" spans="1:7" x14ac:dyDescent="0.3">
      <c r="A9" s="3" t="s">
        <v>904</v>
      </c>
      <c r="B9" s="180" t="s">
        <v>905</v>
      </c>
      <c r="C9" s="180" t="str" cm="1">
        <f t="array" aca="1" ref="C9" ca="1">INDIRECT(A9)</f>
        <v>② 내부회계감사(별도)</v>
      </c>
      <c r="D9" s="180" t="str" cm="1">
        <f t="array" aca="1" ref="D9" ca="1">INDIRECT(SUBSTITUTE(B9,"=",""))</f>
        <v>② 내부회계감사(별도)</v>
      </c>
      <c r="E9" s="3" t="b">
        <f t="shared" ca="1" si="0"/>
        <v>1</v>
      </c>
      <c r="F9" s="3" t="s">
        <v>891</v>
      </c>
      <c r="G9" s="3" t="s">
        <v>26</v>
      </c>
    </row>
    <row r="10" spans="1:7" x14ac:dyDescent="0.3">
      <c r="A10" s="3" t="s">
        <v>906</v>
      </c>
      <c r="B10" s="180" t="s">
        <v>907</v>
      </c>
      <c r="C10" s="180" t="str" cm="1">
        <f t="array" aca="1" ref="C10" ca="1">INDIRECT(A10)</f>
        <v>① 초도감사</v>
      </c>
      <c r="D10" s="180" t="str" cm="1">
        <f t="array" aca="1" ref="D10" ca="1">INDIRECT(SUBSTITUTE(B10,"=",""))</f>
        <v>① 초도감사</v>
      </c>
      <c r="E10" s="3" t="b">
        <f t="shared" ca="1" si="0"/>
        <v>1</v>
      </c>
      <c r="F10" s="3" t="s">
        <v>891</v>
      </c>
      <c r="G10" s="3" t="s">
        <v>29</v>
      </c>
    </row>
    <row r="11" spans="1:7" x14ac:dyDescent="0.3">
      <c r="A11" s="3" t="s">
        <v>908</v>
      </c>
      <c r="B11" s="180" t="s">
        <v>909</v>
      </c>
      <c r="C11" s="181" cm="1">
        <f t="array" aca="1" ref="C11" ca="1">INDIRECT(A11)</f>
        <v>45748</v>
      </c>
      <c r="D11" s="181" cm="1">
        <f t="array" aca="1" ref="D11" ca="1">INDIRECT(SUBSTITUTE(B11,"=",""))</f>
        <v>45748</v>
      </c>
      <c r="E11" s="3" t="b">
        <f t="shared" ca="1" si="0"/>
        <v>1</v>
      </c>
      <c r="F11" s="3" t="s">
        <v>891</v>
      </c>
      <c r="G11" s="3" t="s">
        <v>32</v>
      </c>
    </row>
    <row r="12" spans="1:7" x14ac:dyDescent="0.3">
      <c r="A12" s="3" t="s">
        <v>910</v>
      </c>
      <c r="B12" s="180" t="s">
        <v>911</v>
      </c>
      <c r="C12" s="180" cm="1">
        <f t="array" aca="1" ref="C12" ca="1">INDIRECT(A12)</f>
        <v>500</v>
      </c>
      <c r="D12" s="180" cm="1">
        <f t="array" aca="1" ref="D12" ca="1">INDIRECT(SUBSTITUTE(B12,"=",""))</f>
        <v>500</v>
      </c>
      <c r="E12" s="3" t="b">
        <f t="shared" ca="1" si="0"/>
        <v>1</v>
      </c>
      <c r="F12" s="3" t="s">
        <v>891</v>
      </c>
      <c r="G12" s="3" t="s">
        <v>34</v>
      </c>
    </row>
    <row r="13" spans="1:7" x14ac:dyDescent="0.3">
      <c r="A13" s="3" t="s">
        <v>912</v>
      </c>
      <c r="B13" s="180" t="s">
        <v>913</v>
      </c>
      <c r="C13" s="180" t="str" cm="1">
        <f t="array" aca="1" ref="C13" ca="1">INDIRECT(A13)</f>
        <v>15916-01-012</v>
      </c>
      <c r="D13" s="180" t="str" cm="1">
        <f t="array" aca="1" ref="D13" ca="1">INDIRECT(SUBSTITUTE(B13,"=",""))</f>
        <v>15916-01-012</v>
      </c>
      <c r="E13" s="3" t="b">
        <f t="shared" ca="1" si="0"/>
        <v>1</v>
      </c>
      <c r="F13" s="3" t="s">
        <v>35</v>
      </c>
      <c r="G13" s="3" t="s">
        <v>914</v>
      </c>
    </row>
    <row r="14" spans="1:7" x14ac:dyDescent="0.3">
      <c r="A14" s="3" t="s">
        <v>915</v>
      </c>
      <c r="B14" s="180" t="s">
        <v>916</v>
      </c>
      <c r="C14" s="180" t="str" cm="1">
        <f t="array" aca="1" ref="C14" ca="1">INDIRECT(A14)</f>
        <v>(주)에뛰드/2025년 회계감사</v>
      </c>
      <c r="D14" s="180" t="str" cm="1">
        <f t="array" aca="1" ref="D14" ca="1">INDIRECT(SUBSTITUTE(B14,"=",""))</f>
        <v>(주)에뛰드/2025년 회계감사</v>
      </c>
      <c r="E14" s="3" t="b">
        <f t="shared" ca="1" si="0"/>
        <v>1</v>
      </c>
      <c r="F14" s="3" t="s">
        <v>35</v>
      </c>
      <c r="G14" s="3" t="s">
        <v>917</v>
      </c>
    </row>
    <row r="15" spans="1:7" x14ac:dyDescent="0.3">
      <c r="A15" s="3" t="s">
        <v>918</v>
      </c>
      <c r="B15" s="180" t="s">
        <v>919</v>
      </c>
      <c r="C15" s="180" t="str" cm="1">
        <f t="array" aca="1" ref="C15" ca="1">INDIRECT(A15)</f>
        <v>CM Audit 1</v>
      </c>
      <c r="D15" s="180" t="str" cm="1">
        <f t="array" aca="1" ref="D15" ca="1">INDIRECT(SUBSTITUTE(B15,"=",""))</f>
        <v>CM Audit 1</v>
      </c>
      <c r="E15" s="3" t="b">
        <f t="shared" ca="1" si="0"/>
        <v>1</v>
      </c>
      <c r="F15" s="3" t="s">
        <v>35</v>
      </c>
      <c r="G15" s="3" t="s">
        <v>920</v>
      </c>
    </row>
    <row r="16" spans="1:7" x14ac:dyDescent="0.3">
      <c r="A16" s="3" t="s">
        <v>921</v>
      </c>
      <c r="B16" s="180" t="s">
        <v>922</v>
      </c>
      <c r="C16" s="180" t="str" cm="1">
        <f t="array" aca="1" ref="C16" ca="1">INDIRECT(A16)</f>
        <v>최성우</v>
      </c>
      <c r="D16" s="180" t="str" cm="1">
        <f t="array" aca="1" ref="D16" ca="1">INDIRECT(SUBSTITUTE(B16,"=",""))</f>
        <v>최성우</v>
      </c>
      <c r="E16" s="3" t="b">
        <f t="shared" ca="1" si="0"/>
        <v>1</v>
      </c>
      <c r="F16" s="3" t="s">
        <v>35</v>
      </c>
      <c r="G16" s="3" t="s">
        <v>923</v>
      </c>
    </row>
    <row r="17" spans="1:7" x14ac:dyDescent="0.3">
      <c r="A17" s="3" t="s">
        <v>924</v>
      </c>
      <c r="B17" s="180" t="s">
        <v>925</v>
      </c>
      <c r="C17" s="180" t="str" cm="1">
        <f t="array" aca="1" ref="C17" ca="1">INDIRECT(A17)</f>
        <v>이창욱</v>
      </c>
      <c r="D17" s="180" t="str" cm="1">
        <f t="array" aca="1" ref="D17" ca="1">INDIRECT(SUBSTITUTE(B17,"=",""))</f>
        <v>이창욱</v>
      </c>
      <c r="E17" s="3" t="b">
        <f t="shared" ca="1" si="0"/>
        <v>1</v>
      </c>
      <c r="F17" s="3" t="s">
        <v>35</v>
      </c>
      <c r="G17" s="3" t="s">
        <v>926</v>
      </c>
    </row>
    <row r="18" spans="1:7" x14ac:dyDescent="0.3">
      <c r="A18" s="3" t="s">
        <v>927</v>
      </c>
      <c r="B18" s="180" t="s">
        <v>928</v>
      </c>
      <c r="C18" s="180" cm="1">
        <f t="array" aca="1" ref="C18" ca="1">INDIRECT(A18)</f>
        <v>0</v>
      </c>
      <c r="D18" s="180" cm="1">
        <f t="array" aca="1" ref="D18" ca="1">INDIRECT(SUBSTITUTE(B18,"=",""))</f>
        <v>0</v>
      </c>
      <c r="E18" s="3" t="b">
        <f t="shared" ca="1" si="0"/>
        <v>1</v>
      </c>
      <c r="F18" s="3" t="s">
        <v>50</v>
      </c>
      <c r="G18" s="3" t="s">
        <v>929</v>
      </c>
    </row>
    <row r="19" spans="1:7" x14ac:dyDescent="0.3">
      <c r="A19" s="3" t="s">
        <v>930</v>
      </c>
      <c r="B19" s="180" t="s">
        <v>931</v>
      </c>
      <c r="C19" s="180" cm="1">
        <f t="array" aca="1" ref="C19" ca="1">INDIRECT(A19)</f>
        <v>0</v>
      </c>
      <c r="D19" s="180" cm="1">
        <f t="array" aca="1" ref="D19" ca="1">INDIRECT(SUBSTITUTE(B19,"=",""))</f>
        <v>0</v>
      </c>
      <c r="E19" s="3" t="b">
        <f t="shared" ca="1" si="0"/>
        <v>1</v>
      </c>
      <c r="F19" s="3" t="s">
        <v>50</v>
      </c>
      <c r="G19" s="3" t="s">
        <v>932</v>
      </c>
    </row>
    <row r="20" spans="1:7" x14ac:dyDescent="0.3">
      <c r="A20" s="3" t="s">
        <v>933</v>
      </c>
      <c r="B20" s="180" t="s">
        <v>934</v>
      </c>
      <c r="C20" s="180" cm="1">
        <f t="array" aca="1" ref="C20" ca="1">INDIRECT(A20)</f>
        <v>20</v>
      </c>
      <c r="D20" s="180" cm="1">
        <f t="array" aca="1" ref="D20" ca="1">INDIRECT(SUBSTITUTE(B20,"=",""))</f>
        <v>20</v>
      </c>
      <c r="E20" s="3" t="b">
        <f t="shared" ca="1" si="0"/>
        <v>1</v>
      </c>
      <c r="F20" s="3" t="s">
        <v>50</v>
      </c>
      <c r="G20" s="3" t="s">
        <v>935</v>
      </c>
    </row>
    <row r="21" spans="1:7" x14ac:dyDescent="0.3">
      <c r="A21" s="3" t="s">
        <v>936</v>
      </c>
      <c r="B21" s="180" t="s">
        <v>937</v>
      </c>
      <c r="C21" s="180" cm="1">
        <f t="array" aca="1" ref="C21" ca="1">INDIRECT(A21)</f>
        <v>55</v>
      </c>
      <c r="D21" s="180" cm="1">
        <f t="array" aca="1" ref="D21" ca="1">INDIRECT(SUBSTITUTE(B21,"=",""))</f>
        <v>55</v>
      </c>
      <c r="E21" s="3" t="b">
        <f t="shared" ca="1" si="0"/>
        <v>1</v>
      </c>
      <c r="F21" s="3" t="s">
        <v>50</v>
      </c>
      <c r="G21" s="3" t="s">
        <v>56</v>
      </c>
    </row>
    <row r="22" spans="1:7" x14ac:dyDescent="0.3">
      <c r="A22" s="3" t="s">
        <v>938</v>
      </c>
      <c r="B22" s="180" t="s">
        <v>939</v>
      </c>
      <c r="C22" s="180" cm="1">
        <f t="array" aca="1" ref="C22" ca="1">INDIRECT(A22)</f>
        <v>0</v>
      </c>
      <c r="D22" s="180" cm="1">
        <f t="array" aca="1" ref="D22" ca="1">INDIRECT(SUBSTITUTE(B22,"=",""))</f>
        <v>0</v>
      </c>
      <c r="E22" s="3" t="b">
        <f t="shared" ca="1" si="0"/>
        <v>1</v>
      </c>
      <c r="F22" s="3" t="s">
        <v>50</v>
      </c>
      <c r="G22" s="3" t="s">
        <v>58</v>
      </c>
    </row>
    <row r="23" spans="1:7" x14ac:dyDescent="0.3">
      <c r="A23" s="3" t="s">
        <v>940</v>
      </c>
      <c r="B23" s="180" t="s">
        <v>941</v>
      </c>
      <c r="C23" s="180" cm="1">
        <f t="array" aca="1" ref="C23" ca="1">INDIRECT(A23)</f>
        <v>500</v>
      </c>
      <c r="D23" s="180" cm="1">
        <f t="array" aca="1" ref="D23" ca="1">INDIRECT(SUBSTITUTE(B23,"=",""))</f>
        <v>500</v>
      </c>
      <c r="E23" s="3" t="b">
        <f t="shared" ca="1" si="0"/>
        <v>1</v>
      </c>
      <c r="F23" s="3" t="s">
        <v>942</v>
      </c>
      <c r="G23" s="3" t="s">
        <v>943</v>
      </c>
    </row>
    <row r="24" spans="1:7" x14ac:dyDescent="0.3">
      <c r="A24" s="3" t="s">
        <v>944</v>
      </c>
      <c r="B24" s="180" t="s">
        <v>945</v>
      </c>
      <c r="C24" s="180" cm="1">
        <f t="array" aca="1" ref="C24" ca="1">INDIRECT(A24)</f>
        <v>77</v>
      </c>
      <c r="D24" s="180" cm="1">
        <f t="array" aca="1" ref="D24" ca="1">INDIRECT(SUBSTITUTE(B24,"=",""))</f>
        <v>77</v>
      </c>
      <c r="E24" s="3" t="b">
        <f t="shared" ca="1" si="0"/>
        <v>1</v>
      </c>
      <c r="F24" s="3" t="s">
        <v>942</v>
      </c>
      <c r="G24" s="3" t="s">
        <v>98</v>
      </c>
    </row>
    <row r="25" spans="1:7" x14ac:dyDescent="0.3">
      <c r="A25" s="3" t="s">
        <v>946</v>
      </c>
      <c r="B25" s="180" t="s">
        <v>947</v>
      </c>
      <c r="C25" s="180" cm="1">
        <f t="array" aca="1" ref="C25" ca="1">INDIRECT(A25)</f>
        <v>0</v>
      </c>
      <c r="D25" s="180" cm="1">
        <f t="array" aca="1" ref="D25" ca="1">INDIRECT(SUBSTITUTE(B25,"=",""))</f>
        <v>0</v>
      </c>
      <c r="E25" s="3" t="b">
        <f t="shared" ca="1" si="0"/>
        <v>1</v>
      </c>
      <c r="F25" s="3" t="s">
        <v>942</v>
      </c>
      <c r="G25" s="3" t="s">
        <v>948</v>
      </c>
    </row>
    <row r="26" spans="1:7" x14ac:dyDescent="0.3">
      <c r="A26" s="3" t="s">
        <v>949</v>
      </c>
      <c r="B26" s="180" t="s">
        <v>950</v>
      </c>
      <c r="C26" s="180" cm="1">
        <f t="array" aca="1" ref="C26" ca="1">INDIRECT(A26)</f>
        <v>20</v>
      </c>
      <c r="D26" s="180" cm="1">
        <f t="array" aca="1" ref="D26" ca="1">INDIRECT(SUBSTITUTE(B26,"=",""))</f>
        <v>20</v>
      </c>
      <c r="E26" s="3" t="b">
        <f t="shared" ca="1" si="0"/>
        <v>1</v>
      </c>
      <c r="F26" s="3" t="s">
        <v>942</v>
      </c>
      <c r="G26" s="3" t="s">
        <v>951</v>
      </c>
    </row>
    <row r="27" spans="1:7" x14ac:dyDescent="0.3">
      <c r="A27" s="3" t="s">
        <v>952</v>
      </c>
      <c r="B27" s="180" t="s">
        <v>953</v>
      </c>
      <c r="C27" s="180" cm="1">
        <f t="array" aca="1" ref="C27" ca="1">INDIRECT(A27)</f>
        <v>55</v>
      </c>
      <c r="D27" s="180" cm="1">
        <f t="array" aca="1" ref="D27" ca="1">INDIRECT(SUBSTITUTE(B27,"=",""))</f>
        <v>55</v>
      </c>
      <c r="E27" s="3" t="b">
        <f t="shared" ca="1" si="0"/>
        <v>1</v>
      </c>
      <c r="F27" s="3" t="s">
        <v>942</v>
      </c>
      <c r="G27" s="3" t="s">
        <v>954</v>
      </c>
    </row>
    <row r="28" spans="1:7" x14ac:dyDescent="0.3">
      <c r="A28" s="3" t="s">
        <v>955</v>
      </c>
      <c r="B28" s="180" t="s">
        <v>956</v>
      </c>
      <c r="C28" s="180" cm="1">
        <f t="array" aca="1" ref="C28" ca="1">INDIRECT(A28)</f>
        <v>0</v>
      </c>
      <c r="D28" s="180" cm="1">
        <f t="array" aca="1" ref="D28" ca="1">INDIRECT(SUBSTITUTE(B28,"=",""))</f>
        <v>0</v>
      </c>
      <c r="E28" s="3" t="b">
        <f t="shared" ca="1" si="0"/>
        <v>1</v>
      </c>
      <c r="F28" s="3" t="s">
        <v>942</v>
      </c>
      <c r="G28" s="3" t="s">
        <v>957</v>
      </c>
    </row>
    <row r="29" spans="1:7" x14ac:dyDescent="0.3">
      <c r="A29" s="3" t="s">
        <v>958</v>
      </c>
      <c r="B29" s="180" t="s">
        <v>959</v>
      </c>
      <c r="C29" s="180" cm="1">
        <f t="array" aca="1" ref="C29" ca="1">INDIRECT(A29)</f>
        <v>348</v>
      </c>
      <c r="D29" s="180" cm="1">
        <f t="array" aca="1" ref="D29" ca="1">INDIRECT(SUBSTITUTE(B29,"=",""))</f>
        <v>348</v>
      </c>
      <c r="E29" s="3" t="b">
        <f t="shared" ca="1" si="0"/>
        <v>1</v>
      </c>
      <c r="F29" s="3" t="s">
        <v>942</v>
      </c>
      <c r="G29" s="3" t="s">
        <v>960</v>
      </c>
    </row>
    <row r="30" spans="1:7" x14ac:dyDescent="0.3">
      <c r="A30" s="3" t="s">
        <v>961</v>
      </c>
      <c r="B30" s="180" t="s">
        <v>962</v>
      </c>
      <c r="C30" s="180" cm="1">
        <f t="array" aca="1" ref="C30" ca="1">INDIRECT(A30)</f>
        <v>0</v>
      </c>
      <c r="D30" s="180" cm="1">
        <f t="array" aca="1" ref="D30" ca="1">INDIRECT(SUBSTITUTE(B30,"=",""))</f>
        <v>0</v>
      </c>
      <c r="E30" s="3" t="b">
        <f t="shared" ca="1" si="0"/>
        <v>1</v>
      </c>
      <c r="F30" s="3" t="s">
        <v>942</v>
      </c>
      <c r="G30" s="3" t="s">
        <v>963</v>
      </c>
    </row>
    <row r="31" spans="1:7" x14ac:dyDescent="0.3">
      <c r="A31" s="3" t="s">
        <v>964</v>
      </c>
      <c r="B31" s="180" t="s">
        <v>965</v>
      </c>
      <c r="C31" s="180" cm="1">
        <f t="array" aca="1" ref="C31" ca="1">INDIRECT(A31)</f>
        <v>0</v>
      </c>
      <c r="D31" s="180" cm="1">
        <f t="array" aca="1" ref="D31" ca="1">INDIRECT(SUBSTITUTE(B31,"=",""))</f>
        <v>0</v>
      </c>
      <c r="E31" s="3" t="b">
        <f t="shared" ca="1" si="0"/>
        <v>1</v>
      </c>
      <c r="F31" s="3" t="s">
        <v>942</v>
      </c>
      <c r="G31" s="3" t="s">
        <v>966</v>
      </c>
    </row>
    <row r="32" spans="1:7" x14ac:dyDescent="0.3">
      <c r="A32" s="3" t="s">
        <v>967</v>
      </c>
      <c r="B32" s="180" t="s">
        <v>968</v>
      </c>
      <c r="C32" s="180" cm="1">
        <f t="array" aca="1" ref="C32" ca="1">INDIRECT(A32)</f>
        <v>4</v>
      </c>
      <c r="D32" s="180" cm="1">
        <f t="array" aca="1" ref="D32" ca="1">INDIRECT(SUBSTITUTE(B32,"=",""))</f>
        <v>4</v>
      </c>
      <c r="E32" s="3" t="b">
        <f t="shared" ca="1" si="0"/>
        <v>1</v>
      </c>
      <c r="F32" s="3" t="s">
        <v>942</v>
      </c>
      <c r="G32" s="3" t="s">
        <v>969</v>
      </c>
    </row>
    <row r="33" spans="1:7" x14ac:dyDescent="0.3">
      <c r="A33" s="3" t="s">
        <v>970</v>
      </c>
      <c r="B33" s="180" t="s">
        <v>971</v>
      </c>
      <c r="C33" s="180" cm="1">
        <f t="array" aca="1" ref="C33" ca="1">INDIRECT(A33)</f>
        <v>344</v>
      </c>
      <c r="D33" s="180" cm="1">
        <f t="array" aca="1" ref="D33" ca="1">INDIRECT(SUBSTITUTE(B33,"=",""))</f>
        <v>344</v>
      </c>
      <c r="E33" s="3" t="b">
        <f t="shared" ca="1" si="0"/>
        <v>1</v>
      </c>
      <c r="F33" s="3" t="s">
        <v>942</v>
      </c>
      <c r="G33" s="3" t="s">
        <v>972</v>
      </c>
    </row>
    <row r="34" spans="1:7" x14ac:dyDescent="0.3">
      <c r="A34" s="3" t="s">
        <v>973</v>
      </c>
      <c r="B34" s="180" t="s">
        <v>974</v>
      </c>
      <c r="C34" s="180" cm="1">
        <f t="array" aca="1" ref="C34" ca="1">INDIRECT(A34)</f>
        <v>0</v>
      </c>
      <c r="D34" s="180" cm="1">
        <f t="array" aca="1" ref="D34" ca="1">INDIRECT(SUBSTITUTE(B34,"=",""))</f>
        <v>0</v>
      </c>
      <c r="E34" s="3" t="b">
        <f t="shared" ca="1" si="0"/>
        <v>1</v>
      </c>
      <c r="F34" s="3" t="s">
        <v>942</v>
      </c>
      <c r="G34" s="3" t="s">
        <v>975</v>
      </c>
    </row>
    <row r="35" spans="1:7" x14ac:dyDescent="0.3">
      <c r="A35" s="3" t="s">
        <v>976</v>
      </c>
      <c r="B35" s="180" t="s">
        <v>977</v>
      </c>
      <c r="C35" s="180" cm="1">
        <f t="array" aca="1" ref="C35" ca="1">INDIRECT(A35)</f>
        <v>0</v>
      </c>
      <c r="D35" s="180" cm="1">
        <f t="array" aca="1" ref="D35" ca="1">INDIRECT(SUBSTITUTE(B35,"=",""))</f>
        <v>0</v>
      </c>
      <c r="E35" s="3" t="b">
        <f t="shared" ca="1" si="0"/>
        <v>1</v>
      </c>
      <c r="F35" s="3" t="s">
        <v>942</v>
      </c>
      <c r="G35" s="182" t="s">
        <v>978</v>
      </c>
    </row>
    <row r="36" spans="1:7" x14ac:dyDescent="0.3">
      <c r="A36" s="3" t="s">
        <v>979</v>
      </c>
      <c r="B36" s="180" t="s">
        <v>980</v>
      </c>
      <c r="C36" s="180" cm="1">
        <f t="array" aca="1" ref="C36" ca="1">INDIRECT(A36)</f>
        <v>0</v>
      </c>
      <c r="D36" s="180" cm="1">
        <f t="array" aca="1" ref="D36" ca="1">INDIRECT(SUBSTITUTE(B36,"=",""))</f>
        <v>0</v>
      </c>
      <c r="E36" s="3" t="b">
        <f t="shared" ca="1" si="0"/>
        <v>1</v>
      </c>
      <c r="F36" s="3" t="s">
        <v>942</v>
      </c>
      <c r="G36" s="182" t="s">
        <v>981</v>
      </c>
    </row>
    <row r="37" spans="1:7" x14ac:dyDescent="0.3">
      <c r="A37" s="3" t="s">
        <v>982</v>
      </c>
      <c r="B37" s="180" t="s">
        <v>983</v>
      </c>
      <c r="C37" s="180" cm="1">
        <f t="array" aca="1" ref="C37" ca="1">INDIRECT(A37)</f>
        <v>0</v>
      </c>
      <c r="D37" s="180" cm="1">
        <f t="array" aca="1" ref="D37" ca="1">INDIRECT(SUBSTITUTE(B37,"=",""))</f>
        <v>0</v>
      </c>
      <c r="E37" s="3" t="b">
        <f t="shared" ca="1" si="0"/>
        <v>1</v>
      </c>
      <c r="F37" s="3" t="s">
        <v>942</v>
      </c>
      <c r="G37" s="182" t="s">
        <v>984</v>
      </c>
    </row>
    <row r="38" spans="1:7" x14ac:dyDescent="0.3">
      <c r="A38" s="3" t="s">
        <v>985</v>
      </c>
      <c r="B38" s="180" t="s">
        <v>986</v>
      </c>
      <c r="C38" s="180" t="str" cm="1">
        <f t="array" aca="1" ref="C38" ca="1">INDIRECT(A38)</f>
        <v>분기별</v>
      </c>
      <c r="D38" s="180" t="str" cm="1">
        <f t="array" aca="1" ref="D38" ca="1">INDIRECT(SUBSTITUTE(B38,"=",""))</f>
        <v>분기별</v>
      </c>
      <c r="E38" s="3" t="b">
        <f t="shared" ca="1" si="0"/>
        <v>1</v>
      </c>
      <c r="F38" s="3" t="s">
        <v>942</v>
      </c>
      <c r="G38" s="182" t="s">
        <v>987</v>
      </c>
    </row>
    <row r="39" spans="1:7" x14ac:dyDescent="0.3">
      <c r="A39" s="3" t="s">
        <v>988</v>
      </c>
      <c r="B39" s="180" t="s">
        <v>989</v>
      </c>
      <c r="C39" s="180" t="str" cm="1">
        <f t="array" aca="1" ref="C39" ca="1">INDIRECT(A39)</f>
        <v>작성완료</v>
      </c>
      <c r="D39" s="180" t="str" cm="1">
        <f t="array" aca="1" ref="D39" ca="1">INDIRECT(SUBSTITUTE(B39,"=",""))</f>
        <v>작성완료</v>
      </c>
      <c r="E39" s="3" t="b">
        <f t="shared" ca="1" si="0"/>
        <v>1</v>
      </c>
      <c r="F39" s="3" t="s">
        <v>942</v>
      </c>
      <c r="G39" s="182" t="s">
        <v>990</v>
      </c>
    </row>
    <row r="40" spans="1:7" x14ac:dyDescent="0.3">
      <c r="A40" s="3" t="s">
        <v>991</v>
      </c>
      <c r="B40" s="180" t="s">
        <v>992</v>
      </c>
      <c r="C40" s="181" cm="1">
        <f t="array" aca="1" ref="C40" ca="1">INDIRECT(A40)</f>
        <v>45748</v>
      </c>
      <c r="D40" s="181" cm="1">
        <f t="array" aca="1" ref="D40" ca="1">INDIRECT(SUBSTITUTE(B40,"=",""))</f>
        <v>45748</v>
      </c>
      <c r="E40" s="3" t="b">
        <f t="shared" ca="1" si="0"/>
        <v>1</v>
      </c>
      <c r="F40" s="3" t="s">
        <v>993</v>
      </c>
      <c r="G40" s="3" t="s">
        <v>994</v>
      </c>
    </row>
    <row r="41" spans="1:7" x14ac:dyDescent="0.3">
      <c r="A41" s="3" t="s">
        <v>995</v>
      </c>
      <c r="B41" s="180" t="s">
        <v>996</v>
      </c>
      <c r="C41" s="181" cm="1">
        <f t="array" aca="1" ref="C41" ca="1">INDIRECT(A41)</f>
        <v>45778</v>
      </c>
      <c r="D41" s="181" cm="1">
        <f t="array" aca="1" ref="D41" ca="1">INDIRECT(SUBSTITUTE(B41,"=",""))</f>
        <v>45778</v>
      </c>
      <c r="E41" s="3" t="b">
        <f t="shared" ca="1" si="0"/>
        <v>1</v>
      </c>
      <c r="F41" s="3" t="s">
        <v>993</v>
      </c>
      <c r="G41" s="3" t="s">
        <v>997</v>
      </c>
    </row>
    <row r="42" spans="1:7" x14ac:dyDescent="0.3">
      <c r="A42" s="3" t="s">
        <v>998</v>
      </c>
      <c r="B42" s="180" t="s">
        <v>999</v>
      </c>
      <c r="C42" s="181" cm="1">
        <f t="array" aca="1" ref="C42" ca="1">INDIRECT(A42)</f>
        <v>45809</v>
      </c>
      <c r="D42" s="181" cm="1">
        <f t="array" aca="1" ref="D42" ca="1">INDIRECT(SUBSTITUTE(B42,"=",""))</f>
        <v>45809</v>
      </c>
      <c r="E42" s="3" t="b">
        <f t="shared" ca="1" si="0"/>
        <v>1</v>
      </c>
      <c r="F42" s="3" t="s">
        <v>993</v>
      </c>
      <c r="G42" s="3" t="s">
        <v>1000</v>
      </c>
    </row>
    <row r="43" spans="1:7" x14ac:dyDescent="0.3">
      <c r="A43" s="3" t="s">
        <v>1001</v>
      </c>
      <c r="B43" s="180" t="s">
        <v>1002</v>
      </c>
      <c r="C43" s="181" cm="1">
        <f t="array" aca="1" ref="C43" ca="1">INDIRECT(A43)</f>
        <v>45839</v>
      </c>
      <c r="D43" s="181" cm="1">
        <f t="array" aca="1" ref="D43" ca="1">INDIRECT(SUBSTITUTE(B43,"=",""))</f>
        <v>45839</v>
      </c>
      <c r="E43" s="3" t="b">
        <f t="shared" ca="1" si="0"/>
        <v>1</v>
      </c>
      <c r="F43" s="3" t="s">
        <v>993</v>
      </c>
      <c r="G43" s="3" t="s">
        <v>1003</v>
      </c>
    </row>
    <row r="44" spans="1:7" x14ac:dyDescent="0.3">
      <c r="A44" s="3" t="s">
        <v>1004</v>
      </c>
      <c r="B44" s="180" t="s">
        <v>1005</v>
      </c>
      <c r="C44" s="181" cm="1">
        <f t="array" aca="1" ref="C44" ca="1">INDIRECT(A44)</f>
        <v>45870</v>
      </c>
      <c r="D44" s="181" cm="1">
        <f t="array" aca="1" ref="D44" ca="1">INDIRECT(SUBSTITUTE(B44,"=",""))</f>
        <v>45870</v>
      </c>
      <c r="E44" s="3" t="b">
        <f t="shared" ca="1" si="0"/>
        <v>1</v>
      </c>
      <c r="F44" s="3" t="s">
        <v>993</v>
      </c>
      <c r="G44" s="3" t="s">
        <v>1006</v>
      </c>
    </row>
    <row r="45" spans="1:7" x14ac:dyDescent="0.3">
      <c r="A45" s="3" t="s">
        <v>1007</v>
      </c>
      <c r="B45" s="180" t="s">
        <v>1008</v>
      </c>
      <c r="C45" s="181" cm="1">
        <f t="array" aca="1" ref="C45" ca="1">INDIRECT(A45)</f>
        <v>45901</v>
      </c>
      <c r="D45" s="181" cm="1">
        <f t="array" aca="1" ref="D45" ca="1">INDIRECT(SUBSTITUTE(B45,"=",""))</f>
        <v>45901</v>
      </c>
      <c r="E45" s="3" t="b">
        <f t="shared" ca="1" si="0"/>
        <v>1</v>
      </c>
      <c r="F45" s="3" t="s">
        <v>993</v>
      </c>
      <c r="G45" s="3" t="s">
        <v>1009</v>
      </c>
    </row>
    <row r="46" spans="1:7" x14ac:dyDescent="0.3">
      <c r="A46" s="3" t="s">
        <v>1010</v>
      </c>
      <c r="B46" s="180" t="s">
        <v>1011</v>
      </c>
      <c r="C46" s="181" cm="1">
        <f t="array" aca="1" ref="C46" ca="1">INDIRECT(A46)</f>
        <v>45931</v>
      </c>
      <c r="D46" s="181" cm="1">
        <f t="array" aca="1" ref="D46" ca="1">INDIRECT(SUBSTITUTE(B46,"=",""))</f>
        <v>45931</v>
      </c>
      <c r="E46" s="3" t="b">
        <f t="shared" ca="1" si="0"/>
        <v>1</v>
      </c>
      <c r="F46" s="3" t="s">
        <v>993</v>
      </c>
      <c r="G46" s="3" t="s">
        <v>1012</v>
      </c>
    </row>
    <row r="47" spans="1:7" x14ac:dyDescent="0.3">
      <c r="A47" s="3" t="s">
        <v>1013</v>
      </c>
      <c r="B47" s="180" t="s">
        <v>1014</v>
      </c>
      <c r="C47" s="181" cm="1">
        <f t="array" aca="1" ref="C47" ca="1">INDIRECT(A47)</f>
        <v>45962</v>
      </c>
      <c r="D47" s="181" cm="1">
        <f t="array" aca="1" ref="D47" ca="1">INDIRECT(SUBSTITUTE(B47,"=",""))</f>
        <v>45962</v>
      </c>
      <c r="E47" s="3" t="b">
        <f t="shared" ca="1" si="0"/>
        <v>1</v>
      </c>
      <c r="F47" s="3" t="s">
        <v>993</v>
      </c>
      <c r="G47" s="3" t="s">
        <v>1015</v>
      </c>
    </row>
    <row r="48" spans="1:7" x14ac:dyDescent="0.3">
      <c r="A48" s="3" t="s">
        <v>1016</v>
      </c>
      <c r="B48" s="180" t="s">
        <v>1017</v>
      </c>
      <c r="C48" s="181" cm="1">
        <f t="array" aca="1" ref="C48" ca="1">INDIRECT(A48)</f>
        <v>45992</v>
      </c>
      <c r="D48" s="181" cm="1">
        <f t="array" aca="1" ref="D48" ca="1">INDIRECT(SUBSTITUTE(B48,"=",""))</f>
        <v>45992</v>
      </c>
      <c r="E48" s="3" t="b">
        <f t="shared" ca="1" si="0"/>
        <v>1</v>
      </c>
      <c r="F48" s="3" t="s">
        <v>993</v>
      </c>
      <c r="G48" s="3" t="s">
        <v>1018</v>
      </c>
    </row>
    <row r="49" spans="1:7" x14ac:dyDescent="0.3">
      <c r="A49" s="3" t="s">
        <v>1019</v>
      </c>
      <c r="B49" s="180" t="s">
        <v>1020</v>
      </c>
      <c r="C49" s="181" cm="1">
        <f t="array" aca="1" ref="C49" ca="1">INDIRECT(A49)</f>
        <v>46023</v>
      </c>
      <c r="D49" s="181" cm="1">
        <f t="array" aca="1" ref="D49" ca="1">INDIRECT(SUBSTITUTE(B49,"=",""))</f>
        <v>46023</v>
      </c>
      <c r="E49" s="3" t="b">
        <f t="shared" ca="1" si="0"/>
        <v>1</v>
      </c>
      <c r="F49" s="3" t="s">
        <v>993</v>
      </c>
      <c r="G49" s="3" t="s">
        <v>1021</v>
      </c>
    </row>
    <row r="50" spans="1:7" x14ac:dyDescent="0.3">
      <c r="A50" s="3" t="s">
        <v>1022</v>
      </c>
      <c r="B50" s="180" t="s">
        <v>1023</v>
      </c>
      <c r="C50" s="181" cm="1">
        <f t="array" aca="1" ref="C50" ca="1">INDIRECT(A50)</f>
        <v>46054</v>
      </c>
      <c r="D50" s="181" cm="1">
        <f t="array" aca="1" ref="D50" ca="1">INDIRECT(SUBSTITUTE(B50,"=",""))</f>
        <v>46054</v>
      </c>
      <c r="E50" s="3" t="b">
        <f t="shared" ca="1" si="0"/>
        <v>1</v>
      </c>
      <c r="F50" s="3" t="s">
        <v>993</v>
      </c>
      <c r="G50" s="3" t="s">
        <v>1024</v>
      </c>
    </row>
    <row r="51" spans="1:7" x14ac:dyDescent="0.3">
      <c r="A51" s="3" t="s">
        <v>1025</v>
      </c>
      <c r="B51" s="180" t="s">
        <v>1026</v>
      </c>
      <c r="C51" s="181" cm="1">
        <f t="array" aca="1" ref="C51" ca="1">INDIRECT(A51)</f>
        <v>46082</v>
      </c>
      <c r="D51" s="181" cm="1">
        <f t="array" aca="1" ref="D51" ca="1">INDIRECT(SUBSTITUTE(B51,"=",""))</f>
        <v>46082</v>
      </c>
      <c r="E51" s="3" t="b">
        <f t="shared" ca="1" si="0"/>
        <v>1</v>
      </c>
      <c r="F51" s="3" t="s">
        <v>993</v>
      </c>
      <c r="G51" s="3" t="s">
        <v>1027</v>
      </c>
    </row>
    <row r="64" spans="1:7" x14ac:dyDescent="0.3">
      <c r="B64" s="180"/>
      <c r="C64" s="180"/>
      <c r="D64" s="180"/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1302-151E-4034-AEC5-FA73816FF7EB}">
  <sheetPr codeName="Sheet8">
    <tabColor theme="0" tint="-0.499984740745262"/>
  </sheetPr>
  <dimension ref="B1:L119"/>
  <sheetViews>
    <sheetView showGridLines="0" zoomScale="85" zoomScaleNormal="85" workbookViewId="0"/>
  </sheetViews>
  <sheetFormatPr defaultColWidth="9" defaultRowHeight="13.5" x14ac:dyDescent="0.25"/>
  <cols>
    <col min="1" max="1" width="2.375" style="5" customWidth="1"/>
    <col min="2" max="2" width="16.375" style="5" bestFit="1" customWidth="1"/>
    <col min="3" max="3" width="4.25" style="5" customWidth="1"/>
    <col min="4" max="4" width="17.75" style="5" bestFit="1" customWidth="1"/>
    <col min="5" max="5" width="41.25" style="5" bestFit="1" customWidth="1"/>
    <col min="6" max="6" width="2.375" style="5" customWidth="1"/>
    <col min="7" max="7" width="16.375" style="5" bestFit="1" customWidth="1"/>
    <col min="8" max="8" width="3" style="5" customWidth="1"/>
    <col min="9" max="9" width="17.75" style="14" bestFit="1" customWidth="1"/>
    <col min="10" max="11" width="41.25" style="5" bestFit="1" customWidth="1"/>
    <col min="12" max="12" width="11.75" style="5" customWidth="1"/>
    <col min="13" max="16384" width="9" style="5"/>
  </cols>
  <sheetData>
    <row r="1" spans="2:12" x14ac:dyDescent="0.25">
      <c r="B1" s="183" t="s">
        <v>1028</v>
      </c>
      <c r="C1" s="183"/>
      <c r="D1" s="183"/>
      <c r="E1" s="183"/>
      <c r="G1" s="183" t="s">
        <v>1029</v>
      </c>
      <c r="H1" s="183"/>
      <c r="I1" s="184"/>
      <c r="J1" s="183"/>
      <c r="L1" s="183" t="s">
        <v>1030</v>
      </c>
    </row>
    <row r="2" spans="2:12" ht="14.25" thickBot="1" x14ac:dyDescent="0.3"/>
    <row r="3" spans="2:12" ht="14.25" thickBot="1" x14ac:dyDescent="0.3">
      <c r="B3" s="185" t="s">
        <v>157</v>
      </c>
      <c r="D3" s="186" t="s">
        <v>157</v>
      </c>
      <c r="E3" s="187" t="s">
        <v>157</v>
      </c>
      <c r="G3" s="185" t="s">
        <v>157</v>
      </c>
      <c r="I3" s="188" t="s">
        <v>157</v>
      </c>
      <c r="J3" s="187" t="s">
        <v>157</v>
      </c>
      <c r="K3" s="5" t="str">
        <f>_xlfn.XLOOKUP(J3,Tbl_Budget[Budget 관리단위],Tbl_Budget[Budget 관리단위])</f>
        <v>분반기 검토</v>
      </c>
      <c r="L3" s="189">
        <v>45658</v>
      </c>
    </row>
    <row r="4" spans="2:12" x14ac:dyDescent="0.25">
      <c r="B4" s="190" t="s">
        <v>158</v>
      </c>
      <c r="D4" s="191" t="s">
        <v>158</v>
      </c>
      <c r="E4" s="192" t="s">
        <v>158</v>
      </c>
      <c r="G4" s="190" t="s">
        <v>158</v>
      </c>
      <c r="I4" s="193" t="s">
        <v>158</v>
      </c>
      <c r="J4" s="194" t="s">
        <v>158</v>
      </c>
      <c r="K4" s="5" t="str">
        <f>_xlfn.XLOOKUP(J4,Tbl_Budget[Budget 관리단위],Tbl_Budget[Budget 관리단위])</f>
        <v>계획단계</v>
      </c>
      <c r="L4" s="195">
        <f>EDATE(L3,1)</f>
        <v>45689</v>
      </c>
    </row>
    <row r="5" spans="2:12" ht="14.25" thickBot="1" x14ac:dyDescent="0.3">
      <c r="B5" s="190" t="s">
        <v>160</v>
      </c>
      <c r="D5" s="196" t="s">
        <v>158</v>
      </c>
      <c r="E5" s="197" t="s">
        <v>159</v>
      </c>
      <c r="G5" s="190" t="s">
        <v>160</v>
      </c>
      <c r="I5" s="198" t="s">
        <v>158</v>
      </c>
      <c r="J5" s="199" t="s">
        <v>159</v>
      </c>
      <c r="K5" s="5" t="str">
        <f>_xlfn.XLOOKUP(J5,Tbl_Budget[Budget 관리단위],Tbl_Budget[Budget 관리단위])</f>
        <v>초도감사</v>
      </c>
      <c r="L5" s="195">
        <f t="shared" ref="L5:L19" si="0">EDATE(L4,1)</f>
        <v>45717</v>
      </c>
    </row>
    <row r="6" spans="2:12" x14ac:dyDescent="0.25">
      <c r="B6" s="190" t="s">
        <v>164</v>
      </c>
      <c r="D6" s="191" t="s">
        <v>160</v>
      </c>
      <c r="E6" s="192" t="s">
        <v>161</v>
      </c>
      <c r="G6" s="190" t="s">
        <v>164</v>
      </c>
      <c r="I6" s="193" t="s">
        <v>160</v>
      </c>
      <c r="J6" s="194" t="s">
        <v>161</v>
      </c>
      <c r="K6" s="5" t="str">
        <f>_xlfn.XLOOKUP(J6,Tbl_Budget[Budget 관리단위],Tbl_Budget[Budget 관리단위])</f>
        <v>부정위험</v>
      </c>
      <c r="L6" s="195">
        <f t="shared" si="0"/>
        <v>45748</v>
      </c>
    </row>
    <row r="7" spans="2:12" x14ac:dyDescent="0.25">
      <c r="B7" s="190" t="s">
        <v>185</v>
      </c>
      <c r="D7" s="200" t="s">
        <v>160</v>
      </c>
      <c r="E7" s="201" t="s">
        <v>162</v>
      </c>
      <c r="G7" s="190" t="s">
        <v>185</v>
      </c>
      <c r="I7" s="202" t="s">
        <v>160</v>
      </c>
      <c r="J7" s="203" t="s">
        <v>162</v>
      </c>
      <c r="K7" s="5" t="str">
        <f>_xlfn.XLOOKUP(J7,Tbl_Budget[Budget 관리단위],Tbl_Budget[Budget 관리단위])</f>
        <v>계속기업</v>
      </c>
      <c r="L7" s="195">
        <f t="shared" si="0"/>
        <v>45778</v>
      </c>
    </row>
    <row r="8" spans="2:12" ht="14.25" thickBot="1" x14ac:dyDescent="0.3">
      <c r="B8" s="190" t="s">
        <v>200</v>
      </c>
      <c r="D8" s="196" t="s">
        <v>160</v>
      </c>
      <c r="E8" s="197" t="s">
        <v>1031</v>
      </c>
      <c r="G8" s="190" t="s">
        <v>200</v>
      </c>
      <c r="I8" s="198" t="s">
        <v>160</v>
      </c>
      <c r="J8" s="199" t="s">
        <v>1031</v>
      </c>
      <c r="K8" s="5" t="str">
        <f>_xlfn.XLOOKUP(J8,Tbl_Budget[Budget 관리단위],Tbl_Budget[Budget 관리단위])</f>
        <v>기타(특수관계자/법률 및 규정)</v>
      </c>
      <c r="L8" s="195">
        <f t="shared" si="0"/>
        <v>45809</v>
      </c>
    </row>
    <row r="9" spans="2:12" x14ac:dyDescent="0.25">
      <c r="B9" s="190" t="s">
        <v>212</v>
      </c>
      <c r="D9" s="191" t="s">
        <v>164</v>
      </c>
      <c r="E9" s="192" t="s">
        <v>165</v>
      </c>
      <c r="G9" s="190" t="s">
        <v>212</v>
      </c>
      <c r="I9" s="193" t="s">
        <v>164</v>
      </c>
      <c r="J9" s="194" t="s">
        <v>165</v>
      </c>
      <c r="K9" s="5" t="str">
        <f>_xlfn.XLOOKUP(J9,Tbl_Budget[Budget 관리단위],Tbl_Budget[Budget 관리단위])</f>
        <v>현금및현금성자산-일반</v>
      </c>
      <c r="L9" s="195">
        <f t="shared" si="0"/>
        <v>45839</v>
      </c>
    </row>
    <row r="10" spans="2:12" x14ac:dyDescent="0.25">
      <c r="B10" s="190" t="s">
        <v>217</v>
      </c>
      <c r="D10" s="204" t="s">
        <v>164</v>
      </c>
      <c r="E10" s="201" t="s">
        <v>166</v>
      </c>
      <c r="G10" s="190" t="s">
        <v>217</v>
      </c>
      <c r="I10" s="205" t="s">
        <v>164</v>
      </c>
      <c r="J10" s="203" t="s">
        <v>166</v>
      </c>
      <c r="K10" s="5" t="str">
        <f>_xlfn.XLOOKUP(J10,Tbl_Budget[Budget 관리단위],Tbl_Budget[Budget 관리단위])</f>
        <v>현금및현금성자산-조회</v>
      </c>
      <c r="L10" s="195">
        <f t="shared" si="0"/>
        <v>45870</v>
      </c>
    </row>
    <row r="11" spans="2:12" ht="14.25" thickBot="1" x14ac:dyDescent="0.3">
      <c r="B11" s="206" t="s">
        <v>222</v>
      </c>
      <c r="D11" s="204" t="s">
        <v>164</v>
      </c>
      <c r="E11" s="201" t="s">
        <v>167</v>
      </c>
      <c r="G11" s="190" t="s">
        <v>222</v>
      </c>
      <c r="I11" s="205" t="s">
        <v>164</v>
      </c>
      <c r="J11" s="203" t="s">
        <v>167</v>
      </c>
      <c r="K11" s="5" t="str">
        <f>_xlfn.XLOOKUP(J11,Tbl_Budget[Budget 관리단위],Tbl_Budget[Budget 관리단위])</f>
        <v>채무 및 지분증권-일반</v>
      </c>
      <c r="L11" s="195">
        <f t="shared" si="0"/>
        <v>45901</v>
      </c>
    </row>
    <row r="12" spans="2:12" ht="14.25" thickBot="1" x14ac:dyDescent="0.3">
      <c r="B12" s="185" t="s">
        <v>247</v>
      </c>
      <c r="D12" s="204" t="s">
        <v>164</v>
      </c>
      <c r="E12" s="201" t="s">
        <v>168</v>
      </c>
      <c r="G12" s="206" t="s">
        <v>1032</v>
      </c>
      <c r="I12" s="205" t="s">
        <v>164</v>
      </c>
      <c r="J12" s="203" t="s">
        <v>168</v>
      </c>
      <c r="K12" s="5" t="str">
        <f>_xlfn.XLOOKUP(J12,Tbl_Budget[Budget 관리단위],Tbl_Budget[Budget 관리단위])</f>
        <v>채무 및 지분증권-공정가치평가</v>
      </c>
      <c r="L12" s="195">
        <f t="shared" si="0"/>
        <v>45931</v>
      </c>
    </row>
    <row r="13" spans="2:12" x14ac:dyDescent="0.25">
      <c r="D13" s="204" t="s">
        <v>164</v>
      </c>
      <c r="E13" s="201" t="s">
        <v>169</v>
      </c>
      <c r="G13" s="185" t="s">
        <v>247</v>
      </c>
      <c r="I13" s="205" t="s">
        <v>164</v>
      </c>
      <c r="J13" s="203" t="s">
        <v>169</v>
      </c>
      <c r="K13" s="5" t="str">
        <f>_xlfn.XLOOKUP(J13,Tbl_Budget[Budget 관리단위],Tbl_Budget[Budget 관리단위])</f>
        <v>파생상품</v>
      </c>
      <c r="L13" s="195">
        <f t="shared" si="0"/>
        <v>45962</v>
      </c>
    </row>
    <row r="14" spans="2:12" x14ac:dyDescent="0.25">
      <c r="D14" s="204" t="s">
        <v>164</v>
      </c>
      <c r="E14" s="201" t="s">
        <v>170</v>
      </c>
      <c r="I14" s="205" t="s">
        <v>164</v>
      </c>
      <c r="J14" s="203" t="s">
        <v>170</v>
      </c>
      <c r="K14" s="5" t="str">
        <f>_xlfn.XLOOKUP(J14,Tbl_Budget[Budget 관리단위],Tbl_Budget[Budget 관리단위])</f>
        <v>매출채권-일반</v>
      </c>
      <c r="L14" s="195">
        <f t="shared" si="0"/>
        <v>45992</v>
      </c>
    </row>
    <row r="15" spans="2:12" x14ac:dyDescent="0.25">
      <c r="D15" s="204" t="s">
        <v>164</v>
      </c>
      <c r="E15" s="201" t="s">
        <v>171</v>
      </c>
      <c r="I15" s="205" t="s">
        <v>164</v>
      </c>
      <c r="J15" s="203" t="s">
        <v>171</v>
      </c>
      <c r="K15" s="5" t="str">
        <f>_xlfn.XLOOKUP(J15,Tbl_Budget[Budget 관리단위],Tbl_Budget[Budget 관리단위])</f>
        <v>매출채권-조회</v>
      </c>
      <c r="L15" s="195">
        <f t="shared" si="0"/>
        <v>46023</v>
      </c>
    </row>
    <row r="16" spans="2:12" x14ac:dyDescent="0.25">
      <c r="D16" s="204" t="s">
        <v>164</v>
      </c>
      <c r="E16" s="201" t="s">
        <v>172</v>
      </c>
      <c r="I16" s="205" t="s">
        <v>164</v>
      </c>
      <c r="J16" s="203" t="s">
        <v>1033</v>
      </c>
      <c r="K16" s="5" t="e">
        <f>_xlfn.XLOOKUP(J16,Tbl_Budget[Budget 관리단위],Tbl_Budget[Budget 관리단위])</f>
        <v>#N/A</v>
      </c>
      <c r="L16" s="195">
        <f t="shared" si="0"/>
        <v>46054</v>
      </c>
    </row>
    <row r="17" spans="4:12" x14ac:dyDescent="0.25">
      <c r="D17" s="204" t="s">
        <v>164</v>
      </c>
      <c r="E17" s="201" t="s">
        <v>173</v>
      </c>
      <c r="I17" s="205" t="s">
        <v>164</v>
      </c>
      <c r="J17" s="203" t="s">
        <v>1034</v>
      </c>
      <c r="K17" s="5" t="e">
        <f>_xlfn.XLOOKUP(J17,Tbl_Budget[Budget 관리단위],Tbl_Budget[Budget 관리단위])</f>
        <v>#N/A</v>
      </c>
      <c r="L17" s="195">
        <f t="shared" si="0"/>
        <v>46082</v>
      </c>
    </row>
    <row r="18" spans="4:12" x14ac:dyDescent="0.25">
      <c r="D18" s="204" t="s">
        <v>164</v>
      </c>
      <c r="E18" s="201" t="s">
        <v>174</v>
      </c>
      <c r="I18" s="205" t="s">
        <v>164</v>
      </c>
      <c r="J18" s="203" t="s">
        <v>1035</v>
      </c>
      <c r="K18" s="5" t="e">
        <f>_xlfn.XLOOKUP(J18,Tbl_Budget[Budget 관리단위],Tbl_Budget[Budget 관리단위])</f>
        <v>#N/A</v>
      </c>
      <c r="L18" s="195">
        <f t="shared" si="0"/>
        <v>46113</v>
      </c>
    </row>
    <row r="19" spans="4:12" ht="14.25" thickBot="1" x14ac:dyDescent="0.3">
      <c r="D19" s="204" t="s">
        <v>164</v>
      </c>
      <c r="E19" s="201" t="s">
        <v>175</v>
      </c>
      <c r="I19" s="205" t="s">
        <v>164</v>
      </c>
      <c r="J19" s="203" t="s">
        <v>1036</v>
      </c>
      <c r="K19" s="5" t="e">
        <f>_xlfn.XLOOKUP(J19,Tbl_Budget[Budget 관리단위],Tbl_Budget[Budget 관리단위])</f>
        <v>#N/A</v>
      </c>
      <c r="L19" s="207">
        <f t="shared" si="0"/>
        <v>46143</v>
      </c>
    </row>
    <row r="20" spans="4:12" x14ac:dyDescent="0.25">
      <c r="D20" s="204" t="s">
        <v>164</v>
      </c>
      <c r="E20" s="201" t="s">
        <v>176</v>
      </c>
      <c r="I20" s="205" t="s">
        <v>164</v>
      </c>
      <c r="J20" s="203" t="s">
        <v>1037</v>
      </c>
      <c r="K20" s="5" t="e">
        <f>_xlfn.XLOOKUP(J20,Tbl_Budget[Budget 관리단위],Tbl_Budget[Budget 관리단위])</f>
        <v>#N/A</v>
      </c>
    </row>
    <row r="21" spans="4:12" x14ac:dyDescent="0.25">
      <c r="D21" s="204" t="s">
        <v>164</v>
      </c>
      <c r="E21" s="201" t="s">
        <v>177</v>
      </c>
      <c r="I21" s="205" t="s">
        <v>164</v>
      </c>
      <c r="J21" s="203" t="s">
        <v>172</v>
      </c>
      <c r="K21" s="5" t="str">
        <f>_xlfn.XLOOKUP(J21,Tbl_Budget[Budget 관리단위],Tbl_Budget[Budget 관리단위])</f>
        <v>고객 반품, 할인 및 충당금</v>
      </c>
    </row>
    <row r="22" spans="4:12" x14ac:dyDescent="0.25">
      <c r="D22" s="204" t="s">
        <v>164</v>
      </c>
      <c r="E22" s="201" t="s">
        <v>178</v>
      </c>
      <c r="I22" s="205" t="s">
        <v>164</v>
      </c>
      <c r="J22" s="203" t="s">
        <v>173</v>
      </c>
      <c r="K22" s="5" t="str">
        <f>_xlfn.XLOOKUP(J22,Tbl_Budget[Budget 관리단위],Tbl_Budget[Budget 관리단위])</f>
        <v>재고자산-일반</v>
      </c>
    </row>
    <row r="23" spans="4:12" x14ac:dyDescent="0.25">
      <c r="D23" s="204" t="s">
        <v>164</v>
      </c>
      <c r="E23" s="201" t="s">
        <v>179</v>
      </c>
      <c r="I23" s="205" t="s">
        <v>164</v>
      </c>
      <c r="J23" s="203" t="s">
        <v>174</v>
      </c>
      <c r="K23" s="5" t="str">
        <f>_xlfn.XLOOKUP(J23,Tbl_Budget[Budget 관리단위],Tbl_Budget[Budget 관리단위])</f>
        <v>재고자산-실사입회및문서화</v>
      </c>
    </row>
    <row r="24" spans="4:12" x14ac:dyDescent="0.25">
      <c r="D24" s="204" t="s">
        <v>164</v>
      </c>
      <c r="E24" s="201" t="s">
        <v>180</v>
      </c>
      <c r="I24" s="205" t="s">
        <v>164</v>
      </c>
      <c r="J24" s="203" t="s">
        <v>175</v>
      </c>
      <c r="K24" s="5" t="str">
        <f>_xlfn.XLOOKUP(J24,Tbl_Budget[Budget 관리단위],Tbl_Budget[Budget 관리단위])</f>
        <v>건설계약</v>
      </c>
    </row>
    <row r="25" spans="4:12" x14ac:dyDescent="0.25">
      <c r="D25" s="204" t="s">
        <v>164</v>
      </c>
      <c r="E25" s="201" t="s">
        <v>181</v>
      </c>
      <c r="I25" s="205" t="s">
        <v>164</v>
      </c>
      <c r="J25" s="203" t="s">
        <v>176</v>
      </c>
      <c r="K25" s="5" t="str">
        <f>_xlfn.XLOOKUP(J25,Tbl_Budget[Budget 관리단위],Tbl_Budget[Budget 관리단위])</f>
        <v>기타자산</v>
      </c>
    </row>
    <row r="26" spans="4:12" x14ac:dyDescent="0.25">
      <c r="D26" s="204" t="s">
        <v>164</v>
      </c>
      <c r="E26" s="201" t="s">
        <v>182</v>
      </c>
      <c r="I26" s="205" t="s">
        <v>164</v>
      </c>
      <c r="J26" s="203" t="s">
        <v>177</v>
      </c>
      <c r="K26" s="5" t="str">
        <f>_xlfn.XLOOKUP(J26,Tbl_Budget[Budget 관리단위],Tbl_Budget[Budget 관리단위])</f>
        <v>유/무형자산/투자부동산-일반</v>
      </c>
    </row>
    <row r="27" spans="4:12" x14ac:dyDescent="0.25">
      <c r="D27" s="204" t="s">
        <v>164</v>
      </c>
      <c r="E27" s="201" t="s">
        <v>183</v>
      </c>
      <c r="I27" s="205" t="s">
        <v>164</v>
      </c>
      <c r="J27" s="203" t="s">
        <v>178</v>
      </c>
      <c r="K27" s="5" t="str">
        <f>_xlfn.XLOOKUP(J27,Tbl_Budget[Budget 관리단위],Tbl_Budget[Budget 관리단위])</f>
        <v>유/무형자산/투자부동산-취득처분</v>
      </c>
    </row>
    <row r="28" spans="4:12" ht="14.25" thickBot="1" x14ac:dyDescent="0.3">
      <c r="D28" s="208" t="s">
        <v>164</v>
      </c>
      <c r="E28" s="197" t="s">
        <v>184</v>
      </c>
      <c r="I28" s="205" t="s">
        <v>164</v>
      </c>
      <c r="J28" s="203" t="s">
        <v>179</v>
      </c>
      <c r="K28" s="5" t="str">
        <f>_xlfn.XLOOKUP(J28,Tbl_Budget[Budget 관리단위],Tbl_Budget[Budget 관리단위])</f>
        <v>종속기업 등에 대한 투자자산-일반</v>
      </c>
    </row>
    <row r="29" spans="4:12" x14ac:dyDescent="0.25">
      <c r="D29" s="209" t="s">
        <v>185</v>
      </c>
      <c r="E29" s="192" t="s">
        <v>186</v>
      </c>
      <c r="I29" s="205" t="s">
        <v>164</v>
      </c>
      <c r="J29" s="203" t="s">
        <v>180</v>
      </c>
      <c r="K29" s="5" t="str">
        <f>_xlfn.XLOOKUP(J29,Tbl_Budget[Budget 관리단위],Tbl_Budget[Budget 관리단위])</f>
        <v>종속기업 등에 대한 투자자산-손상검토</v>
      </c>
    </row>
    <row r="30" spans="4:12" x14ac:dyDescent="0.25">
      <c r="D30" s="204" t="s">
        <v>185</v>
      </c>
      <c r="E30" s="201" t="s">
        <v>187</v>
      </c>
      <c r="I30" s="205" t="s">
        <v>164</v>
      </c>
      <c r="J30" s="203" t="s">
        <v>181</v>
      </c>
      <c r="K30" s="5" t="str">
        <f>_xlfn.XLOOKUP(J30,Tbl_Budget[Budget 관리단위],Tbl_Budget[Budget 관리단위])</f>
        <v>영업권-일반</v>
      </c>
    </row>
    <row r="31" spans="4:12" x14ac:dyDescent="0.25">
      <c r="D31" s="204" t="s">
        <v>185</v>
      </c>
      <c r="E31" s="201" t="s">
        <v>188</v>
      </c>
      <c r="I31" s="205" t="s">
        <v>164</v>
      </c>
      <c r="J31" s="203" t="s">
        <v>182</v>
      </c>
      <c r="K31" s="5" t="str">
        <f>_xlfn.XLOOKUP(J31,Tbl_Budget[Budget 관리단위],Tbl_Budget[Budget 관리단위])</f>
        <v>영업권-PPA</v>
      </c>
    </row>
    <row r="32" spans="4:12" x14ac:dyDescent="0.25">
      <c r="D32" s="204" t="s">
        <v>185</v>
      </c>
      <c r="E32" s="201" t="s">
        <v>189</v>
      </c>
      <c r="I32" s="205" t="s">
        <v>164</v>
      </c>
      <c r="J32" s="203" t="s">
        <v>183</v>
      </c>
      <c r="K32" s="5" t="str">
        <f>_xlfn.XLOOKUP(J32,Tbl_Budget[Budget 관리단위],Tbl_Budget[Budget 관리단위])</f>
        <v>영업권-손상검토</v>
      </c>
    </row>
    <row r="33" spans="4:11" x14ac:dyDescent="0.25">
      <c r="D33" s="204" t="s">
        <v>185</v>
      </c>
      <c r="E33" s="201" t="s">
        <v>190</v>
      </c>
      <c r="I33" s="205" t="s">
        <v>164</v>
      </c>
      <c r="J33" s="210" t="s">
        <v>1038</v>
      </c>
      <c r="K33" s="5" t="e">
        <f>_xlfn.XLOOKUP(J33,Tbl_Budget[Budget 관리단위],Tbl_Budget[Budget 관리단위])</f>
        <v>#N/A</v>
      </c>
    </row>
    <row r="34" spans="4:11" x14ac:dyDescent="0.25">
      <c r="D34" s="204" t="s">
        <v>185</v>
      </c>
      <c r="E34" s="201" t="s">
        <v>191</v>
      </c>
      <c r="I34" s="205" t="s">
        <v>164</v>
      </c>
      <c r="J34" s="210" t="s">
        <v>1039</v>
      </c>
      <c r="K34" s="5" t="e">
        <f>_xlfn.XLOOKUP(J34,Tbl_Budget[Budget 관리단위],Tbl_Budget[Budget 관리단위])</f>
        <v>#N/A</v>
      </c>
    </row>
    <row r="35" spans="4:11" ht="14.25" thickBot="1" x14ac:dyDescent="0.3">
      <c r="D35" s="204" t="s">
        <v>185</v>
      </c>
      <c r="E35" s="201" t="s">
        <v>1040</v>
      </c>
      <c r="I35" s="211" t="s">
        <v>164</v>
      </c>
      <c r="J35" s="199" t="s">
        <v>184</v>
      </c>
      <c r="K35" s="5" t="str">
        <f>_xlfn.XLOOKUP(J35,Tbl_Budget[Budget 관리단위],Tbl_Budget[Budget 관리단위])</f>
        <v>자산 - 기타</v>
      </c>
    </row>
    <row r="36" spans="4:11" x14ac:dyDescent="0.25">
      <c r="D36" s="204" t="s">
        <v>185</v>
      </c>
      <c r="E36" s="201" t="s">
        <v>1041</v>
      </c>
      <c r="I36" s="212" t="s">
        <v>185</v>
      </c>
      <c r="J36" s="194" t="s">
        <v>186</v>
      </c>
      <c r="K36" s="5" t="str">
        <f>_xlfn.XLOOKUP(J36,Tbl_Budget[Budget 관리단위],Tbl_Budget[Budget 관리단위])</f>
        <v>매입채무-일반</v>
      </c>
    </row>
    <row r="37" spans="4:11" x14ac:dyDescent="0.25">
      <c r="D37" s="204" t="s">
        <v>185</v>
      </c>
      <c r="E37" s="201" t="s">
        <v>1042</v>
      </c>
      <c r="I37" s="205" t="s">
        <v>185</v>
      </c>
      <c r="J37" s="203" t="s">
        <v>187</v>
      </c>
      <c r="K37" s="5" t="str">
        <f>_xlfn.XLOOKUP(J37,Tbl_Budget[Budget 관리단위],Tbl_Budget[Budget 관리단위])</f>
        <v>매입채무-조회</v>
      </c>
    </row>
    <row r="38" spans="4:11" x14ac:dyDescent="0.25">
      <c r="D38" s="204" t="s">
        <v>185</v>
      </c>
      <c r="E38" s="201" t="s">
        <v>195</v>
      </c>
      <c r="I38" s="205" t="s">
        <v>185</v>
      </c>
      <c r="J38" s="203" t="s">
        <v>188</v>
      </c>
      <c r="K38" s="5" t="str">
        <f>_xlfn.XLOOKUP(J38,Tbl_Budget[Budget 관리단위],Tbl_Budget[Budget 관리단위])</f>
        <v>특수관계자/내부거래</v>
      </c>
    </row>
    <row r="39" spans="4:11" x14ac:dyDescent="0.25">
      <c r="D39" s="204" t="s">
        <v>185</v>
      </c>
      <c r="E39" s="201" t="s">
        <v>196</v>
      </c>
      <c r="I39" s="205" t="s">
        <v>185</v>
      </c>
      <c r="J39" s="203" t="s">
        <v>189</v>
      </c>
      <c r="K39" s="5" t="str">
        <f>_xlfn.XLOOKUP(J39,Tbl_Budget[Budget 관리단위],Tbl_Budget[Budget 관리단위])</f>
        <v>기타부채 및 충당부채-일반</v>
      </c>
    </row>
    <row r="40" spans="4:11" x14ac:dyDescent="0.25">
      <c r="D40" s="204" t="s">
        <v>185</v>
      </c>
      <c r="E40" s="201" t="s">
        <v>735</v>
      </c>
      <c r="I40" s="205" t="s">
        <v>185</v>
      </c>
      <c r="J40" s="203" t="s">
        <v>190</v>
      </c>
      <c r="K40" s="5" t="str">
        <f>_xlfn.XLOOKUP(J40,Tbl_Budget[Budget 관리단위],Tbl_Budget[Budget 관리단위])</f>
        <v>기타부채 및 충당부채-부외부채/우발부채검토</v>
      </c>
    </row>
    <row r="41" spans="4:11" x14ac:dyDescent="0.25">
      <c r="D41" s="204" t="s">
        <v>185</v>
      </c>
      <c r="E41" s="201" t="s">
        <v>198</v>
      </c>
      <c r="I41" s="205" t="s">
        <v>185</v>
      </c>
      <c r="J41" s="203" t="s">
        <v>191</v>
      </c>
      <c r="K41" s="5" t="str">
        <f>_xlfn.XLOOKUP(J41,Tbl_Budget[Budget 관리단위],Tbl_Budget[Budget 관리단위])</f>
        <v>법인세</v>
      </c>
    </row>
    <row r="42" spans="4:11" ht="14.25" thickBot="1" x14ac:dyDescent="0.3">
      <c r="D42" s="208" t="s">
        <v>185</v>
      </c>
      <c r="E42" s="197" t="s">
        <v>199</v>
      </c>
      <c r="I42" s="205" t="s">
        <v>185</v>
      </c>
      <c r="J42" s="203" t="s">
        <v>1043</v>
      </c>
      <c r="K42" s="5" t="e">
        <f>_xlfn.XLOOKUP(J42,Tbl_Budget[Budget 관리단위],Tbl_Budget[Budget 관리단위])</f>
        <v>#N/A</v>
      </c>
    </row>
    <row r="43" spans="4:11" x14ac:dyDescent="0.25">
      <c r="D43" s="209" t="s">
        <v>200</v>
      </c>
      <c r="E43" s="192" t="s">
        <v>770</v>
      </c>
      <c r="I43" s="205" t="s">
        <v>185</v>
      </c>
      <c r="J43" s="203" t="s">
        <v>1040</v>
      </c>
      <c r="K43" s="5" t="str">
        <f>_xlfn.XLOOKUP(J43,Tbl_Budget[Budget 관리단위],Tbl_Budget[Budget 관리단위])</f>
        <v>차입금/복합금융상품-일반</v>
      </c>
    </row>
    <row r="44" spans="4:11" x14ac:dyDescent="0.25">
      <c r="D44" s="204" t="s">
        <v>200</v>
      </c>
      <c r="E44" s="201" t="s">
        <v>202</v>
      </c>
      <c r="I44" s="205" t="s">
        <v>185</v>
      </c>
      <c r="J44" s="203" t="s">
        <v>1041</v>
      </c>
      <c r="K44" s="5" t="str">
        <f>_xlfn.XLOOKUP(J44,Tbl_Budget[Budget 관리단위],Tbl_Budget[Budget 관리단위])</f>
        <v>차입금/복합금융상품-공정가치평가</v>
      </c>
    </row>
    <row r="45" spans="4:11" x14ac:dyDescent="0.25">
      <c r="D45" s="204" t="s">
        <v>200</v>
      </c>
      <c r="E45" s="201" t="s">
        <v>203</v>
      </c>
      <c r="I45" s="205" t="s">
        <v>185</v>
      </c>
      <c r="J45" s="203" t="s">
        <v>1042</v>
      </c>
      <c r="K45" s="5" t="str">
        <f>_xlfn.XLOOKUP(J45,Tbl_Budget[Budget 관리단위],Tbl_Budget[Budget 관리단위])</f>
        <v>차입금/복합금융상품-약정사항 검토</v>
      </c>
    </row>
    <row r="46" spans="4:11" x14ac:dyDescent="0.25">
      <c r="D46" s="204" t="s">
        <v>200</v>
      </c>
      <c r="E46" s="201" t="s">
        <v>204</v>
      </c>
      <c r="I46" s="205" t="s">
        <v>185</v>
      </c>
      <c r="J46" s="210" t="s">
        <v>1044</v>
      </c>
      <c r="K46" s="5" t="e">
        <f>_xlfn.XLOOKUP(J46,Tbl_Budget[Budget 관리단위],Tbl_Budget[Budget 관리단위])</f>
        <v>#N/A</v>
      </c>
    </row>
    <row r="47" spans="4:11" x14ac:dyDescent="0.25">
      <c r="D47" s="204" t="s">
        <v>200</v>
      </c>
      <c r="E47" s="201" t="s">
        <v>205</v>
      </c>
      <c r="I47" s="205" t="s">
        <v>185</v>
      </c>
      <c r="J47" s="210" t="s">
        <v>1045</v>
      </c>
      <c r="K47" s="5" t="e">
        <f>_xlfn.XLOOKUP(J47,Tbl_Budget[Budget 관리단위],Tbl_Budget[Budget 관리단위])</f>
        <v>#N/A</v>
      </c>
    </row>
    <row r="48" spans="4:11" x14ac:dyDescent="0.25">
      <c r="D48" s="204" t="s">
        <v>200</v>
      </c>
      <c r="E48" s="201" t="s">
        <v>206</v>
      </c>
      <c r="I48" s="205" t="s">
        <v>185</v>
      </c>
      <c r="J48" s="203" t="s">
        <v>195</v>
      </c>
      <c r="K48" s="5" t="str">
        <f>_xlfn.XLOOKUP(J48,Tbl_Budget[Budget 관리단위],Tbl_Budget[Budget 관리단위])</f>
        <v>이연수익</v>
      </c>
    </row>
    <row r="49" spans="4:11" x14ac:dyDescent="0.25">
      <c r="D49" s="204" t="s">
        <v>200</v>
      </c>
      <c r="E49" s="201" t="s">
        <v>1046</v>
      </c>
      <c r="I49" s="205" t="s">
        <v>185</v>
      </c>
      <c r="J49" s="203" t="s">
        <v>196</v>
      </c>
      <c r="K49" s="5" t="str">
        <f>_xlfn.XLOOKUP(J49,Tbl_Budget[Budget 관리단위],Tbl_Budget[Budget 관리단위])</f>
        <v>리스</v>
      </c>
    </row>
    <row r="50" spans="4:11" x14ac:dyDescent="0.25">
      <c r="D50" s="204" t="s">
        <v>200</v>
      </c>
      <c r="E50" s="201" t="s">
        <v>1047</v>
      </c>
      <c r="I50" s="205" t="s">
        <v>185</v>
      </c>
      <c r="J50" s="203" t="s">
        <v>735</v>
      </c>
      <c r="K50" s="5" t="str">
        <f>_xlfn.XLOOKUP(J50,Tbl_Budget[Budget 관리단위],Tbl_Budget[Budget 관리단위])</f>
        <v>퇴직급여/장기종업원급여</v>
      </c>
    </row>
    <row r="51" spans="4:11" x14ac:dyDescent="0.25">
      <c r="D51" s="204" t="s">
        <v>200</v>
      </c>
      <c r="E51" s="201" t="s">
        <v>209</v>
      </c>
      <c r="I51" s="205" t="s">
        <v>185</v>
      </c>
      <c r="J51" s="203" t="s">
        <v>198</v>
      </c>
      <c r="K51" s="5" t="str">
        <f>_xlfn.XLOOKUP(J51,Tbl_Budget[Budget 관리단위],Tbl_Budget[Budget 관리단위])</f>
        <v>부채 - 기타</v>
      </c>
    </row>
    <row r="52" spans="4:11" ht="14.25" thickBot="1" x14ac:dyDescent="0.3">
      <c r="D52" s="204" t="s">
        <v>200</v>
      </c>
      <c r="E52" s="201" t="s">
        <v>210</v>
      </c>
      <c r="I52" s="211" t="s">
        <v>185</v>
      </c>
      <c r="J52" s="199" t="s">
        <v>199</v>
      </c>
      <c r="K52" s="5" t="str">
        <f>_xlfn.XLOOKUP(J52,Tbl_Budget[Budget 관리단위],Tbl_Budget[Budget 관리단위])</f>
        <v>자본금 및 기타 자본 계정</v>
      </c>
    </row>
    <row r="53" spans="4:11" ht="14.25" thickBot="1" x14ac:dyDescent="0.3">
      <c r="D53" s="208" t="s">
        <v>200</v>
      </c>
      <c r="E53" s="197" t="s">
        <v>211</v>
      </c>
      <c r="I53" s="212" t="s">
        <v>200</v>
      </c>
      <c r="J53" s="194" t="s">
        <v>770</v>
      </c>
      <c r="K53" s="5" t="str">
        <f>_xlfn.XLOOKUP(J53,Tbl_Budget[Budget 관리단위],Tbl_Budget[Budget 관리단위])</f>
        <v>매출(IIFRS15/K-GAAP)-일반</v>
      </c>
    </row>
    <row r="54" spans="4:11" x14ac:dyDescent="0.25">
      <c r="D54" s="209" t="s">
        <v>212</v>
      </c>
      <c r="E54" s="192" t="s">
        <v>212</v>
      </c>
      <c r="I54" s="205" t="s">
        <v>200</v>
      </c>
      <c r="J54" s="203" t="s">
        <v>202</v>
      </c>
      <c r="K54" s="5" t="str">
        <f>_xlfn.XLOOKUP(J54,Tbl_Budget[Budget 관리단위],Tbl_Budget[Budget 관리단위])</f>
        <v>매출(IIFRS15/K-GAAP)-발생사실테스트</v>
      </c>
    </row>
    <row r="55" spans="4:11" x14ac:dyDescent="0.25">
      <c r="D55" s="204" t="s">
        <v>212</v>
      </c>
      <c r="E55" s="201" t="s">
        <v>1048</v>
      </c>
      <c r="I55" s="205" t="s">
        <v>200</v>
      </c>
      <c r="J55" s="203" t="s">
        <v>203</v>
      </c>
      <c r="K55" s="5" t="str">
        <f>_xlfn.XLOOKUP(J55,Tbl_Budget[Budget 관리단위],Tbl_Budget[Budget 관리단위])</f>
        <v>매출(IIFRS15/K-GAAP)-Cut-off테스트</v>
      </c>
    </row>
    <row r="56" spans="4:11" x14ac:dyDescent="0.25">
      <c r="D56" s="204" t="s">
        <v>212</v>
      </c>
      <c r="E56" s="201" t="s">
        <v>1049</v>
      </c>
      <c r="I56" s="205" t="s">
        <v>200</v>
      </c>
      <c r="J56" s="203" t="s">
        <v>1050</v>
      </c>
      <c r="K56" s="5" t="e">
        <f>_xlfn.XLOOKUP(J56,Tbl_Budget[Budget 관리단위],Tbl_Budget[Budget 관리단위])</f>
        <v>#N/A</v>
      </c>
    </row>
    <row r="57" spans="4:11" x14ac:dyDescent="0.25">
      <c r="D57" s="204" t="s">
        <v>212</v>
      </c>
      <c r="E57" s="201" t="s">
        <v>215</v>
      </c>
      <c r="I57" s="205" t="s">
        <v>200</v>
      </c>
      <c r="J57" s="203" t="s">
        <v>204</v>
      </c>
      <c r="K57" s="5" t="str">
        <f>_xlfn.XLOOKUP(J57,Tbl_Budget[Budget 관리단위],Tbl_Budget[Budget 관리단위])</f>
        <v>기타 영업수익</v>
      </c>
    </row>
    <row r="58" spans="4:11" ht="14.25" thickBot="1" x14ac:dyDescent="0.3">
      <c r="D58" s="208" t="s">
        <v>212</v>
      </c>
      <c r="E58" s="197" t="s">
        <v>1051</v>
      </c>
      <c r="I58" s="205" t="s">
        <v>200</v>
      </c>
      <c r="J58" s="203" t="s">
        <v>205</v>
      </c>
      <c r="K58" s="5" t="str">
        <f>_xlfn.XLOOKUP(J58,Tbl_Budget[Budget 관리단위],Tbl_Budget[Budget 관리단위])</f>
        <v>매출원가-일반</v>
      </c>
    </row>
    <row r="59" spans="4:11" x14ac:dyDescent="0.25">
      <c r="D59" s="209" t="s">
        <v>217</v>
      </c>
      <c r="E59" s="192" t="s">
        <v>1052</v>
      </c>
      <c r="I59" s="205" t="s">
        <v>200</v>
      </c>
      <c r="J59" s="203" t="s">
        <v>206</v>
      </c>
      <c r="K59" s="5" t="str">
        <f>_xlfn.XLOOKUP(J59,Tbl_Budget[Budget 관리단위],Tbl_Budget[Budget 관리단위])</f>
        <v>매출원가-증빙테스트</v>
      </c>
    </row>
    <row r="60" spans="4:11" x14ac:dyDescent="0.25">
      <c r="D60" s="204" t="s">
        <v>217</v>
      </c>
      <c r="E60" s="201" t="s">
        <v>219</v>
      </c>
      <c r="I60" s="205" t="s">
        <v>200</v>
      </c>
      <c r="J60" s="203" t="s">
        <v>1046</v>
      </c>
      <c r="K60" s="5" t="str">
        <f>_xlfn.XLOOKUP(J60,Tbl_Budget[Budget 관리단위],Tbl_Budget[Budget 관리단위])</f>
        <v>영업비용</v>
      </c>
    </row>
    <row r="61" spans="4:11" x14ac:dyDescent="0.25">
      <c r="D61" s="204" t="s">
        <v>217</v>
      </c>
      <c r="E61" s="201" t="s">
        <v>220</v>
      </c>
      <c r="I61" s="205" t="s">
        <v>200</v>
      </c>
      <c r="J61" s="203" t="s">
        <v>1047</v>
      </c>
      <c r="K61" s="5" t="str">
        <f>_xlfn.XLOOKUP(J61,Tbl_Budget[Budget 관리단위],Tbl_Budget[Budget 관리단위])</f>
        <v>인건비</v>
      </c>
    </row>
    <row r="62" spans="4:11" ht="14.25" thickBot="1" x14ac:dyDescent="0.3">
      <c r="D62" s="208" t="s">
        <v>217</v>
      </c>
      <c r="E62" s="197" t="s">
        <v>221</v>
      </c>
      <c r="I62" s="205" t="s">
        <v>200</v>
      </c>
      <c r="J62" s="203" t="s">
        <v>209</v>
      </c>
      <c r="K62" s="5" t="str">
        <f>_xlfn.XLOOKUP(J62,Tbl_Budget[Budget 관리단위],Tbl_Budget[Budget 관리단위])</f>
        <v>영업외손익</v>
      </c>
    </row>
    <row r="63" spans="4:11" x14ac:dyDescent="0.25">
      <c r="D63" s="209" t="s">
        <v>222</v>
      </c>
      <c r="E63" s="192" t="s">
        <v>223</v>
      </c>
      <c r="I63" s="205" t="s">
        <v>200</v>
      </c>
      <c r="J63" s="203" t="s">
        <v>210</v>
      </c>
      <c r="K63" s="5" t="str">
        <f>_xlfn.XLOOKUP(J63,Tbl_Budget[Budget 관리단위],Tbl_Budget[Budget 관리단위])</f>
        <v>주식기준보상비용-일반</v>
      </c>
    </row>
    <row r="64" spans="4:11" ht="14.25" thickBot="1" x14ac:dyDescent="0.3">
      <c r="D64" s="204" t="s">
        <v>222</v>
      </c>
      <c r="E64" s="201" t="s">
        <v>1053</v>
      </c>
      <c r="I64" s="211" t="s">
        <v>200</v>
      </c>
      <c r="J64" s="199" t="s">
        <v>211</v>
      </c>
      <c r="K64" s="5" t="str">
        <f>_xlfn.XLOOKUP(J64,Tbl_Budget[Budget 관리단위],Tbl_Budget[Budget 관리단위])</f>
        <v>비용 - 기타</v>
      </c>
    </row>
    <row r="65" spans="4:11" x14ac:dyDescent="0.25">
      <c r="D65" s="204" t="s">
        <v>222</v>
      </c>
      <c r="E65" s="201" t="s">
        <v>225</v>
      </c>
      <c r="I65" s="212" t="s">
        <v>212</v>
      </c>
      <c r="J65" s="194" t="s">
        <v>212</v>
      </c>
      <c r="K65" s="5" t="str">
        <f>_xlfn.XLOOKUP(J65,Tbl_Budget[Budget 관리단위],Tbl_Budget[Budget 관리단위])</f>
        <v>종결단계</v>
      </c>
    </row>
    <row r="66" spans="4:11" x14ac:dyDescent="0.25">
      <c r="D66" s="204" t="s">
        <v>222</v>
      </c>
      <c r="E66" s="201" t="s">
        <v>402</v>
      </c>
      <c r="I66" s="205" t="s">
        <v>212</v>
      </c>
      <c r="J66" s="203" t="s">
        <v>1048</v>
      </c>
      <c r="K66" s="5" t="str">
        <f>_xlfn.XLOOKUP(J66,Tbl_Budget[Budget 관리단위],Tbl_Budget[Budget 관리단위])</f>
        <v>주석검토-별도</v>
      </c>
    </row>
    <row r="67" spans="4:11" x14ac:dyDescent="0.25">
      <c r="D67" s="204" t="s">
        <v>222</v>
      </c>
      <c r="E67" s="201" t="s">
        <v>227</v>
      </c>
      <c r="I67" s="205" t="s">
        <v>212</v>
      </c>
      <c r="J67" s="203" t="s">
        <v>1049</v>
      </c>
      <c r="K67" s="5" t="str">
        <f>_xlfn.XLOOKUP(J67,Tbl_Budget[Budget 관리단위],Tbl_Budget[Budget 관리단위])</f>
        <v>주석검토-연결</v>
      </c>
    </row>
    <row r="68" spans="4:11" x14ac:dyDescent="0.25">
      <c r="D68" s="204" t="s">
        <v>222</v>
      </c>
      <c r="E68" s="201" t="s">
        <v>228</v>
      </c>
      <c r="I68" s="205" t="s">
        <v>212</v>
      </c>
      <c r="J68" s="203" t="s">
        <v>215</v>
      </c>
      <c r="K68" s="5" t="str">
        <f>_xlfn.XLOOKUP(J68,Tbl_Budget[Budget 관리단위],Tbl_Budget[Budget 관리단위])</f>
        <v>기말감사 - 별도CF</v>
      </c>
    </row>
    <row r="69" spans="4:11" x14ac:dyDescent="0.25">
      <c r="D69" s="204" t="s">
        <v>222</v>
      </c>
      <c r="E69" s="201" t="s">
        <v>229</v>
      </c>
      <c r="I69" s="205" t="s">
        <v>212</v>
      </c>
      <c r="J69" s="203" t="s">
        <v>1054</v>
      </c>
      <c r="K69" s="5" t="e">
        <f>_xlfn.XLOOKUP(J69,Tbl_Budget[Budget 관리단위],Tbl_Budget[Budget 관리단위])</f>
        <v>#N/A</v>
      </c>
    </row>
    <row r="70" spans="4:11" x14ac:dyDescent="0.25">
      <c r="D70" s="204" t="s">
        <v>222</v>
      </c>
      <c r="E70" s="201" t="s">
        <v>230</v>
      </c>
      <c r="I70" s="205" t="s">
        <v>212</v>
      </c>
      <c r="J70" s="203" t="s">
        <v>1055</v>
      </c>
      <c r="K70" s="5" t="e">
        <f>_xlfn.XLOOKUP(J70,Tbl_Budget[Budget 관리단위],Tbl_Budget[Budget 관리단위])</f>
        <v>#N/A</v>
      </c>
    </row>
    <row r="71" spans="4:11" ht="14.25" thickBot="1" x14ac:dyDescent="0.3">
      <c r="D71" s="204" t="s">
        <v>222</v>
      </c>
      <c r="E71" s="201" t="s">
        <v>231</v>
      </c>
      <c r="I71" s="211" t="s">
        <v>212</v>
      </c>
      <c r="J71" s="199" t="s">
        <v>1051</v>
      </c>
      <c r="K71" s="5" t="str">
        <f>_xlfn.XLOOKUP(J71,Tbl_Budget[Budget 관리단위],Tbl_Budget[Budget 관리단위])</f>
        <v>외국어 보고서</v>
      </c>
    </row>
    <row r="72" spans="4:11" x14ac:dyDescent="0.25">
      <c r="D72" s="204" t="s">
        <v>222</v>
      </c>
      <c r="E72" s="201" t="s">
        <v>232</v>
      </c>
      <c r="I72" s="212" t="s">
        <v>217</v>
      </c>
      <c r="J72" s="194" t="s">
        <v>1052</v>
      </c>
      <c r="K72" s="5" t="str">
        <f>_xlfn.XLOOKUP(J72,Tbl_Budget[Budget 관리단위],Tbl_Budget[Budget 관리단위])</f>
        <v>기말감사 - 연결일반</v>
      </c>
    </row>
    <row r="73" spans="4:11" x14ac:dyDescent="0.25">
      <c r="D73" s="204" t="s">
        <v>222</v>
      </c>
      <c r="E73" s="201" t="s">
        <v>233</v>
      </c>
      <c r="I73" s="205" t="s">
        <v>217</v>
      </c>
      <c r="J73" s="203" t="s">
        <v>219</v>
      </c>
      <c r="K73" s="5" t="str">
        <f>_xlfn.XLOOKUP(J73,Tbl_Budget[Budget 관리단위],Tbl_Budget[Budget 관리단위])</f>
        <v>기말감사 - 연결GA/CA</v>
      </c>
    </row>
    <row r="74" spans="4:11" x14ac:dyDescent="0.25">
      <c r="D74" s="204" t="s">
        <v>222</v>
      </c>
      <c r="E74" s="201" t="s">
        <v>234</v>
      </c>
      <c r="I74" s="205" t="s">
        <v>217</v>
      </c>
      <c r="J74" s="203" t="s">
        <v>220</v>
      </c>
      <c r="K74" s="5" t="str">
        <f>_xlfn.XLOOKUP(J74,Tbl_Budget[Budget 관리단위],Tbl_Budget[Budget 관리단위])</f>
        <v>기말감사 - 연결법인세</v>
      </c>
    </row>
    <row r="75" spans="4:11" ht="14.25" thickBot="1" x14ac:dyDescent="0.3">
      <c r="D75" s="204" t="s">
        <v>222</v>
      </c>
      <c r="E75" s="201" t="s">
        <v>235</v>
      </c>
      <c r="I75" s="211" t="s">
        <v>217</v>
      </c>
      <c r="J75" s="199" t="s">
        <v>221</v>
      </c>
      <c r="K75" s="5" t="str">
        <f>_xlfn.XLOOKUP(J75,Tbl_Budget[Budget 관리단위],Tbl_Budget[Budget 관리단위])</f>
        <v>기말감사 - 연결CF</v>
      </c>
    </row>
    <row r="76" spans="4:11" x14ac:dyDescent="0.25">
      <c r="D76" s="204" t="s">
        <v>222</v>
      </c>
      <c r="E76" s="201" t="s">
        <v>236</v>
      </c>
      <c r="I76" s="212" t="s">
        <v>222</v>
      </c>
      <c r="J76" s="194" t="s">
        <v>223</v>
      </c>
      <c r="K76" s="5" t="str">
        <f>_xlfn.XLOOKUP(J76,Tbl_Budget[Budget 관리단위],Tbl_Budget[Budget 관리단위])</f>
        <v>내부통제-계획/종결</v>
      </c>
    </row>
    <row r="77" spans="4:11" x14ac:dyDescent="0.25">
      <c r="D77" s="204" t="s">
        <v>222</v>
      </c>
      <c r="E77" s="201" t="s">
        <v>418</v>
      </c>
      <c r="I77" s="205" t="s">
        <v>222</v>
      </c>
      <c r="J77" s="203" t="s">
        <v>1053</v>
      </c>
      <c r="K77" s="5" t="str">
        <f>_xlfn.XLOOKUP(J77,Tbl_Budget[Budget 관리단위],Tbl_Budget[Budget 관리단위])</f>
        <v>내부회계검토</v>
      </c>
    </row>
    <row r="78" spans="4:11" x14ac:dyDescent="0.25">
      <c r="D78" s="204" t="s">
        <v>222</v>
      </c>
      <c r="E78" s="201" t="s">
        <v>238</v>
      </c>
      <c r="I78" s="205" t="s">
        <v>222</v>
      </c>
      <c r="J78" s="203" t="s">
        <v>225</v>
      </c>
      <c r="K78" s="5" t="str">
        <f>_xlfn.XLOOKUP(J78,Tbl_Budget[Budget 관리단위],Tbl_Budget[Budget 관리단위])</f>
        <v>설계평가-내부통제-ELC</v>
      </c>
    </row>
    <row r="79" spans="4:11" x14ac:dyDescent="0.25">
      <c r="D79" s="204" t="s">
        <v>222</v>
      </c>
      <c r="E79" s="201" t="s">
        <v>239</v>
      </c>
      <c r="I79" s="205" t="s">
        <v>222</v>
      </c>
      <c r="J79" s="203" t="s">
        <v>226</v>
      </c>
      <c r="K79" s="5" t="str">
        <f>_xlfn.XLOOKUP(J79,Tbl_Budget[Budget 관리단위],Tbl_Budget[Budget 관리단위])</f>
        <v>설계평가-내부통제-ITGC</v>
      </c>
    </row>
    <row r="80" spans="4:11" x14ac:dyDescent="0.25">
      <c r="D80" s="204" t="s">
        <v>222</v>
      </c>
      <c r="E80" s="201" t="s">
        <v>240</v>
      </c>
      <c r="I80" s="205" t="s">
        <v>222</v>
      </c>
      <c r="J80" s="203" t="s">
        <v>227</v>
      </c>
      <c r="K80" s="5" t="str">
        <f>_xlfn.XLOOKUP(J80,Tbl_Budget[Budget 관리단위],Tbl_Budget[Budget 관리단위])</f>
        <v>설계평가-내부통제-재무보고(FR)</v>
      </c>
    </row>
    <row r="81" spans="4:11" x14ac:dyDescent="0.25">
      <c r="D81" s="204" t="s">
        <v>222</v>
      </c>
      <c r="E81" s="201" t="s">
        <v>241</v>
      </c>
      <c r="I81" s="205" t="s">
        <v>222</v>
      </c>
      <c r="J81" s="203" t="s">
        <v>228</v>
      </c>
      <c r="K81" s="5" t="str">
        <f>_xlfn.XLOOKUP(J81,Tbl_Budget[Budget 관리단위],Tbl_Budget[Budget 관리단위])</f>
        <v>설계평가-내부통제-자금</v>
      </c>
    </row>
    <row r="82" spans="4:11" x14ac:dyDescent="0.25">
      <c r="D82" s="204" t="s">
        <v>222</v>
      </c>
      <c r="E82" s="201" t="s">
        <v>242</v>
      </c>
      <c r="I82" s="205" t="s">
        <v>222</v>
      </c>
      <c r="J82" s="203" t="s">
        <v>229</v>
      </c>
      <c r="K82" s="5" t="str">
        <f>_xlfn.XLOOKUP(J82,Tbl_Budget[Budget 관리단위],Tbl_Budget[Budget 관리단위])</f>
        <v>설계평가-내부통제-매출/매출채권</v>
      </c>
    </row>
    <row r="83" spans="4:11" x14ac:dyDescent="0.25">
      <c r="D83" s="204" t="s">
        <v>222</v>
      </c>
      <c r="E83" s="201" t="s">
        <v>243</v>
      </c>
      <c r="I83" s="205" t="s">
        <v>222</v>
      </c>
      <c r="J83" s="203" t="s">
        <v>230</v>
      </c>
      <c r="K83" s="5" t="str">
        <f>_xlfn.XLOOKUP(J83,Tbl_Budget[Budget 관리단위],Tbl_Budget[Budget 관리단위])</f>
        <v>설계평가-내부통제-재고/원가</v>
      </c>
    </row>
    <row r="84" spans="4:11" x14ac:dyDescent="0.25">
      <c r="D84" s="204" t="s">
        <v>222</v>
      </c>
      <c r="E84" s="201" t="s">
        <v>244</v>
      </c>
      <c r="I84" s="205" t="s">
        <v>222</v>
      </c>
      <c r="J84" s="203" t="s">
        <v>231</v>
      </c>
      <c r="K84" s="5" t="str">
        <f>_xlfn.XLOOKUP(J84,Tbl_Budget[Budget 관리단위],Tbl_Budget[Budget 관리단위])</f>
        <v>설계평가-내부통제-매입/매입채무</v>
      </c>
    </row>
    <row r="85" spans="4:11" x14ac:dyDescent="0.25">
      <c r="D85" s="204" t="s">
        <v>222</v>
      </c>
      <c r="E85" s="201" t="s">
        <v>245</v>
      </c>
      <c r="I85" s="205" t="s">
        <v>222</v>
      </c>
      <c r="J85" s="203" t="s">
        <v>232</v>
      </c>
      <c r="K85" s="5" t="str">
        <f>_xlfn.XLOOKUP(J85,Tbl_Budget[Budget 관리단위],Tbl_Budget[Budget 관리단위])</f>
        <v>설계평가-내부통제-급여/퇴직급여</v>
      </c>
    </row>
    <row r="86" spans="4:11" ht="14.25" thickBot="1" x14ac:dyDescent="0.3">
      <c r="D86" s="208" t="s">
        <v>222</v>
      </c>
      <c r="E86" s="197" t="s">
        <v>246</v>
      </c>
      <c r="I86" s="205" t="s">
        <v>222</v>
      </c>
      <c r="J86" s="203" t="s">
        <v>233</v>
      </c>
      <c r="K86" s="5" t="str">
        <f>_xlfn.XLOOKUP(J86,Tbl_Budget[Budget 관리단위],Tbl_Budget[Budget 관리단위])</f>
        <v>설계평가-내부통제-유/무형자산/투자부동산</v>
      </c>
    </row>
    <row r="87" spans="4:11" ht="14.25" thickBot="1" x14ac:dyDescent="0.3">
      <c r="D87" s="213" t="s">
        <v>247</v>
      </c>
      <c r="E87" s="214" t="s">
        <v>247</v>
      </c>
      <c r="I87" s="205" t="s">
        <v>222</v>
      </c>
      <c r="J87" s="203" t="s">
        <v>234</v>
      </c>
      <c r="K87" s="5" t="str">
        <f>_xlfn.XLOOKUP(J87,Tbl_Budget[Budget 관리단위],Tbl_Budget[Budget 관리단위])</f>
        <v>설계평가-내부통제-연결</v>
      </c>
    </row>
    <row r="88" spans="4:11" x14ac:dyDescent="0.25">
      <c r="D88" s="14"/>
      <c r="E88" s="14"/>
      <c r="I88" s="205" t="s">
        <v>222</v>
      </c>
      <c r="J88" s="203" t="s">
        <v>235</v>
      </c>
      <c r="K88" s="5" t="str">
        <f>_xlfn.XLOOKUP(J88,Tbl_Budget[Budget 관리단위],Tbl_Budget[Budget 관리단위])</f>
        <v>설계평가-내부통제-기타프로세스</v>
      </c>
    </row>
    <row r="89" spans="4:11" x14ac:dyDescent="0.25">
      <c r="I89" s="205" t="s">
        <v>222</v>
      </c>
      <c r="J89" s="203" t="s">
        <v>471</v>
      </c>
      <c r="K89" s="5" t="e">
        <f>_xlfn.XLOOKUP(J89,Tbl_Budget[Budget 관리단위],Tbl_Budget[Budget 관리단위])</f>
        <v>#N/A</v>
      </c>
    </row>
    <row r="90" spans="4:11" x14ac:dyDescent="0.25">
      <c r="I90" s="205" t="s">
        <v>222</v>
      </c>
      <c r="J90" s="203" t="s">
        <v>474</v>
      </c>
      <c r="K90" s="5" t="e">
        <f>_xlfn.XLOOKUP(J90,Tbl_Budget[Budget 관리단위],Tbl_Budget[Budget 관리단위])</f>
        <v>#N/A</v>
      </c>
    </row>
    <row r="91" spans="4:11" x14ac:dyDescent="0.25">
      <c r="I91" s="205" t="s">
        <v>222</v>
      </c>
      <c r="J91" s="203" t="s">
        <v>465</v>
      </c>
      <c r="K91" s="5" t="e">
        <f>_xlfn.XLOOKUP(J91,Tbl_Budget[Budget 관리단위],Tbl_Budget[Budget 관리단위])</f>
        <v>#N/A</v>
      </c>
    </row>
    <row r="92" spans="4:11" x14ac:dyDescent="0.25">
      <c r="I92" s="205" t="s">
        <v>222</v>
      </c>
      <c r="J92" s="203" t="s">
        <v>468</v>
      </c>
      <c r="K92" s="5" t="e">
        <f>_xlfn.XLOOKUP(J92,Tbl_Budget[Budget 관리단위],Tbl_Budget[Budget 관리단위])</f>
        <v>#N/A</v>
      </c>
    </row>
    <row r="93" spans="4:11" x14ac:dyDescent="0.25">
      <c r="I93" s="205" t="s">
        <v>222</v>
      </c>
      <c r="J93" s="203" t="s">
        <v>1056</v>
      </c>
      <c r="K93" s="5" t="e">
        <f>_xlfn.XLOOKUP(J93,Tbl_Budget[Budget 관리단위],Tbl_Budget[Budget 관리단위])</f>
        <v>#N/A</v>
      </c>
    </row>
    <row r="94" spans="4:11" x14ac:dyDescent="0.25">
      <c r="I94" s="205" t="s">
        <v>222</v>
      </c>
      <c r="J94" s="203" t="s">
        <v>1057</v>
      </c>
      <c r="K94" s="5" t="e">
        <f>_xlfn.XLOOKUP(J94,Tbl_Budget[Budget 관리단위],Tbl_Budget[Budget 관리단위])</f>
        <v>#N/A</v>
      </c>
    </row>
    <row r="95" spans="4:11" x14ac:dyDescent="0.25">
      <c r="I95" s="205" t="s">
        <v>222</v>
      </c>
      <c r="J95" s="203" t="s">
        <v>1058</v>
      </c>
      <c r="K95" s="5" t="e">
        <f>_xlfn.XLOOKUP(J95,Tbl_Budget[Budget 관리단위],Tbl_Budget[Budget 관리단위])</f>
        <v>#N/A</v>
      </c>
    </row>
    <row r="96" spans="4:11" x14ac:dyDescent="0.25">
      <c r="I96" s="205" t="s">
        <v>222</v>
      </c>
      <c r="J96" s="203" t="s">
        <v>1059</v>
      </c>
      <c r="K96" s="5" t="e">
        <f>_xlfn.XLOOKUP(J96,Tbl_Budget[Budget 관리단위],Tbl_Budget[Budget 관리단위])</f>
        <v>#N/A</v>
      </c>
    </row>
    <row r="97" spans="9:11" x14ac:dyDescent="0.25">
      <c r="I97" s="205" t="s">
        <v>222</v>
      </c>
      <c r="J97" s="203" t="s">
        <v>236</v>
      </c>
      <c r="K97" s="5" t="str">
        <f>_xlfn.XLOOKUP(J97,Tbl_Budget[Budget 관리단위],Tbl_Budget[Budget 관리단위])</f>
        <v>운영평가-내부통제-ELC</v>
      </c>
    </row>
    <row r="98" spans="9:11" x14ac:dyDescent="0.25">
      <c r="I98" s="205" t="s">
        <v>222</v>
      </c>
      <c r="J98" s="203" t="s">
        <v>237</v>
      </c>
      <c r="K98" s="5" t="str">
        <f>_xlfn.XLOOKUP(J98,Tbl_Budget[Budget 관리단위],Tbl_Budget[Budget 관리단위])</f>
        <v>운영평가-내부통제-ITGC</v>
      </c>
    </row>
    <row r="99" spans="9:11" x14ac:dyDescent="0.25">
      <c r="I99" s="205" t="s">
        <v>222</v>
      </c>
      <c r="J99" s="203" t="s">
        <v>238</v>
      </c>
      <c r="K99" s="5" t="str">
        <f>_xlfn.XLOOKUP(J99,Tbl_Budget[Budget 관리단위],Tbl_Budget[Budget 관리단위])</f>
        <v>운영평가-내부통제-재무보고(FR)</v>
      </c>
    </row>
    <row r="100" spans="9:11" x14ac:dyDescent="0.25">
      <c r="I100" s="205" t="s">
        <v>222</v>
      </c>
      <c r="J100" s="203" t="s">
        <v>239</v>
      </c>
      <c r="K100" s="5" t="str">
        <f>_xlfn.XLOOKUP(J100,Tbl_Budget[Budget 관리단위],Tbl_Budget[Budget 관리단위])</f>
        <v>운영평가-내부통제-자금</v>
      </c>
    </row>
    <row r="101" spans="9:11" x14ac:dyDescent="0.25">
      <c r="I101" s="205" t="s">
        <v>222</v>
      </c>
      <c r="J101" s="203" t="s">
        <v>240</v>
      </c>
      <c r="K101" s="5" t="str">
        <f>_xlfn.XLOOKUP(J101,Tbl_Budget[Budget 관리단위],Tbl_Budget[Budget 관리단위])</f>
        <v>운영평가-내부통제-매출/매출채권</v>
      </c>
    </row>
    <row r="102" spans="9:11" x14ac:dyDescent="0.25">
      <c r="I102" s="205" t="s">
        <v>222</v>
      </c>
      <c r="J102" s="203" t="s">
        <v>241</v>
      </c>
      <c r="K102" s="5" t="str">
        <f>_xlfn.XLOOKUP(J102,Tbl_Budget[Budget 관리단위],Tbl_Budget[Budget 관리단위])</f>
        <v>운영평가-내부통제-재고/원가</v>
      </c>
    </row>
    <row r="103" spans="9:11" x14ac:dyDescent="0.25">
      <c r="I103" s="205" t="s">
        <v>222</v>
      </c>
      <c r="J103" s="203" t="s">
        <v>242</v>
      </c>
      <c r="K103" s="5" t="str">
        <f>_xlfn.XLOOKUP(J103,Tbl_Budget[Budget 관리단위],Tbl_Budget[Budget 관리단위])</f>
        <v>운영평가-내부통제-매입/매입채무</v>
      </c>
    </row>
    <row r="104" spans="9:11" x14ac:dyDescent="0.25">
      <c r="I104" s="205" t="s">
        <v>222</v>
      </c>
      <c r="J104" s="203" t="s">
        <v>243</v>
      </c>
      <c r="K104" s="5" t="str">
        <f>_xlfn.XLOOKUP(J104,Tbl_Budget[Budget 관리단위],Tbl_Budget[Budget 관리단위])</f>
        <v>운영평가-내부통제-급여/퇴직급여</v>
      </c>
    </row>
    <row r="105" spans="9:11" x14ac:dyDescent="0.25">
      <c r="I105" s="205" t="s">
        <v>222</v>
      </c>
      <c r="J105" s="203" t="s">
        <v>244</v>
      </c>
      <c r="K105" s="5" t="str">
        <f>_xlfn.XLOOKUP(J105,Tbl_Budget[Budget 관리단위],Tbl_Budget[Budget 관리단위])</f>
        <v>운영평가-내부통제-유/무형자산/투자부동산</v>
      </c>
    </row>
    <row r="106" spans="9:11" x14ac:dyDescent="0.25">
      <c r="I106" s="205" t="s">
        <v>222</v>
      </c>
      <c r="J106" s="203" t="s">
        <v>245</v>
      </c>
      <c r="K106" s="5" t="str">
        <f>_xlfn.XLOOKUP(J106,Tbl_Budget[Budget 관리단위],Tbl_Budget[Budget 관리단위])</f>
        <v>운영평가-내부통제-연결</v>
      </c>
    </row>
    <row r="107" spans="9:11" x14ac:dyDescent="0.25">
      <c r="I107" s="205" t="s">
        <v>222</v>
      </c>
      <c r="J107" s="203" t="s">
        <v>246</v>
      </c>
      <c r="K107" s="5" t="str">
        <f>_xlfn.XLOOKUP(J107,Tbl_Budget[Budget 관리단위],Tbl_Budget[Budget 관리단위])</f>
        <v>운영평가-내부통제-기타프로세스</v>
      </c>
    </row>
    <row r="108" spans="9:11" x14ac:dyDescent="0.25">
      <c r="I108" s="215" t="s">
        <v>222</v>
      </c>
      <c r="J108" s="210" t="s">
        <v>1060</v>
      </c>
      <c r="K108" s="5" t="e">
        <f>_xlfn.XLOOKUP(J108,Tbl_Budget[Budget 관리단위],Tbl_Budget[Budget 관리단위])</f>
        <v>#N/A</v>
      </c>
    </row>
    <row r="109" spans="9:11" x14ac:dyDescent="0.25">
      <c r="I109" s="215" t="s">
        <v>222</v>
      </c>
      <c r="J109" s="210" t="s">
        <v>1061</v>
      </c>
      <c r="K109" s="5" t="e">
        <f>_xlfn.XLOOKUP(J109,Tbl_Budget[Budget 관리단위],Tbl_Budget[Budget 관리단위])</f>
        <v>#N/A</v>
      </c>
    </row>
    <row r="110" spans="9:11" x14ac:dyDescent="0.25">
      <c r="I110" s="215" t="s">
        <v>222</v>
      </c>
      <c r="J110" s="210" t="s">
        <v>1062</v>
      </c>
      <c r="K110" s="5" t="e">
        <f>_xlfn.XLOOKUP(J110,Tbl_Budget[Budget 관리단위],Tbl_Budget[Budget 관리단위])</f>
        <v>#N/A</v>
      </c>
    </row>
    <row r="111" spans="9:11" x14ac:dyDescent="0.25">
      <c r="I111" s="215" t="s">
        <v>222</v>
      </c>
      <c r="J111" s="210" t="s">
        <v>1063</v>
      </c>
      <c r="K111" s="5" t="e">
        <f>_xlfn.XLOOKUP(J111,Tbl_Budget[Budget 관리단위],Tbl_Budget[Budget 관리단위])</f>
        <v>#N/A</v>
      </c>
    </row>
    <row r="112" spans="9:11" x14ac:dyDescent="0.25">
      <c r="I112" s="215" t="s">
        <v>222</v>
      </c>
      <c r="J112" s="210" t="s">
        <v>1064</v>
      </c>
      <c r="K112" s="5" t="e">
        <f>_xlfn.XLOOKUP(J112,Tbl_Budget[Budget 관리단위],Tbl_Budget[Budget 관리단위])</f>
        <v>#N/A</v>
      </c>
    </row>
    <row r="113" spans="9:11" x14ac:dyDescent="0.25">
      <c r="I113" s="215" t="s">
        <v>222</v>
      </c>
      <c r="J113" s="210" t="s">
        <v>1065</v>
      </c>
      <c r="K113" s="5" t="e">
        <f>_xlfn.XLOOKUP(J113,Tbl_Budget[Budget 관리단위],Tbl_Budget[Budget 관리단위])</f>
        <v>#N/A</v>
      </c>
    </row>
    <row r="114" spans="9:11" x14ac:dyDescent="0.25">
      <c r="I114" s="215" t="s">
        <v>222</v>
      </c>
      <c r="J114" s="210" t="s">
        <v>1066</v>
      </c>
      <c r="K114" s="5" t="e">
        <f>_xlfn.XLOOKUP(J114,Tbl_Budget[Budget 관리단위],Tbl_Budget[Budget 관리단위])</f>
        <v>#N/A</v>
      </c>
    </row>
    <row r="115" spans="9:11" ht="14.25" thickBot="1" x14ac:dyDescent="0.3">
      <c r="I115" s="216" t="s">
        <v>222</v>
      </c>
      <c r="J115" s="217" t="s">
        <v>1067</v>
      </c>
      <c r="K115" s="5" t="e">
        <f>_xlfn.XLOOKUP(J115,Tbl_Budget[Budget 관리단위],Tbl_Budget[Budget 관리단위])</f>
        <v>#N/A</v>
      </c>
    </row>
    <row r="116" spans="9:11" x14ac:dyDescent="0.25">
      <c r="I116" s="218" t="s">
        <v>1032</v>
      </c>
      <c r="J116" s="219" t="s">
        <v>1068</v>
      </c>
      <c r="K116" s="5" t="e">
        <f>_xlfn.XLOOKUP(J116,Tbl_Budget[Budget 관리단위],Tbl_Budget[Budget 관리단위])</f>
        <v>#N/A</v>
      </c>
    </row>
    <row r="117" spans="9:11" ht="14.25" thickBot="1" x14ac:dyDescent="0.3">
      <c r="I117" s="220" t="s">
        <v>1032</v>
      </c>
      <c r="J117" s="221" t="s">
        <v>1069</v>
      </c>
      <c r="K117" s="5" t="e">
        <f>_xlfn.XLOOKUP(J117,Tbl_Budget[Budget 관리단위],Tbl_Budget[Budget 관리단위])</f>
        <v>#N/A</v>
      </c>
    </row>
    <row r="118" spans="9:11" ht="14.25" thickBot="1" x14ac:dyDescent="0.3">
      <c r="I118" s="222" t="s">
        <v>247</v>
      </c>
      <c r="J118" s="214" t="s">
        <v>247</v>
      </c>
    </row>
    <row r="119" spans="9:11" x14ac:dyDescent="0.25">
      <c r="J119" s="14"/>
      <c r="K119" s="14"/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A2B0-0AF3-464B-9F23-366AE8296437}">
  <sheetPr codeName="Sheet16">
    <tabColor theme="0" tint="-0.499984740745262"/>
  </sheetPr>
  <dimension ref="A1:DQ111"/>
  <sheetViews>
    <sheetView workbookViewId="0"/>
  </sheetViews>
  <sheetFormatPr defaultColWidth="9" defaultRowHeight="13.5" x14ac:dyDescent="0.3"/>
  <cols>
    <col min="1" max="5" width="9" style="223"/>
    <col min="6" max="121" width="9" style="224"/>
    <col min="122" max="16384" width="9" style="223"/>
  </cols>
  <sheetData>
    <row r="1" spans="1:121" x14ac:dyDescent="0.3">
      <c r="A1" s="223" t="s">
        <v>1070</v>
      </c>
      <c r="B1" s="223" t="s">
        <v>1071</v>
      </c>
      <c r="C1" s="223" t="s">
        <v>1072</v>
      </c>
      <c r="D1" s="223" t="s">
        <v>1073</v>
      </c>
      <c r="E1" s="223" t="s">
        <v>1074</v>
      </c>
      <c r="F1" s="224" t="s">
        <v>157</v>
      </c>
      <c r="G1" s="224" t="s">
        <v>158</v>
      </c>
      <c r="H1" s="224" t="s">
        <v>161</v>
      </c>
      <c r="I1" s="224" t="s">
        <v>162</v>
      </c>
      <c r="J1" s="224" t="s">
        <v>1075</v>
      </c>
      <c r="K1" s="224" t="s">
        <v>165</v>
      </c>
      <c r="L1" s="224" t="s">
        <v>166</v>
      </c>
      <c r="M1" s="224" t="s">
        <v>167</v>
      </c>
      <c r="N1" s="224" t="s">
        <v>168</v>
      </c>
      <c r="O1" s="224" t="s">
        <v>169</v>
      </c>
      <c r="P1" s="224" t="s">
        <v>170</v>
      </c>
      <c r="Q1" s="224" t="s">
        <v>171</v>
      </c>
      <c r="R1" s="224" t="s">
        <v>172</v>
      </c>
      <c r="S1" s="224" t="s">
        <v>173</v>
      </c>
      <c r="T1" s="224" t="s">
        <v>174</v>
      </c>
      <c r="U1" s="224" t="s">
        <v>175</v>
      </c>
      <c r="V1" s="224" t="s">
        <v>176</v>
      </c>
      <c r="W1" s="224" t="s">
        <v>177</v>
      </c>
      <c r="X1" s="224" t="s">
        <v>178</v>
      </c>
      <c r="Y1" s="224" t="s">
        <v>179</v>
      </c>
      <c r="Z1" s="224" t="s">
        <v>180</v>
      </c>
      <c r="AA1" s="224" t="s">
        <v>181</v>
      </c>
      <c r="AB1" s="224" t="s">
        <v>182</v>
      </c>
      <c r="AC1" s="224" t="s">
        <v>183</v>
      </c>
      <c r="AD1" s="224" t="s">
        <v>184</v>
      </c>
      <c r="AE1" s="224" t="s">
        <v>186</v>
      </c>
      <c r="AF1" s="224" t="s">
        <v>187</v>
      </c>
      <c r="AG1" s="224" t="s">
        <v>671</v>
      </c>
      <c r="AH1" s="224" t="s">
        <v>189</v>
      </c>
      <c r="AI1" s="224" t="s">
        <v>190</v>
      </c>
      <c r="AJ1" s="224" t="s">
        <v>191</v>
      </c>
      <c r="AK1" s="224" t="s">
        <v>1040</v>
      </c>
      <c r="AL1" s="224" t="s">
        <v>1042</v>
      </c>
      <c r="AM1" s="224" t="s">
        <v>195</v>
      </c>
      <c r="AN1" s="224" t="s">
        <v>196</v>
      </c>
      <c r="AO1" s="224" t="s">
        <v>735</v>
      </c>
      <c r="AP1" s="224" t="s">
        <v>198</v>
      </c>
      <c r="AQ1" s="224" t="s">
        <v>199</v>
      </c>
      <c r="AR1" s="224" t="s">
        <v>770</v>
      </c>
      <c r="AS1" s="224" t="s">
        <v>202</v>
      </c>
      <c r="AT1" s="224" t="s">
        <v>203</v>
      </c>
      <c r="AU1" s="224" t="s">
        <v>204</v>
      </c>
      <c r="AV1" s="224" t="s">
        <v>205</v>
      </c>
      <c r="AW1" s="224" t="s">
        <v>206</v>
      </c>
      <c r="AX1" s="224" t="s">
        <v>207</v>
      </c>
      <c r="AY1" s="224" t="s">
        <v>208</v>
      </c>
      <c r="AZ1" s="224" t="s">
        <v>209</v>
      </c>
      <c r="BA1" s="224" t="s">
        <v>210</v>
      </c>
      <c r="BB1" s="224" t="s">
        <v>211</v>
      </c>
      <c r="BC1" s="224" t="s">
        <v>212</v>
      </c>
      <c r="BD1" s="224" t="s">
        <v>213</v>
      </c>
      <c r="BE1" s="224" t="s">
        <v>214</v>
      </c>
      <c r="BF1" s="224" t="s">
        <v>215</v>
      </c>
      <c r="BG1" s="224" t="s">
        <v>218</v>
      </c>
      <c r="BH1" s="224" t="s">
        <v>219</v>
      </c>
      <c r="BI1" s="224" t="s">
        <v>220</v>
      </c>
      <c r="BJ1" s="224" t="s">
        <v>221</v>
      </c>
      <c r="BK1" s="224" t="s">
        <v>235</v>
      </c>
      <c r="BL1" s="224" t="s">
        <v>225</v>
      </c>
      <c r="BM1" s="224" t="s">
        <v>227</v>
      </c>
      <c r="BN1" s="224" t="s">
        <v>228</v>
      </c>
      <c r="BO1" s="224" t="s">
        <v>229</v>
      </c>
      <c r="BP1" s="224" t="s">
        <v>230</v>
      </c>
      <c r="BQ1" s="224" t="s">
        <v>231</v>
      </c>
      <c r="BR1" s="224" t="s">
        <v>232</v>
      </c>
      <c r="BS1" s="224" t="s">
        <v>233</v>
      </c>
      <c r="BT1" s="224" t="s">
        <v>234</v>
      </c>
      <c r="BU1" s="224" t="s">
        <v>402</v>
      </c>
      <c r="BV1" s="224" t="s">
        <v>223</v>
      </c>
      <c r="BW1" s="224" t="s">
        <v>236</v>
      </c>
      <c r="BX1" s="224" t="s">
        <v>238</v>
      </c>
      <c r="BY1" s="224" t="s">
        <v>239</v>
      </c>
      <c r="BZ1" s="224" t="s">
        <v>240</v>
      </c>
      <c r="CA1" s="224" t="s">
        <v>241</v>
      </c>
      <c r="CB1" s="224" t="s">
        <v>242</v>
      </c>
      <c r="CC1" s="224" t="s">
        <v>243</v>
      </c>
      <c r="CD1" s="224" t="s">
        <v>244</v>
      </c>
      <c r="CE1" s="224" t="s">
        <v>245</v>
      </c>
      <c r="CF1" s="224" t="s">
        <v>418</v>
      </c>
      <c r="CG1" s="224" t="s">
        <v>246</v>
      </c>
      <c r="CH1" s="224" t="s">
        <v>1076</v>
      </c>
      <c r="CI1" s="224" t="s">
        <v>1077</v>
      </c>
      <c r="CJ1" s="224" t="s">
        <v>1078</v>
      </c>
      <c r="CK1" s="224" t="s">
        <v>1079</v>
      </c>
      <c r="CL1" s="224" t="s">
        <v>1080</v>
      </c>
      <c r="CM1" s="224" t="s">
        <v>1038</v>
      </c>
      <c r="CN1" s="224" t="s">
        <v>1039</v>
      </c>
      <c r="CO1" s="224" t="s">
        <v>1081</v>
      </c>
      <c r="CP1" s="224" t="s">
        <v>1044</v>
      </c>
      <c r="CQ1" s="224" t="s">
        <v>1045</v>
      </c>
      <c r="CR1" s="224" t="s">
        <v>1082</v>
      </c>
      <c r="CS1" s="224" t="s">
        <v>471</v>
      </c>
      <c r="CT1" s="224" t="s">
        <v>474</v>
      </c>
      <c r="CU1" s="224" t="s">
        <v>465</v>
      </c>
      <c r="CV1" s="224" t="s">
        <v>468</v>
      </c>
      <c r="CW1" s="224" t="s">
        <v>1056</v>
      </c>
      <c r="CX1" s="224" t="s">
        <v>1057</v>
      </c>
      <c r="CY1" s="224" t="s">
        <v>1058</v>
      </c>
      <c r="CZ1" s="224" t="s">
        <v>1059</v>
      </c>
      <c r="DA1" s="224" t="s">
        <v>1060</v>
      </c>
      <c r="DB1" s="224" t="s">
        <v>1061</v>
      </c>
      <c r="DC1" s="224" t="s">
        <v>1062</v>
      </c>
      <c r="DD1" s="224" t="s">
        <v>1063</v>
      </c>
      <c r="DE1" s="224" t="s">
        <v>1064</v>
      </c>
      <c r="DF1" s="224" t="s">
        <v>1065</v>
      </c>
      <c r="DG1" s="224" t="s">
        <v>1066</v>
      </c>
      <c r="DH1" s="224" t="s">
        <v>1067</v>
      </c>
      <c r="DI1" s="224" t="s">
        <v>1054</v>
      </c>
      <c r="DJ1" s="224" t="s">
        <v>1055</v>
      </c>
      <c r="DK1" s="224" t="s">
        <v>1068</v>
      </c>
      <c r="DL1" s="224" t="s">
        <v>1069</v>
      </c>
      <c r="DM1" s="224" t="s">
        <v>193</v>
      </c>
      <c r="DN1" s="224" t="s">
        <v>216</v>
      </c>
      <c r="DO1" s="224" t="s">
        <v>224</v>
      </c>
      <c r="DP1" s="224" t="s">
        <v>163</v>
      </c>
      <c r="DQ1" s="224" t="s">
        <v>1083</v>
      </c>
    </row>
    <row r="2" spans="1:121" x14ac:dyDescent="0.3">
      <c r="A2" s="223" t="s">
        <v>1084</v>
      </c>
      <c r="B2" s="223" t="s">
        <v>1085</v>
      </c>
      <c r="C2" s="223" t="s">
        <v>1086</v>
      </c>
      <c r="D2" s="223" t="s">
        <v>1087</v>
      </c>
      <c r="E2" s="223" t="s">
        <v>27</v>
      </c>
      <c r="F2" s="224">
        <v>0.18070499137158913</v>
      </c>
      <c r="G2" s="224">
        <v>3.8545370350134819E-2</v>
      </c>
      <c r="H2" s="224">
        <v>1.1044245593266059E-2</v>
      </c>
      <c r="I2" s="224">
        <v>2.5575731516118451E-3</v>
      </c>
      <c r="J2" s="224">
        <v>1.6866175843190407E-2</v>
      </c>
      <c r="K2" s="224">
        <v>7.7485853839187021E-3</v>
      </c>
      <c r="L2" s="224">
        <v>1.3784580616212485E-2</v>
      </c>
      <c r="M2" s="224">
        <v>5.3701524560222742E-3</v>
      </c>
      <c r="N2" s="224">
        <v>9.0766261946879836E-3</v>
      </c>
      <c r="O2" s="224">
        <v>8.077189354195248E-3</v>
      </c>
      <c r="P2" s="224">
        <v>1.1147840258848679E-2</v>
      </c>
      <c r="Q2" s="224">
        <v>9.1659988521721296E-3</v>
      </c>
      <c r="R2" s="224">
        <v>5.0187463427775574E-3</v>
      </c>
      <c r="S2" s="224">
        <v>1.8172975915001086E-2</v>
      </c>
      <c r="T2" s="224">
        <v>2.0208328957419773E-2</v>
      </c>
      <c r="U2" s="224">
        <v>1.4162416525388517E-3</v>
      </c>
      <c r="V2" s="224">
        <v>6.2974875827486749E-3</v>
      </c>
      <c r="W2" s="224">
        <v>1.5101842363898917E-2</v>
      </c>
      <c r="X2" s="224">
        <v>4.8955094775100967E-3</v>
      </c>
      <c r="Y2" s="224">
        <v>5.5258067905516123E-3</v>
      </c>
      <c r="Z2" s="224">
        <v>1.6964262331374696E-2</v>
      </c>
      <c r="AA2" s="224">
        <v>4.9082694202986718E-4</v>
      </c>
      <c r="AB2" s="224">
        <v>1.4854269844233334E-3</v>
      </c>
      <c r="AC2" s="224">
        <v>8.2148538238248289E-3</v>
      </c>
      <c r="AD2" s="224">
        <v>6.8367358154845662E-3</v>
      </c>
      <c r="AE2" s="224">
        <v>7.4346869510202567E-3</v>
      </c>
      <c r="AF2" s="224">
        <v>4.0245088113188355E-3</v>
      </c>
      <c r="AG2" s="224">
        <v>8.020635375755928E-3</v>
      </c>
      <c r="AH2" s="224">
        <v>6.0548713337272098E-3</v>
      </c>
      <c r="AI2" s="224">
        <v>6.9571587813238092E-3</v>
      </c>
      <c r="AJ2" s="224">
        <v>2.9753141960076793E-2</v>
      </c>
      <c r="AK2" s="224">
        <v>6.7347106820112171E-3</v>
      </c>
      <c r="AL2" s="224">
        <v>5.6622447962761564E-3</v>
      </c>
      <c r="AM2" s="224">
        <v>2.381051327719035E-3</v>
      </c>
      <c r="AN2" s="224">
        <v>9.6677709929569311E-3</v>
      </c>
      <c r="AO2" s="224">
        <v>1.6103893014561482E-2</v>
      </c>
      <c r="AP2" s="224">
        <v>4.0509857567918436E-3</v>
      </c>
      <c r="AQ2" s="224">
        <v>4.8725232064352007E-3</v>
      </c>
      <c r="AR2" s="224">
        <v>1.4324641055193646E-2</v>
      </c>
      <c r="AS2" s="224">
        <v>1.6334066234005049E-2</v>
      </c>
      <c r="AT2" s="224">
        <v>6.6889653938544697E-3</v>
      </c>
      <c r="AU2" s="224">
        <v>1.7196713519483803E-3</v>
      </c>
      <c r="AV2" s="224">
        <v>8.3564616331382995E-3</v>
      </c>
      <c r="AW2" s="224">
        <v>8.3367520871820214E-3</v>
      </c>
      <c r="AX2" s="224">
        <v>6.2453813629687804E-3</v>
      </c>
      <c r="AY2" s="224">
        <v>1.0616936125318084E-2</v>
      </c>
      <c r="AZ2" s="224">
        <v>6.0624593280043442E-3</v>
      </c>
      <c r="BA2" s="224">
        <v>1.8275884913976749E-3</v>
      </c>
      <c r="BB2" s="224">
        <v>1.7755410417688601E-3</v>
      </c>
      <c r="BC2" s="224">
        <v>1.2210173839557765E-2</v>
      </c>
      <c r="BD2" s="224">
        <v>2.567044896275663E-2</v>
      </c>
      <c r="BE2" s="224">
        <v>2.2770408404724114E-2</v>
      </c>
      <c r="BF2" s="224">
        <v>7.5508653489911514E-3</v>
      </c>
      <c r="BG2" s="224">
        <v>2.1549176360370202E-2</v>
      </c>
      <c r="BH2" s="224">
        <v>2.1366770772178828E-2</v>
      </c>
      <c r="BI2" s="224">
        <v>6.327986705156643E-3</v>
      </c>
      <c r="BJ2" s="224">
        <v>7.1777058968543091E-3</v>
      </c>
      <c r="BK2" s="224">
        <v>3.7698883004473583E-3</v>
      </c>
      <c r="BL2" s="224">
        <v>1.1765272459488128E-2</v>
      </c>
      <c r="BM2" s="224">
        <v>1.6470721032350755E-2</v>
      </c>
      <c r="BN2" s="224">
        <v>1.4335627558739896E-2</v>
      </c>
      <c r="BO2" s="224">
        <v>1.8845143693873006E-2</v>
      </c>
      <c r="BP2" s="224">
        <v>1.3347824681534773E-2</v>
      </c>
      <c r="BQ2" s="224">
        <v>9.370136474459544E-3</v>
      </c>
      <c r="BR2" s="224">
        <v>1.0120431046136762E-2</v>
      </c>
      <c r="BS2" s="224">
        <v>1.1362844217967757E-2</v>
      </c>
      <c r="BT2" s="224">
        <v>2.7881095539051919E-4</v>
      </c>
      <c r="BU2" s="224">
        <v>1.8937540072456117E-2</v>
      </c>
      <c r="BV2" s="224">
        <v>3.9001187015044133E-3</v>
      </c>
      <c r="BW2" s="224">
        <v>5.8786740746122473E-3</v>
      </c>
      <c r="BX2" s="224">
        <v>1.6291733869643027E-2</v>
      </c>
      <c r="BY2" s="224">
        <v>1.2284845322857327E-2</v>
      </c>
      <c r="BZ2" s="224">
        <v>1.5598440052827064E-2</v>
      </c>
      <c r="CA2" s="224">
        <v>1.2942078134941628E-2</v>
      </c>
      <c r="CB2" s="224">
        <v>1.015664450752338E-2</v>
      </c>
      <c r="CC2" s="224">
        <v>1.1046156070173726E-2</v>
      </c>
      <c r="CD2" s="224">
        <v>1.1283565059967101E-2</v>
      </c>
      <c r="CE2" s="224">
        <v>9.5065506075280002E-5</v>
      </c>
      <c r="CF2" s="224">
        <v>2.5756125991729256E-2</v>
      </c>
      <c r="CG2" s="224">
        <v>2.8137544245233448E-3</v>
      </c>
      <c r="CH2" s="224">
        <v>0</v>
      </c>
      <c r="CI2" s="224">
        <v>0</v>
      </c>
      <c r="CJ2" s="224">
        <v>0</v>
      </c>
      <c r="CK2" s="224">
        <v>0</v>
      </c>
      <c r="CL2" s="224">
        <v>0</v>
      </c>
      <c r="CM2" s="224">
        <v>0</v>
      </c>
      <c r="CN2" s="224">
        <v>0</v>
      </c>
      <c r="CO2" s="224">
        <v>0</v>
      </c>
      <c r="CP2" s="224">
        <v>0</v>
      </c>
      <c r="CQ2" s="224">
        <v>0</v>
      </c>
      <c r="CR2" s="224">
        <v>0</v>
      </c>
      <c r="CS2" s="224">
        <v>0</v>
      </c>
      <c r="CT2" s="224">
        <v>0</v>
      </c>
      <c r="CU2" s="224">
        <v>0</v>
      </c>
      <c r="CV2" s="224">
        <v>0</v>
      </c>
      <c r="CW2" s="224">
        <v>0</v>
      </c>
      <c r="CX2" s="224">
        <v>0</v>
      </c>
      <c r="CY2" s="224">
        <v>0</v>
      </c>
      <c r="CZ2" s="224">
        <v>0</v>
      </c>
      <c r="DA2" s="224">
        <v>0</v>
      </c>
      <c r="DB2" s="224">
        <v>0</v>
      </c>
      <c r="DC2" s="224">
        <v>0</v>
      </c>
      <c r="DD2" s="224">
        <v>0</v>
      </c>
      <c r="DE2" s="224">
        <v>0</v>
      </c>
      <c r="DF2" s="224">
        <v>0</v>
      </c>
      <c r="DG2" s="224">
        <v>0</v>
      </c>
      <c r="DH2" s="224">
        <v>0</v>
      </c>
      <c r="DI2" s="224">
        <v>0</v>
      </c>
      <c r="DJ2" s="224">
        <v>0</v>
      </c>
      <c r="DK2" s="224">
        <v>0</v>
      </c>
      <c r="DL2" s="224">
        <v>0</v>
      </c>
      <c r="DM2" s="224">
        <v>0</v>
      </c>
      <c r="DN2" s="224">
        <v>0</v>
      </c>
      <c r="DO2" s="224">
        <v>0</v>
      </c>
      <c r="DP2" s="224">
        <v>0</v>
      </c>
      <c r="DQ2" s="224">
        <f>SUM(F2:DP2)</f>
        <v>0.99999999999999967</v>
      </c>
    </row>
    <row r="3" spans="1:121" x14ac:dyDescent="0.3">
      <c r="A3" s="223" t="s">
        <v>1088</v>
      </c>
      <c r="B3" s="223" t="s">
        <v>1085</v>
      </c>
      <c r="C3" s="223" t="s">
        <v>1089</v>
      </c>
      <c r="D3" s="223" t="s">
        <v>21</v>
      </c>
      <c r="E3" s="223" t="s">
        <v>1090</v>
      </c>
      <c r="F3" s="224">
        <v>6.3741870771847385E-3</v>
      </c>
      <c r="G3" s="224">
        <v>6.4950415060872624E-2</v>
      </c>
      <c r="H3" s="224">
        <v>3.5046786659007186E-2</v>
      </c>
      <c r="I3" s="224">
        <v>5.734672899156937E-3</v>
      </c>
      <c r="J3" s="224">
        <v>1.2033600331401766E-2</v>
      </c>
      <c r="K3" s="224">
        <v>2.3931897962321116E-2</v>
      </c>
      <c r="L3" s="224">
        <v>3.5176743028856698E-2</v>
      </c>
      <c r="M3" s="224">
        <v>2.3498504305317631E-3</v>
      </c>
      <c r="N3" s="224">
        <v>1.0825685820767465E-3</v>
      </c>
      <c r="O3" s="224">
        <v>6.4421087823673638E-3</v>
      </c>
      <c r="P3" s="224">
        <v>2.2828909145512593E-2</v>
      </c>
      <c r="Q3" s="224">
        <v>1.7815825001390923E-2</v>
      </c>
      <c r="R3" s="224">
        <v>6.1813863628965458E-3</v>
      </c>
      <c r="S3" s="224">
        <v>5.1852499331968879E-2</v>
      </c>
      <c r="T3" s="224">
        <v>5.0656285468841385E-2</v>
      </c>
      <c r="U3" s="224">
        <v>6.9118451746680873E-4</v>
      </c>
      <c r="V3" s="224">
        <v>1.5971363328553506E-2</v>
      </c>
      <c r="W3" s="224">
        <v>3.3940827779060462E-2</v>
      </c>
      <c r="X3" s="224">
        <v>1.6157994676420206E-2</v>
      </c>
      <c r="Y3" s="224">
        <v>5.113570470388548E-3</v>
      </c>
      <c r="Z3" s="224">
        <v>1.5336651180312489E-3</v>
      </c>
      <c r="AA3" s="224">
        <v>2.5583750854374224E-4</v>
      </c>
      <c r="AB3" s="224">
        <v>1.5587249629802822E-4</v>
      </c>
      <c r="AC3" s="224">
        <v>6.9975508571999798E-4</v>
      </c>
      <c r="AD3" s="224">
        <v>6.5895233543583421E-3</v>
      </c>
      <c r="AE3" s="224">
        <v>1.9371561368814422E-2</v>
      </c>
      <c r="AF3" s="224">
        <v>1.0477519572775708E-2</v>
      </c>
      <c r="AG3" s="224">
        <v>2.7947720774558996E-2</v>
      </c>
      <c r="AH3" s="224">
        <v>1.4093977629725996E-2</v>
      </c>
      <c r="AI3" s="224">
        <v>1.658121258912737E-2</v>
      </c>
      <c r="AJ3" s="224">
        <v>3.5269216249550372E-2</v>
      </c>
      <c r="AK3" s="224">
        <v>8.7175624236809392E-3</v>
      </c>
      <c r="AL3" s="224">
        <v>7.8035062562322637E-3</v>
      </c>
      <c r="AM3" s="224">
        <v>2.1060484082801563E-3</v>
      </c>
      <c r="AN3" s="224">
        <v>1.3750164999281013E-2</v>
      </c>
      <c r="AO3" s="224">
        <v>2.3106985938583582E-2</v>
      </c>
      <c r="AP3" s="224">
        <v>7.0903111496499463E-3</v>
      </c>
      <c r="AQ3" s="224">
        <v>1.2484656356752008E-2</v>
      </c>
      <c r="AR3" s="224">
        <v>3.7118638247254039E-2</v>
      </c>
      <c r="AS3" s="224">
        <v>4.6351586470800128E-2</v>
      </c>
      <c r="AT3" s="224">
        <v>1.860847997828383E-2</v>
      </c>
      <c r="AU3" s="224">
        <v>4.9945244345851831E-3</v>
      </c>
      <c r="AV3" s="224">
        <v>2.4744945403940528E-2</v>
      </c>
      <c r="AW3" s="224">
        <v>2.6940600647053056E-2</v>
      </c>
      <c r="AX3" s="224">
        <v>1.7242833253107714E-2</v>
      </c>
      <c r="AY3" s="224">
        <v>3.0754497830732894E-2</v>
      </c>
      <c r="AZ3" s="224">
        <v>1.1940364023631692E-2</v>
      </c>
      <c r="BA3" s="224">
        <v>2.3693704092277762E-3</v>
      </c>
      <c r="BB3" s="224">
        <v>3.9901524381249333E-3</v>
      </c>
      <c r="BC3" s="224">
        <v>3.6819322522746459E-2</v>
      </c>
      <c r="BD3" s="224">
        <v>8.1074826298466435E-2</v>
      </c>
      <c r="BE3" s="224">
        <v>6.3828059302566511E-4</v>
      </c>
      <c r="BF3" s="224">
        <v>2.3154647165126194E-2</v>
      </c>
      <c r="BG3" s="224">
        <v>4.2111173498034812E-4</v>
      </c>
      <c r="BH3" s="224">
        <v>2.3541631652209314E-3</v>
      </c>
      <c r="BI3" s="224">
        <v>0</v>
      </c>
      <c r="BJ3" s="224">
        <v>1.8716077110237693E-4</v>
      </c>
      <c r="BK3" s="224">
        <v>0</v>
      </c>
      <c r="BL3" s="224">
        <v>3.174026818606053E-4</v>
      </c>
      <c r="BM3" s="224">
        <v>3.5941992994094227E-4</v>
      </c>
      <c r="BN3" s="224">
        <v>1.7899494339284917E-4</v>
      </c>
      <c r="BO3" s="224">
        <v>1.7961760677464179E-3</v>
      </c>
      <c r="BP3" s="224">
        <v>5.8215356385220231E-4</v>
      </c>
      <c r="BQ3" s="224">
        <v>4.9639762525345446E-4</v>
      </c>
      <c r="BR3" s="224">
        <v>1.7899494339284917E-4</v>
      </c>
      <c r="BS3" s="224">
        <v>0</v>
      </c>
      <c r="BT3" s="224">
        <v>0</v>
      </c>
      <c r="BU3" s="224">
        <v>0</v>
      </c>
      <c r="BV3" s="224">
        <v>1.2605174424101093E-4</v>
      </c>
      <c r="BW3" s="224">
        <v>0</v>
      </c>
      <c r="BX3" s="224">
        <v>0</v>
      </c>
      <c r="BY3" s="224">
        <v>1.7899494339284917E-4</v>
      </c>
      <c r="BZ3" s="224">
        <v>6.8664480523304087E-4</v>
      </c>
      <c r="CA3" s="224">
        <v>9.5338539591867779E-4</v>
      </c>
      <c r="CB3" s="224">
        <v>9.5338539591867779E-4</v>
      </c>
      <c r="CC3" s="224">
        <v>1.7899494339284917E-4</v>
      </c>
      <c r="CD3" s="224">
        <v>0</v>
      </c>
      <c r="CE3" s="224">
        <v>0</v>
      </c>
      <c r="CF3" s="224">
        <v>9.3972345281245794E-4</v>
      </c>
      <c r="CG3" s="224">
        <v>0</v>
      </c>
      <c r="CH3" s="224">
        <v>0</v>
      </c>
      <c r="CI3" s="224">
        <v>0</v>
      </c>
      <c r="CJ3" s="224">
        <v>0</v>
      </c>
      <c r="CK3" s="224">
        <v>0</v>
      </c>
      <c r="CL3" s="224">
        <v>0</v>
      </c>
      <c r="CM3" s="224">
        <v>0</v>
      </c>
      <c r="CN3" s="224">
        <v>0</v>
      </c>
      <c r="CO3" s="224">
        <v>0</v>
      </c>
      <c r="CP3" s="224">
        <v>0</v>
      </c>
      <c r="CQ3" s="224">
        <v>0</v>
      </c>
      <c r="CR3" s="224">
        <v>0</v>
      </c>
      <c r="CS3" s="224">
        <v>0</v>
      </c>
      <c r="CT3" s="224">
        <v>0</v>
      </c>
      <c r="CU3" s="224">
        <v>0</v>
      </c>
      <c r="CV3" s="224">
        <v>0</v>
      </c>
      <c r="CW3" s="224">
        <v>0</v>
      </c>
      <c r="CX3" s="224">
        <v>0</v>
      </c>
      <c r="CY3" s="224">
        <v>0</v>
      </c>
      <c r="CZ3" s="224">
        <v>0</v>
      </c>
      <c r="DA3" s="224">
        <v>0</v>
      </c>
      <c r="DB3" s="224">
        <v>0</v>
      </c>
      <c r="DC3" s="224">
        <v>0</v>
      </c>
      <c r="DD3" s="224">
        <v>0</v>
      </c>
      <c r="DE3" s="224">
        <v>0</v>
      </c>
      <c r="DF3" s="224">
        <v>0</v>
      </c>
      <c r="DG3" s="224">
        <v>0</v>
      </c>
      <c r="DH3" s="224">
        <v>0</v>
      </c>
      <c r="DI3" s="224">
        <v>0</v>
      </c>
      <c r="DJ3" s="224">
        <v>0</v>
      </c>
      <c r="DK3" s="224">
        <v>0</v>
      </c>
      <c r="DL3" s="224">
        <v>0</v>
      </c>
      <c r="DM3" s="224">
        <v>0</v>
      </c>
      <c r="DN3" s="224">
        <v>0</v>
      </c>
      <c r="DO3" s="224">
        <v>0</v>
      </c>
      <c r="DP3" s="224">
        <v>0</v>
      </c>
      <c r="DQ3" s="224">
        <f t="shared" ref="DQ3:DQ66" si="0">SUM(F3:DP3)</f>
        <v>1.0000000000000002</v>
      </c>
    </row>
    <row r="4" spans="1:121" x14ac:dyDescent="0.3">
      <c r="A4" s="223" t="s">
        <v>1091</v>
      </c>
      <c r="B4" s="223" t="s">
        <v>1085</v>
      </c>
      <c r="C4" s="223" t="s">
        <v>1092</v>
      </c>
      <c r="D4" s="223" t="s">
        <v>1087</v>
      </c>
      <c r="E4" s="223" t="s">
        <v>1093</v>
      </c>
      <c r="F4" s="224">
        <v>0.28155933936934374</v>
      </c>
      <c r="G4" s="224">
        <v>3.3378877808899907E-2</v>
      </c>
      <c r="H4" s="224">
        <v>6.1151186429346848E-3</v>
      </c>
      <c r="I4" s="224">
        <v>2.1281437951053061E-3</v>
      </c>
      <c r="J4" s="224">
        <v>3.5998850101245259E-3</v>
      </c>
      <c r="K4" s="224">
        <v>5.6547997109156669E-3</v>
      </c>
      <c r="L4" s="224">
        <v>1.2431439782917714E-2</v>
      </c>
      <c r="M4" s="224">
        <v>4.1633721975860129E-3</v>
      </c>
      <c r="N4" s="224">
        <v>8.1019790916343811E-3</v>
      </c>
      <c r="O4" s="224">
        <v>8.6792902485817395E-3</v>
      </c>
      <c r="P4" s="224">
        <v>6.2767294446049865E-3</v>
      </c>
      <c r="Q4" s="224">
        <v>5.0497613168775284E-3</v>
      </c>
      <c r="R4" s="224">
        <v>3.1180106154390769E-3</v>
      </c>
      <c r="S4" s="224">
        <v>9.8668981352284368E-3</v>
      </c>
      <c r="T4" s="224">
        <v>1.145843518529909E-2</v>
      </c>
      <c r="U4" s="224">
        <v>8.2023215584127729E-3</v>
      </c>
      <c r="V4" s="224">
        <v>6.6076082440221324E-3</v>
      </c>
      <c r="W4" s="224">
        <v>9.9974763873898406E-3</v>
      </c>
      <c r="X4" s="224">
        <v>2.6912931909849652E-3</v>
      </c>
      <c r="Y4" s="224">
        <v>5.6822153382297628E-3</v>
      </c>
      <c r="Z4" s="224">
        <v>1.6855810102499705E-2</v>
      </c>
      <c r="AA4" s="224">
        <v>2.2188146580906787E-3</v>
      </c>
      <c r="AB4" s="224">
        <v>2.5153539207087828E-3</v>
      </c>
      <c r="AC4" s="224">
        <v>9.3291975741358491E-3</v>
      </c>
      <c r="AD4" s="224">
        <v>5.5199112008074355E-3</v>
      </c>
      <c r="AE4" s="224">
        <v>5.3545229818652944E-3</v>
      </c>
      <c r="AF4" s="224">
        <v>2.6627732624753416E-3</v>
      </c>
      <c r="AG4" s="224">
        <v>7.9231355618556466E-3</v>
      </c>
      <c r="AH4" s="224">
        <v>8.307471737003292E-3</v>
      </c>
      <c r="AI4" s="224">
        <v>7.7396931142483224E-3</v>
      </c>
      <c r="AJ4" s="224">
        <v>1.1682782185796405E-2</v>
      </c>
      <c r="AK4" s="224">
        <v>6.4409948640966243E-3</v>
      </c>
      <c r="AL4" s="224">
        <v>5.3806166932847798E-3</v>
      </c>
      <c r="AM4" s="224">
        <v>2.268816387549011E-3</v>
      </c>
      <c r="AN4" s="224">
        <v>7.6018978355360967E-3</v>
      </c>
      <c r="AO4" s="224">
        <v>7.4409657994065348E-3</v>
      </c>
      <c r="AP4" s="224">
        <v>3.414156035045851E-3</v>
      </c>
      <c r="AQ4" s="224">
        <v>2.66344164777218E-3</v>
      </c>
      <c r="AR4" s="224">
        <v>1.5438310981872811E-2</v>
      </c>
      <c r="AS4" s="224">
        <v>1.2536520070843934E-2</v>
      </c>
      <c r="AT4" s="224">
        <v>4.7486982071631998E-3</v>
      </c>
      <c r="AU4" s="224">
        <v>2.0277894715107427E-3</v>
      </c>
      <c r="AV4" s="224">
        <v>6.6305121494490736E-3</v>
      </c>
      <c r="AW4" s="224">
        <v>6.8111516646623665E-3</v>
      </c>
      <c r="AX4" s="224">
        <v>4.4179897727599504E-3</v>
      </c>
      <c r="AY4" s="224">
        <v>6.1629397148037449E-3</v>
      </c>
      <c r="AZ4" s="224">
        <v>5.5246526708172773E-3</v>
      </c>
      <c r="BA4" s="224">
        <v>8.4736232796379495E-4</v>
      </c>
      <c r="BB4" s="224">
        <v>2.1727189118110985E-3</v>
      </c>
      <c r="BC4" s="224">
        <v>1.1438278576729844E-2</v>
      </c>
      <c r="BD4" s="224">
        <v>1.7115614410991135E-2</v>
      </c>
      <c r="BE4" s="224">
        <v>2.2098343123688309E-2</v>
      </c>
      <c r="BF4" s="224">
        <v>4.1467847370227793E-3</v>
      </c>
      <c r="BG4" s="224">
        <v>1.9451767735001325E-2</v>
      </c>
      <c r="BH4" s="224">
        <v>3.3370313958841408E-2</v>
      </c>
      <c r="BI4" s="224">
        <v>4.6664669243786901E-3</v>
      </c>
      <c r="BJ4" s="224">
        <v>5.4222385113119193E-3</v>
      </c>
      <c r="BK4" s="224">
        <v>1.0040803381892921E-2</v>
      </c>
      <c r="BL4" s="224">
        <v>7.6570415727324759E-3</v>
      </c>
      <c r="BM4" s="224">
        <v>1.0180181524836955E-2</v>
      </c>
      <c r="BN4" s="224">
        <v>9.4712875107748427E-3</v>
      </c>
      <c r="BO4" s="224">
        <v>1.3786218016049174E-2</v>
      </c>
      <c r="BP4" s="224">
        <v>1.0610997902709076E-2</v>
      </c>
      <c r="BQ4" s="224">
        <v>6.9379417834309577E-3</v>
      </c>
      <c r="BR4" s="224">
        <v>7.2406454241895762E-3</v>
      </c>
      <c r="BS4" s="224">
        <v>1.0191745800046056E-2</v>
      </c>
      <c r="BT4" s="224">
        <v>1.9557173746903116E-2</v>
      </c>
      <c r="BU4" s="224">
        <v>1.8947119098482779E-2</v>
      </c>
      <c r="BV4" s="224">
        <v>7.734436845875073E-3</v>
      </c>
      <c r="BW4" s="224">
        <v>5.9918479691197027E-3</v>
      </c>
      <c r="BX4" s="224">
        <v>1.1397973425685447E-2</v>
      </c>
      <c r="BY4" s="224">
        <v>1.2477032344397811E-2</v>
      </c>
      <c r="BZ4" s="224">
        <v>1.3086730942789098E-2</v>
      </c>
      <c r="CA4" s="224">
        <v>1.121578477784366E-2</v>
      </c>
      <c r="CB4" s="224">
        <v>6.5659829234721908E-3</v>
      </c>
      <c r="CC4" s="224">
        <v>7.9164065634751337E-3</v>
      </c>
      <c r="CD4" s="224">
        <v>9.945230387779164E-3</v>
      </c>
      <c r="CE4" s="224">
        <v>2.3675292371174429E-2</v>
      </c>
      <c r="CF4" s="224">
        <v>2.3939709556963083E-2</v>
      </c>
      <c r="CG4" s="224">
        <v>6.3206115710437256E-3</v>
      </c>
      <c r="CH4" s="224">
        <v>0</v>
      </c>
      <c r="CI4" s="224">
        <v>0</v>
      </c>
      <c r="CJ4" s="224">
        <v>0</v>
      </c>
      <c r="CK4" s="224">
        <v>0</v>
      </c>
      <c r="CL4" s="224">
        <v>0</v>
      </c>
      <c r="CM4" s="224">
        <v>0</v>
      </c>
      <c r="CN4" s="224">
        <v>0</v>
      </c>
      <c r="CO4" s="224">
        <v>0</v>
      </c>
      <c r="CP4" s="224">
        <v>0</v>
      </c>
      <c r="CQ4" s="224">
        <v>0</v>
      </c>
      <c r="CR4" s="224">
        <v>0</v>
      </c>
      <c r="CS4" s="224">
        <v>0</v>
      </c>
      <c r="CT4" s="224">
        <v>0</v>
      </c>
      <c r="CU4" s="224">
        <v>0</v>
      </c>
      <c r="CV4" s="224">
        <v>0</v>
      </c>
      <c r="CW4" s="224">
        <v>0</v>
      </c>
      <c r="CX4" s="224">
        <v>0</v>
      </c>
      <c r="CY4" s="224">
        <v>0</v>
      </c>
      <c r="CZ4" s="224">
        <v>0</v>
      </c>
      <c r="DA4" s="224">
        <v>0</v>
      </c>
      <c r="DB4" s="224">
        <v>0</v>
      </c>
      <c r="DC4" s="224">
        <v>0</v>
      </c>
      <c r="DD4" s="224">
        <v>0</v>
      </c>
      <c r="DE4" s="224">
        <v>0</v>
      </c>
      <c r="DF4" s="224">
        <v>0</v>
      </c>
      <c r="DG4" s="224">
        <v>0</v>
      </c>
      <c r="DH4" s="224">
        <v>0</v>
      </c>
      <c r="DI4" s="224">
        <v>0</v>
      </c>
      <c r="DJ4" s="224">
        <v>0</v>
      </c>
      <c r="DK4" s="224">
        <v>0</v>
      </c>
      <c r="DL4" s="224">
        <v>0</v>
      </c>
      <c r="DM4" s="224">
        <v>0</v>
      </c>
      <c r="DN4" s="224">
        <v>0</v>
      </c>
      <c r="DO4" s="224">
        <v>0</v>
      </c>
      <c r="DP4" s="224">
        <v>0</v>
      </c>
      <c r="DQ4" s="224">
        <f t="shared" si="0"/>
        <v>1.0000000000000002</v>
      </c>
    </row>
    <row r="5" spans="1:121" x14ac:dyDescent="0.3">
      <c r="A5" s="223" t="s">
        <v>1094</v>
      </c>
      <c r="B5" s="223" t="s">
        <v>1085</v>
      </c>
      <c r="C5" s="223" t="s">
        <v>1095</v>
      </c>
      <c r="D5" s="223" t="s">
        <v>21</v>
      </c>
      <c r="E5" s="223" t="s">
        <v>1096</v>
      </c>
      <c r="F5" s="224">
        <v>4.9186991869918699E-2</v>
      </c>
      <c r="G5" s="224">
        <v>5.1035147136633652E-2</v>
      </c>
      <c r="H5" s="224">
        <v>2.3774328933397527E-2</v>
      </c>
      <c r="I5" s="224">
        <v>6.5816114111682074E-3</v>
      </c>
      <c r="J5" s="224">
        <v>6.5040650406504065E-3</v>
      </c>
      <c r="K5" s="224">
        <v>1.6576097754795169E-2</v>
      </c>
      <c r="L5" s="224">
        <v>2.6648130468939931E-2</v>
      </c>
      <c r="M5" s="224">
        <v>6.5040650406504065E-3</v>
      </c>
      <c r="N5" s="224">
        <v>0</v>
      </c>
      <c r="O5" s="224">
        <v>5.1519835136527563E-3</v>
      </c>
      <c r="P5" s="224">
        <v>1.9289056878204022E-2</v>
      </c>
      <c r="Q5" s="224">
        <v>1.7140569396420394E-2</v>
      </c>
      <c r="R5" s="224">
        <v>1.2364760432766615E-2</v>
      </c>
      <c r="S5" s="224">
        <v>3.6011451304621238E-2</v>
      </c>
      <c r="T5" s="224">
        <v>5.2871165496817252E-2</v>
      </c>
      <c r="U5" s="224">
        <v>0</v>
      </c>
      <c r="V5" s="224">
        <v>1.2861015008913615E-2</v>
      </c>
      <c r="W5" s="224">
        <v>3.9412122096491441E-2</v>
      </c>
      <c r="X5" s="224">
        <v>1.023287512627831E-2</v>
      </c>
      <c r="Y5" s="224">
        <v>0</v>
      </c>
      <c r="Z5" s="224">
        <v>0</v>
      </c>
      <c r="AA5" s="224">
        <v>0</v>
      </c>
      <c r="AB5" s="224">
        <v>0</v>
      </c>
      <c r="AC5" s="224">
        <v>1.968019680196802E-2</v>
      </c>
      <c r="AD5" s="224">
        <v>2.5759917568263782E-3</v>
      </c>
      <c r="AE5" s="224">
        <v>1.2293668531739412E-2</v>
      </c>
      <c r="AF5" s="224">
        <v>1.8875279942907618E-2</v>
      </c>
      <c r="AG5" s="224">
        <v>2.2919320383312024E-2</v>
      </c>
      <c r="AH5" s="224">
        <v>1.1263271829008862E-2</v>
      </c>
      <c r="AI5" s="224">
        <v>1.8244114434961971E-2</v>
      </c>
      <c r="AJ5" s="224">
        <v>4.0601428811815166E-2</v>
      </c>
      <c r="AK5" s="224">
        <v>5.1519835136527563E-3</v>
      </c>
      <c r="AL5" s="224">
        <v>6.5816114111682074E-3</v>
      </c>
      <c r="AM5" s="224">
        <v>0</v>
      </c>
      <c r="AN5" s="224">
        <v>1.217124690566844E-2</v>
      </c>
      <c r="AO5" s="224">
        <v>3.3554301539924204E-2</v>
      </c>
      <c r="AP5" s="224">
        <v>4.5208180057071052E-3</v>
      </c>
      <c r="AQ5" s="224">
        <v>6.7424538233017564E-3</v>
      </c>
      <c r="AR5" s="224">
        <v>3.318087779023076E-2</v>
      </c>
      <c r="AS5" s="224">
        <v>4.999782996284368E-2</v>
      </c>
      <c r="AT5" s="224">
        <v>1.6481130808216893E-2</v>
      </c>
      <c r="AU5" s="224">
        <v>4.2824292230557543E-3</v>
      </c>
      <c r="AV5" s="224">
        <v>2.1454146535282975E-2</v>
      </c>
      <c r="AW5" s="224">
        <v>2.3396097948614723E-2</v>
      </c>
      <c r="AX5" s="224">
        <v>9.2024784235477594E-3</v>
      </c>
      <c r="AY5" s="224">
        <v>2.0465750252556619E-2</v>
      </c>
      <c r="AZ5" s="224">
        <v>1.023287512627831E-2</v>
      </c>
      <c r="BA5" s="224">
        <v>0</v>
      </c>
      <c r="BB5" s="224">
        <v>5.5512147084376554E-3</v>
      </c>
      <c r="BC5" s="224">
        <v>1.5149697092025016E-2</v>
      </c>
      <c r="BD5" s="224">
        <v>5.6780227771365814E-2</v>
      </c>
      <c r="BE5" s="224">
        <v>0</v>
      </c>
      <c r="BF5" s="224">
        <v>1.7213717732231418E-2</v>
      </c>
      <c r="BG5" s="224">
        <v>0</v>
      </c>
      <c r="BH5" s="224">
        <v>0</v>
      </c>
      <c r="BI5" s="224">
        <v>0</v>
      </c>
      <c r="BJ5" s="224">
        <v>0</v>
      </c>
      <c r="BK5" s="224">
        <v>5.1519835136527566E-4</v>
      </c>
      <c r="BL5" s="224">
        <v>3.4904213029765536E-3</v>
      </c>
      <c r="BM5" s="224">
        <v>6.0664130598029314E-3</v>
      </c>
      <c r="BN5" s="224">
        <v>6.5816114111682074E-3</v>
      </c>
      <c r="BO5" s="224">
        <v>7.6120081138987584E-3</v>
      </c>
      <c r="BP5" s="224">
        <v>6.5816114111682074E-3</v>
      </c>
      <c r="BQ5" s="224">
        <v>6.5816114111682074E-3</v>
      </c>
      <c r="BR5" s="224">
        <v>6.5816114111682074E-3</v>
      </c>
      <c r="BS5" s="224">
        <v>6.5816114111682074E-3</v>
      </c>
      <c r="BT5" s="224">
        <v>0</v>
      </c>
      <c r="BU5" s="224">
        <v>5.1519835136527563E-3</v>
      </c>
      <c r="BV5" s="224">
        <v>2.9752229516112776E-3</v>
      </c>
      <c r="BW5" s="224">
        <v>3.4904213029765536E-3</v>
      </c>
      <c r="BX5" s="224">
        <v>5.0360163570723811E-3</v>
      </c>
      <c r="BY5" s="224">
        <v>6.5816114111682074E-3</v>
      </c>
      <c r="BZ5" s="224">
        <v>6.5816114111682074E-3</v>
      </c>
      <c r="CA5" s="224">
        <v>6.5816114111682074E-3</v>
      </c>
      <c r="CB5" s="224">
        <v>6.5816114111682074E-3</v>
      </c>
      <c r="CC5" s="224">
        <v>2.0607934054611026E-3</v>
      </c>
      <c r="CD5" s="224">
        <v>6.5816114111682074E-3</v>
      </c>
      <c r="CE5" s="224">
        <v>0</v>
      </c>
      <c r="CF5" s="224">
        <v>4.1215868109222053E-3</v>
      </c>
      <c r="CG5" s="224">
        <v>2.954222741609178E-3</v>
      </c>
      <c r="CH5" s="224">
        <v>0</v>
      </c>
      <c r="CI5" s="224">
        <v>0</v>
      </c>
      <c r="CJ5" s="224">
        <v>0</v>
      </c>
      <c r="CK5" s="224">
        <v>0</v>
      </c>
      <c r="CL5" s="224">
        <v>0</v>
      </c>
      <c r="CM5" s="224">
        <v>0</v>
      </c>
      <c r="CN5" s="224">
        <v>0</v>
      </c>
      <c r="CO5" s="224">
        <v>0</v>
      </c>
      <c r="CP5" s="224">
        <v>0</v>
      </c>
      <c r="CQ5" s="224">
        <v>0</v>
      </c>
      <c r="CR5" s="224">
        <v>0</v>
      </c>
      <c r="CS5" s="224">
        <v>0</v>
      </c>
      <c r="CT5" s="224">
        <v>0</v>
      </c>
      <c r="CU5" s="224">
        <v>0</v>
      </c>
      <c r="CV5" s="224">
        <v>0</v>
      </c>
      <c r="CW5" s="224">
        <v>0</v>
      </c>
      <c r="CX5" s="224">
        <v>0</v>
      </c>
      <c r="CY5" s="224">
        <v>0</v>
      </c>
      <c r="CZ5" s="224">
        <v>0</v>
      </c>
      <c r="DA5" s="224">
        <v>0</v>
      </c>
      <c r="DB5" s="224">
        <v>0</v>
      </c>
      <c r="DC5" s="224">
        <v>0</v>
      </c>
      <c r="DD5" s="224">
        <v>0</v>
      </c>
      <c r="DE5" s="224">
        <v>0</v>
      </c>
      <c r="DF5" s="224">
        <v>0</v>
      </c>
      <c r="DG5" s="224">
        <v>0</v>
      </c>
      <c r="DH5" s="224">
        <v>0</v>
      </c>
      <c r="DI5" s="224">
        <v>0</v>
      </c>
      <c r="DJ5" s="224">
        <v>0</v>
      </c>
      <c r="DK5" s="224">
        <v>0</v>
      </c>
      <c r="DL5" s="224">
        <v>0</v>
      </c>
      <c r="DM5" s="224">
        <v>0</v>
      </c>
      <c r="DN5" s="224">
        <v>0</v>
      </c>
      <c r="DO5" s="224">
        <v>0</v>
      </c>
      <c r="DP5" s="224">
        <v>0</v>
      </c>
      <c r="DQ5" s="224">
        <f t="shared" si="0"/>
        <v>0.99999999999999967</v>
      </c>
    </row>
    <row r="6" spans="1:121" x14ac:dyDescent="0.3">
      <c r="A6" s="223" t="s">
        <v>1097</v>
      </c>
      <c r="B6" s="223" t="s">
        <v>1085</v>
      </c>
      <c r="C6" s="223" t="s">
        <v>1089</v>
      </c>
      <c r="D6" s="223" t="s">
        <v>21</v>
      </c>
      <c r="E6" s="223" t="s">
        <v>1096</v>
      </c>
      <c r="F6" s="224">
        <v>3.0781905332534453E-2</v>
      </c>
      <c r="G6" s="224">
        <v>5.2837583471923126E-2</v>
      </c>
      <c r="H6" s="224">
        <v>2.6463924271082757E-2</v>
      </c>
      <c r="I6" s="224">
        <v>6.2622401815152409E-3</v>
      </c>
      <c r="J6" s="224">
        <v>5.74048441771342E-3</v>
      </c>
      <c r="K6" s="224">
        <v>1.5591572654139964E-2</v>
      </c>
      <c r="L6" s="224">
        <v>2.7496159006806138E-2</v>
      </c>
      <c r="M6" s="224">
        <v>4.5975967596657268E-3</v>
      </c>
      <c r="N6" s="224">
        <v>1.0414203497892268E-3</v>
      </c>
      <c r="O6" s="224">
        <v>9.4974849896712881E-3</v>
      </c>
      <c r="P6" s="224">
        <v>2.7113431225640867E-2</v>
      </c>
      <c r="Q6" s="224">
        <v>1.9297564344224551E-2</v>
      </c>
      <c r="R6" s="224">
        <v>1.3422818791946308E-3</v>
      </c>
      <c r="S6" s="224">
        <v>6.0783188198715969E-2</v>
      </c>
      <c r="T6" s="224">
        <v>3.7140964943799447E-2</v>
      </c>
      <c r="U6" s="224">
        <v>1.483679525222552E-3</v>
      </c>
      <c r="V6" s="224">
        <v>8.5940604487101079E-3</v>
      </c>
      <c r="W6" s="224">
        <v>2.5153617296411607E-2</v>
      </c>
      <c r="X6" s="224">
        <v>1.1647540073720141E-2</v>
      </c>
      <c r="Y6" s="224">
        <v>3.6758466742276555E-3</v>
      </c>
      <c r="Z6" s="224">
        <v>6.8004080244814691E-4</v>
      </c>
      <c r="AA6" s="224">
        <v>0</v>
      </c>
      <c r="AB6" s="224">
        <v>0</v>
      </c>
      <c r="AC6" s="224">
        <v>1.4257027378637939E-2</v>
      </c>
      <c r="AD6" s="224">
        <v>7.5971509308239583E-3</v>
      </c>
      <c r="AE6" s="224">
        <v>1.9001278306882058E-2</v>
      </c>
      <c r="AF6" s="224">
        <v>8.1977652983885631E-3</v>
      </c>
      <c r="AG6" s="224">
        <v>2.3446323651573217E-2</v>
      </c>
      <c r="AH6" s="224">
        <v>8.5350170576122507E-3</v>
      </c>
      <c r="AI6" s="224">
        <v>1.1959273765673295E-2</v>
      </c>
      <c r="AJ6" s="224">
        <v>5.9872553683944688E-2</v>
      </c>
      <c r="AK6" s="224">
        <v>1.8014657352440861E-2</v>
      </c>
      <c r="AL6" s="224">
        <v>7.9601002705831127E-3</v>
      </c>
      <c r="AM6" s="224">
        <v>0</v>
      </c>
      <c r="AN6" s="224">
        <v>2.8738229240217385E-2</v>
      </c>
      <c r="AO6" s="224">
        <v>2.2910196823524041E-2</v>
      </c>
      <c r="AP6" s="224">
        <v>3.3329740793297748E-3</v>
      </c>
      <c r="AQ6" s="224">
        <v>7.9801233213417627E-3</v>
      </c>
      <c r="AR6" s="224">
        <v>4.7058496532381963E-2</v>
      </c>
      <c r="AS6" s="224">
        <v>3.6580261977355644E-2</v>
      </c>
      <c r="AT6" s="224">
        <v>1.318535865415444E-2</v>
      </c>
      <c r="AU6" s="224">
        <v>3.8591364744154986E-3</v>
      </c>
      <c r="AV6" s="224">
        <v>1.5878564800691879E-2</v>
      </c>
      <c r="AW6" s="224">
        <v>2.0838786041165912E-2</v>
      </c>
      <c r="AX6" s="224">
        <v>1.5595277448692681E-2</v>
      </c>
      <c r="AY6" s="224">
        <v>2.6118920981912517E-2</v>
      </c>
      <c r="AZ6" s="224">
        <v>1.0319888480368682E-2</v>
      </c>
      <c r="BA6" s="224">
        <v>0</v>
      </c>
      <c r="BB6" s="224">
        <v>9.1190778982216036E-4</v>
      </c>
      <c r="BC6" s="224">
        <v>2.2687667057427068E-2</v>
      </c>
      <c r="BD6" s="224">
        <v>4.4023902747741199E-2</v>
      </c>
      <c r="BE6" s="224">
        <v>0</v>
      </c>
      <c r="BF6" s="224">
        <v>2.4930244827739999E-2</v>
      </c>
      <c r="BG6" s="224">
        <v>0</v>
      </c>
      <c r="BH6" s="224">
        <v>5.1003060183611015E-3</v>
      </c>
      <c r="BI6" s="224">
        <v>0</v>
      </c>
      <c r="BJ6" s="224">
        <v>0</v>
      </c>
      <c r="BK6" s="224">
        <v>2.2977941176470588E-4</v>
      </c>
      <c r="BL6" s="224">
        <v>2.3139010535706125E-3</v>
      </c>
      <c r="BM6" s="224">
        <v>5.6471806832495844E-3</v>
      </c>
      <c r="BN6" s="224">
        <v>4.3753404505819252E-3</v>
      </c>
      <c r="BO6" s="224">
        <v>5.7176223297765554E-3</v>
      </c>
      <c r="BP6" s="224">
        <v>5.2250114923381337E-3</v>
      </c>
      <c r="BQ6" s="224">
        <v>3.8827296131435018E-3</v>
      </c>
      <c r="BR6" s="224">
        <v>3.2991227284474597E-3</v>
      </c>
      <c r="BS6" s="224">
        <v>3.9222366898207109E-3</v>
      </c>
      <c r="BT6" s="224">
        <v>0</v>
      </c>
      <c r="BU6" s="224">
        <v>9.3257722103837655E-3</v>
      </c>
      <c r="BV6" s="224">
        <v>2.9022795631129927E-3</v>
      </c>
      <c r="BW6" s="224">
        <v>2.1697385418794875E-3</v>
      </c>
      <c r="BX6" s="224">
        <v>6.295125422736335E-3</v>
      </c>
      <c r="BY6" s="224">
        <v>4.3460676447731527E-3</v>
      </c>
      <c r="BZ6" s="224">
        <v>5.6883495239677829E-3</v>
      </c>
      <c r="CA6" s="224">
        <v>5.1957386865293595E-3</v>
      </c>
      <c r="CB6" s="224">
        <v>3.8534568073347293E-3</v>
      </c>
      <c r="CC6" s="224">
        <v>3.7839504945962367E-3</v>
      </c>
      <c r="CD6" s="224">
        <v>3.7022828428592809E-3</v>
      </c>
      <c r="CE6" s="224">
        <v>0</v>
      </c>
      <c r="CF6" s="224">
        <v>1.2010335968773028E-2</v>
      </c>
      <c r="CG6" s="224">
        <v>0</v>
      </c>
      <c r="CH6" s="224">
        <v>0</v>
      </c>
      <c r="CI6" s="224">
        <v>0</v>
      </c>
      <c r="CJ6" s="224">
        <v>0</v>
      </c>
      <c r="CK6" s="224">
        <v>0</v>
      </c>
      <c r="CL6" s="224">
        <v>0</v>
      </c>
      <c r="CM6" s="224">
        <v>0</v>
      </c>
      <c r="CN6" s="224">
        <v>0</v>
      </c>
      <c r="CO6" s="224">
        <v>0</v>
      </c>
      <c r="CP6" s="224">
        <v>0</v>
      </c>
      <c r="CQ6" s="224">
        <v>0</v>
      </c>
      <c r="CR6" s="224">
        <v>0</v>
      </c>
      <c r="CS6" s="224">
        <v>0</v>
      </c>
      <c r="CT6" s="224">
        <v>0</v>
      </c>
      <c r="CU6" s="224">
        <v>0</v>
      </c>
      <c r="CV6" s="224">
        <v>0</v>
      </c>
      <c r="CW6" s="224">
        <v>0</v>
      </c>
      <c r="CX6" s="224">
        <v>0</v>
      </c>
      <c r="CY6" s="224">
        <v>0</v>
      </c>
      <c r="CZ6" s="224">
        <v>0</v>
      </c>
      <c r="DA6" s="224">
        <v>0</v>
      </c>
      <c r="DB6" s="224">
        <v>0</v>
      </c>
      <c r="DC6" s="224">
        <v>0</v>
      </c>
      <c r="DD6" s="224">
        <v>0</v>
      </c>
      <c r="DE6" s="224">
        <v>0</v>
      </c>
      <c r="DF6" s="224">
        <v>0</v>
      </c>
      <c r="DG6" s="224">
        <v>0</v>
      </c>
      <c r="DH6" s="224">
        <v>0</v>
      </c>
      <c r="DI6" s="224">
        <v>0</v>
      </c>
      <c r="DJ6" s="224">
        <v>0</v>
      </c>
      <c r="DK6" s="224">
        <v>0</v>
      </c>
      <c r="DL6" s="224">
        <v>0</v>
      </c>
      <c r="DM6" s="224">
        <v>0</v>
      </c>
      <c r="DN6" s="224">
        <v>0</v>
      </c>
      <c r="DO6" s="224">
        <v>0</v>
      </c>
      <c r="DP6" s="224">
        <v>0</v>
      </c>
      <c r="DQ6" s="224">
        <f t="shared" si="0"/>
        <v>1.0000000000000002</v>
      </c>
    </row>
    <row r="7" spans="1:121" x14ac:dyDescent="0.3">
      <c r="A7" s="223" t="s">
        <v>1098</v>
      </c>
      <c r="B7" s="223" t="s">
        <v>1085</v>
      </c>
      <c r="C7" s="223" t="s">
        <v>1092</v>
      </c>
      <c r="D7" s="223" t="s">
        <v>1087</v>
      </c>
      <c r="E7" s="223" t="s">
        <v>27</v>
      </c>
      <c r="F7" s="224">
        <v>0.30913505869553459</v>
      </c>
      <c r="G7" s="224">
        <v>2.3847244655576319E-2</v>
      </c>
      <c r="H7" s="224">
        <v>7.2095923329974386E-3</v>
      </c>
      <c r="I7" s="224">
        <v>1.0483227767782433E-3</v>
      </c>
      <c r="J7" s="224">
        <v>0</v>
      </c>
      <c r="K7" s="224">
        <v>5.4655948926546705E-3</v>
      </c>
      <c r="L7" s="224">
        <v>1.2617347804994362E-2</v>
      </c>
      <c r="M7" s="224">
        <v>6.039621984512614E-3</v>
      </c>
      <c r="N7" s="224">
        <v>6.9397119502524283E-3</v>
      </c>
      <c r="O7" s="224">
        <v>9.3051941881365442E-4</v>
      </c>
      <c r="P7" s="224">
        <v>8.4948270857663696E-3</v>
      </c>
      <c r="Q7" s="224">
        <v>1.0333730657819206E-2</v>
      </c>
      <c r="R7" s="224">
        <v>1.4934159006360437E-3</v>
      </c>
      <c r="S7" s="224">
        <v>1.7072345846415978E-2</v>
      </c>
      <c r="T7" s="224">
        <v>1.5404732534551656E-2</v>
      </c>
      <c r="U7" s="224">
        <v>0</v>
      </c>
      <c r="V7" s="224">
        <v>3.4083861138089959E-3</v>
      </c>
      <c r="W7" s="224">
        <v>1.572964042969642E-2</v>
      </c>
      <c r="X7" s="224">
        <v>4.4075629123505201E-3</v>
      </c>
      <c r="Y7" s="224">
        <v>5.5851308861661186E-3</v>
      </c>
      <c r="Z7" s="224">
        <v>1.8371378539498086E-2</v>
      </c>
      <c r="AA7" s="224">
        <v>3.5210407260841001E-4</v>
      </c>
      <c r="AB7" s="224">
        <v>7.4119623582119055E-4</v>
      </c>
      <c r="AC7" s="224">
        <v>1.710381377429401E-2</v>
      </c>
      <c r="AD7" s="224">
        <v>3.0514949373476024E-3</v>
      </c>
      <c r="AE7" s="224">
        <v>5.5164957147542763E-3</v>
      </c>
      <c r="AF7" s="224">
        <v>4.8499481037500396E-3</v>
      </c>
      <c r="AG7" s="224">
        <v>9.0287185414183024E-3</v>
      </c>
      <c r="AH7" s="224">
        <v>5.9513063850528576E-3</v>
      </c>
      <c r="AI7" s="224">
        <v>5.452312297281995E-3</v>
      </c>
      <c r="AJ7" s="224">
        <v>2.3231042410139124E-2</v>
      </c>
      <c r="AK7" s="224">
        <v>4.6294287964667854E-3</v>
      </c>
      <c r="AL7" s="224">
        <v>4.7609799472695764E-3</v>
      </c>
      <c r="AM7" s="224">
        <v>7.7163290064248308E-4</v>
      </c>
      <c r="AN7" s="224">
        <v>9.2938732216259218E-3</v>
      </c>
      <c r="AO7" s="224">
        <v>1.2978309749661528E-2</v>
      </c>
      <c r="AP7" s="224">
        <v>2.257795874707696E-3</v>
      </c>
      <c r="AQ7" s="224">
        <v>3.3083499876188347E-3</v>
      </c>
      <c r="AR7" s="224">
        <v>1.325828024897422E-2</v>
      </c>
      <c r="AS7" s="224">
        <v>1.968277794889902E-2</v>
      </c>
      <c r="AT7" s="224">
        <v>3.6173274430310199E-3</v>
      </c>
      <c r="AU7" s="224">
        <v>5.2771215153969014E-4</v>
      </c>
      <c r="AV7" s="224">
        <v>8.2924065068253235E-3</v>
      </c>
      <c r="AW7" s="224">
        <v>7.9352706152029592E-3</v>
      </c>
      <c r="AX7" s="224">
        <v>5.9427966840578514E-3</v>
      </c>
      <c r="AY7" s="224">
        <v>6.7018291003869516E-3</v>
      </c>
      <c r="AZ7" s="224">
        <v>4.4518020544923103E-3</v>
      </c>
      <c r="BA7" s="224">
        <v>2.9711336531216314E-3</v>
      </c>
      <c r="BB7" s="224">
        <v>1.1897945001789775E-3</v>
      </c>
      <c r="BC7" s="224">
        <v>1.437879120137605E-2</v>
      </c>
      <c r="BD7" s="224">
        <v>2.1356720502679994E-2</v>
      </c>
      <c r="BE7" s="224">
        <v>2.1471437471979993E-2</v>
      </c>
      <c r="BF7" s="224">
        <v>4.708588669956563E-3</v>
      </c>
      <c r="BG7" s="224">
        <v>3.1281027806169572E-2</v>
      </c>
      <c r="BH7" s="224">
        <v>2.0346573062552532E-2</v>
      </c>
      <c r="BI7" s="224">
        <v>3.7759766530615826E-3</v>
      </c>
      <c r="BJ7" s="224">
        <v>5.1445256269259405E-3</v>
      </c>
      <c r="BK7" s="224">
        <v>3.5496609991773746E-3</v>
      </c>
      <c r="BL7" s="224">
        <v>6.1949170818622803E-3</v>
      </c>
      <c r="BM7" s="224">
        <v>9.3898052676756587E-3</v>
      </c>
      <c r="BN7" s="224">
        <v>1.078965946427772E-2</v>
      </c>
      <c r="BO7" s="224">
        <v>1.1669334788650983E-2</v>
      </c>
      <c r="BP7" s="224">
        <v>8.6243976251832548E-3</v>
      </c>
      <c r="BQ7" s="224">
        <v>7.2535798643816448E-3</v>
      </c>
      <c r="BR7" s="224">
        <v>6.6247465162914835E-3</v>
      </c>
      <c r="BS7" s="224">
        <v>7.6346458725835061E-3</v>
      </c>
      <c r="BT7" s="224">
        <v>2.4040722543743195E-4</v>
      </c>
      <c r="BU7" s="224">
        <v>2.8333527083752395E-2</v>
      </c>
      <c r="BV7" s="224">
        <v>2.4661327326860566E-3</v>
      </c>
      <c r="BW7" s="224">
        <v>4.1187292001878496E-3</v>
      </c>
      <c r="BX7" s="224">
        <v>1.2107885905321754E-2</v>
      </c>
      <c r="BY7" s="224">
        <v>1.0538295376522797E-2</v>
      </c>
      <c r="BZ7" s="224">
        <v>1.6202986422989424E-2</v>
      </c>
      <c r="CA7" s="224">
        <v>8.7752450689409494E-3</v>
      </c>
      <c r="CB7" s="224">
        <v>7.5831524869809852E-3</v>
      </c>
      <c r="CC7" s="224">
        <v>7.642732636765113E-3</v>
      </c>
      <c r="CD7" s="224">
        <v>1.2169832073278935E-2</v>
      </c>
      <c r="CE7" s="224">
        <v>3.4904623117331892E-4</v>
      </c>
      <c r="CF7" s="224">
        <v>3.118198907347277E-2</v>
      </c>
      <c r="CG7" s="224">
        <v>2.7115507317097189E-3</v>
      </c>
      <c r="CH7" s="224">
        <v>0</v>
      </c>
      <c r="CI7" s="224">
        <v>0</v>
      </c>
      <c r="CJ7" s="224">
        <v>0</v>
      </c>
      <c r="CK7" s="224">
        <v>0</v>
      </c>
      <c r="CL7" s="224">
        <v>0</v>
      </c>
      <c r="CM7" s="224">
        <v>0</v>
      </c>
      <c r="CN7" s="224">
        <v>0</v>
      </c>
      <c r="CO7" s="224">
        <v>0</v>
      </c>
      <c r="CP7" s="224">
        <v>0</v>
      </c>
      <c r="CQ7" s="224">
        <v>0</v>
      </c>
      <c r="CR7" s="224">
        <v>0</v>
      </c>
      <c r="CS7" s="224">
        <v>0</v>
      </c>
      <c r="CT7" s="224">
        <v>0</v>
      </c>
      <c r="CU7" s="224">
        <v>0</v>
      </c>
      <c r="CV7" s="224">
        <v>0</v>
      </c>
      <c r="CW7" s="224">
        <v>0</v>
      </c>
      <c r="CX7" s="224">
        <v>0</v>
      </c>
      <c r="CY7" s="224">
        <v>0</v>
      </c>
      <c r="CZ7" s="224">
        <v>0</v>
      </c>
      <c r="DA7" s="224">
        <v>0</v>
      </c>
      <c r="DB7" s="224">
        <v>0</v>
      </c>
      <c r="DC7" s="224">
        <v>0</v>
      </c>
      <c r="DD7" s="224">
        <v>0</v>
      </c>
      <c r="DE7" s="224">
        <v>0</v>
      </c>
      <c r="DF7" s="224">
        <v>0</v>
      </c>
      <c r="DG7" s="224">
        <v>0</v>
      </c>
      <c r="DH7" s="224">
        <v>0</v>
      </c>
      <c r="DI7" s="224">
        <v>0</v>
      </c>
      <c r="DJ7" s="224">
        <v>0</v>
      </c>
      <c r="DK7" s="224">
        <v>0</v>
      </c>
      <c r="DL7" s="224">
        <v>0</v>
      </c>
      <c r="DM7" s="224">
        <v>0</v>
      </c>
      <c r="DN7" s="224">
        <v>0</v>
      </c>
      <c r="DO7" s="224">
        <v>0</v>
      </c>
      <c r="DP7" s="224">
        <v>0</v>
      </c>
      <c r="DQ7" s="224">
        <f t="shared" si="0"/>
        <v>1</v>
      </c>
    </row>
    <row r="8" spans="1:121" x14ac:dyDescent="0.3">
      <c r="A8" s="223" t="s">
        <v>1099</v>
      </c>
      <c r="B8" s="223" t="s">
        <v>1085</v>
      </c>
      <c r="C8" s="223" t="s">
        <v>1086</v>
      </c>
      <c r="D8" s="223" t="s">
        <v>1087</v>
      </c>
      <c r="E8" s="223" t="s">
        <v>1096</v>
      </c>
      <c r="F8" s="224">
        <v>0.21339881645981112</v>
      </c>
      <c r="G8" s="224">
        <v>5.4545614106094202E-2</v>
      </c>
      <c r="H8" s="224">
        <v>3.2620661844857263E-2</v>
      </c>
      <c r="I8" s="224">
        <v>1.0441269059091306E-2</v>
      </c>
      <c r="J8" s="224">
        <v>1.5449091241473065E-2</v>
      </c>
      <c r="K8" s="224">
        <v>9.082065646050172E-3</v>
      </c>
      <c r="L8" s="224">
        <v>1.5726187609081833E-2</v>
      </c>
      <c r="M8" s="224">
        <v>1.1091510006262607E-2</v>
      </c>
      <c r="N8" s="224">
        <v>8.9810286917932636E-3</v>
      </c>
      <c r="O8" s="224">
        <v>1.1653664763095586E-2</v>
      </c>
      <c r="P8" s="224">
        <v>1.2959360165806946E-2</v>
      </c>
      <c r="Q8" s="224">
        <v>1.4185293472209738E-2</v>
      </c>
      <c r="R8" s="224">
        <v>3.1865456905389145E-3</v>
      </c>
      <c r="S8" s="224">
        <v>3.5800101491809948E-2</v>
      </c>
      <c r="T8" s="224">
        <v>1.8978043426825891E-2</v>
      </c>
      <c r="U8" s="224">
        <v>8.5986833266156124E-4</v>
      </c>
      <c r="V8" s="224">
        <v>6.2906738226269849E-3</v>
      </c>
      <c r="W8" s="224">
        <v>1.6002397003912386E-2</v>
      </c>
      <c r="X8" s="224">
        <v>7.8139395853437724E-3</v>
      </c>
      <c r="Y8" s="224">
        <v>8.5713119268082793E-3</v>
      </c>
      <c r="Z8" s="224">
        <v>8.5383317312536164E-3</v>
      </c>
      <c r="AA8" s="224">
        <v>2.1677538150698724E-3</v>
      </c>
      <c r="AB8" s="224">
        <v>1.5520152583191889E-2</v>
      </c>
      <c r="AC8" s="224">
        <v>4.9432496378631957E-3</v>
      </c>
      <c r="AD8" s="224">
        <v>6.2908023132125668E-3</v>
      </c>
      <c r="AE8" s="224">
        <v>8.1993838192860238E-3</v>
      </c>
      <c r="AF8" s="224">
        <v>6.2743086528004293E-3</v>
      </c>
      <c r="AG8" s="224">
        <v>1.4092945366094524E-2</v>
      </c>
      <c r="AH8" s="224">
        <v>5.359063996035366E-3</v>
      </c>
      <c r="AI8" s="224">
        <v>1.154359804258339E-2</v>
      </c>
      <c r="AJ8" s="224">
        <v>3.2267799788555963E-2</v>
      </c>
      <c r="AK8" s="224">
        <v>5.5072979916593297E-3</v>
      </c>
      <c r="AL8" s="224">
        <v>6.4784553713762259E-3</v>
      </c>
      <c r="AM8" s="224">
        <v>8.5986833266156124E-4</v>
      </c>
      <c r="AN8" s="224">
        <v>1.5276229980538727E-2</v>
      </c>
      <c r="AO8" s="224">
        <v>9.2713696957873026E-3</v>
      </c>
      <c r="AP8" s="224">
        <v>6.2761037930797866E-3</v>
      </c>
      <c r="AQ8" s="224">
        <v>8.8053135218579322E-3</v>
      </c>
      <c r="AR8" s="224">
        <v>2.468160135162549E-2</v>
      </c>
      <c r="AS8" s="224">
        <v>3.3596477286470659E-2</v>
      </c>
      <c r="AT8" s="224">
        <v>1.0445675392093056E-2</v>
      </c>
      <c r="AU8" s="224">
        <v>2.0687996493753075E-3</v>
      </c>
      <c r="AV8" s="224">
        <v>1.1360449220873507E-2</v>
      </c>
      <c r="AW8" s="224">
        <v>1.0266352910499203E-2</v>
      </c>
      <c r="AX8" s="224">
        <v>9.590968511891531E-3</v>
      </c>
      <c r="AY8" s="224">
        <v>1.4593407359964018E-2</v>
      </c>
      <c r="AZ8" s="224">
        <v>8.8998196705878281E-3</v>
      </c>
      <c r="BA8" s="224">
        <v>6.5296610733701086E-3</v>
      </c>
      <c r="BB8" s="224">
        <v>3.223016582371549E-3</v>
      </c>
      <c r="BC8" s="224">
        <v>1.6562218588809137E-2</v>
      </c>
      <c r="BD8" s="224">
        <v>3.1143428103160016E-2</v>
      </c>
      <c r="BE8" s="224">
        <v>2.8974696371148259E-2</v>
      </c>
      <c r="BF8" s="224">
        <v>1.0216856824169717E-2</v>
      </c>
      <c r="BG8" s="224">
        <v>2.7463186412056383E-2</v>
      </c>
      <c r="BH8" s="224">
        <v>2.6800877888791676E-2</v>
      </c>
      <c r="BI8" s="224">
        <v>4.2456592557149576E-3</v>
      </c>
      <c r="BJ8" s="224">
        <v>7.3946538444849925E-3</v>
      </c>
      <c r="BK8" s="224">
        <v>7.5186773889571743E-4</v>
      </c>
      <c r="BL8" s="224">
        <v>1.2825820786381637E-3</v>
      </c>
      <c r="BM8" s="224">
        <v>3.1273639917611309E-3</v>
      </c>
      <c r="BN8" s="224">
        <v>1.485659755448528E-3</v>
      </c>
      <c r="BO8" s="224">
        <v>2.2096105262299709E-3</v>
      </c>
      <c r="BP8" s="224">
        <v>2.2096105262299709E-3</v>
      </c>
      <c r="BQ8" s="224">
        <v>1.2701689352669254E-3</v>
      </c>
      <c r="BR8" s="224">
        <v>1.485659755448528E-3</v>
      </c>
      <c r="BS8" s="224">
        <v>1.485659755448528E-3</v>
      </c>
      <c r="BT8" s="224">
        <v>7.5845515050459772E-4</v>
      </c>
      <c r="BU8" s="224">
        <v>3.2919540850095058E-4</v>
      </c>
      <c r="BV8" s="224">
        <v>5.7463135928066105E-3</v>
      </c>
      <c r="BW8" s="224">
        <v>8.3475266583667217E-4</v>
      </c>
      <c r="BX8" s="224">
        <v>2.6600043396478789E-3</v>
      </c>
      <c r="BY8" s="224">
        <v>1.7549568657315247E-3</v>
      </c>
      <c r="BZ8" s="224">
        <v>1.658016177436944E-3</v>
      </c>
      <c r="CA8" s="224">
        <v>1.308953193384759E-3</v>
      </c>
      <c r="CB8" s="224">
        <v>1.1773829019565637E-3</v>
      </c>
      <c r="CC8" s="224">
        <v>1.6040931710796429E-3</v>
      </c>
      <c r="CD8" s="224">
        <v>2.2075479496871712E-3</v>
      </c>
      <c r="CE8" s="224">
        <v>8.7700528239161946E-4</v>
      </c>
      <c r="CF8" s="224">
        <v>3.5411939035629179E-4</v>
      </c>
      <c r="CG8" s="224">
        <v>5.3741770791347577E-5</v>
      </c>
      <c r="CH8" s="224">
        <v>0</v>
      </c>
      <c r="CI8" s="224">
        <v>0</v>
      </c>
      <c r="CJ8" s="224">
        <v>0</v>
      </c>
      <c r="CK8" s="224">
        <v>0</v>
      </c>
      <c r="CL8" s="224">
        <v>0</v>
      </c>
      <c r="CM8" s="224">
        <v>0</v>
      </c>
      <c r="CN8" s="224">
        <v>0</v>
      </c>
      <c r="CO8" s="224">
        <v>0</v>
      </c>
      <c r="CP8" s="224">
        <v>0</v>
      </c>
      <c r="CQ8" s="224">
        <v>0</v>
      </c>
      <c r="CR8" s="224">
        <v>0</v>
      </c>
      <c r="CS8" s="224">
        <v>0</v>
      </c>
      <c r="CT8" s="224">
        <v>0</v>
      </c>
      <c r="CU8" s="224">
        <v>0</v>
      </c>
      <c r="CV8" s="224">
        <v>0</v>
      </c>
      <c r="CW8" s="224">
        <v>0</v>
      </c>
      <c r="CX8" s="224">
        <v>0</v>
      </c>
      <c r="CY8" s="224">
        <v>0</v>
      </c>
      <c r="CZ8" s="224">
        <v>0</v>
      </c>
      <c r="DA8" s="224">
        <v>0</v>
      </c>
      <c r="DB8" s="224">
        <v>0</v>
      </c>
      <c r="DC8" s="224">
        <v>0</v>
      </c>
      <c r="DD8" s="224">
        <v>0</v>
      </c>
      <c r="DE8" s="224">
        <v>0</v>
      </c>
      <c r="DF8" s="224">
        <v>0</v>
      </c>
      <c r="DG8" s="224">
        <v>0</v>
      </c>
      <c r="DH8" s="224">
        <v>0</v>
      </c>
      <c r="DI8" s="224">
        <v>0</v>
      </c>
      <c r="DJ8" s="224">
        <v>0</v>
      </c>
      <c r="DK8" s="224">
        <v>0</v>
      </c>
      <c r="DL8" s="224">
        <v>0</v>
      </c>
      <c r="DM8" s="224">
        <v>0</v>
      </c>
      <c r="DN8" s="224">
        <v>0</v>
      </c>
      <c r="DO8" s="224">
        <v>0</v>
      </c>
      <c r="DP8" s="224">
        <v>0</v>
      </c>
      <c r="DQ8" s="224">
        <f t="shared" si="0"/>
        <v>1.0000000000000002</v>
      </c>
    </row>
    <row r="9" spans="1:121" x14ac:dyDescent="0.3">
      <c r="A9" s="223" t="s">
        <v>1100</v>
      </c>
      <c r="B9" s="223" t="s">
        <v>1085</v>
      </c>
      <c r="C9" s="223" t="s">
        <v>1086</v>
      </c>
      <c r="D9" s="223" t="s">
        <v>21</v>
      </c>
      <c r="E9" s="223" t="s">
        <v>1096</v>
      </c>
      <c r="F9" s="224">
        <v>0.18450922737452</v>
      </c>
      <c r="G9" s="224">
        <v>7.8308905704344622E-2</v>
      </c>
      <c r="H9" s="224">
        <v>2.3207686377565571E-2</v>
      </c>
      <c r="I9" s="224">
        <v>1.4896786810057423E-2</v>
      </c>
      <c r="J9" s="224">
        <v>1.4810134044209809E-2</v>
      </c>
      <c r="K9" s="224">
        <v>2.2923559742971025E-2</v>
      </c>
      <c r="L9" s="224">
        <v>1.8912606929027326E-2</v>
      </c>
      <c r="M9" s="224">
        <v>6.772726669473806E-3</v>
      </c>
      <c r="N9" s="224">
        <v>4.586536106529736E-3</v>
      </c>
      <c r="O9" s="224">
        <v>1.3245033112582781E-2</v>
      </c>
      <c r="P9" s="224">
        <v>1.3972055878251762E-2</v>
      </c>
      <c r="Q9" s="224">
        <v>1.3657072554984849E-2</v>
      </c>
      <c r="R9" s="224">
        <v>3.5762181493071078E-3</v>
      </c>
      <c r="S9" s="224">
        <v>4.4333622337915435E-2</v>
      </c>
      <c r="T9" s="224">
        <v>2.291308251268083E-2</v>
      </c>
      <c r="U9" s="224">
        <v>0</v>
      </c>
      <c r="V9" s="224">
        <v>9.5866586570534859E-3</v>
      </c>
      <c r="W9" s="224">
        <v>2.1668287318713481E-2</v>
      </c>
      <c r="X9" s="224">
        <v>8.4840852063717241E-3</v>
      </c>
      <c r="Y9" s="224">
        <v>0</v>
      </c>
      <c r="Z9" s="224">
        <v>1.4164693022408453E-2</v>
      </c>
      <c r="AA9" s="224">
        <v>0</v>
      </c>
      <c r="AB9" s="224">
        <v>0</v>
      </c>
      <c r="AC9" s="224">
        <v>0</v>
      </c>
      <c r="AD9" s="224">
        <v>5.0807318551539934E-3</v>
      </c>
      <c r="AE9" s="224">
        <v>9.2116511740166149E-3</v>
      </c>
      <c r="AF9" s="224">
        <v>7.8384531837473043E-3</v>
      </c>
      <c r="AG9" s="224">
        <v>1.0031472635120641E-2</v>
      </c>
      <c r="AH9" s="224">
        <v>6.5568277280952953E-3</v>
      </c>
      <c r="AI9" s="224">
        <v>1.2150390829518803E-2</v>
      </c>
      <c r="AJ9" s="224">
        <v>3.1400657634925166E-2</v>
      </c>
      <c r="AK9" s="224">
        <v>8.7563552271237004E-3</v>
      </c>
      <c r="AL9" s="224">
        <v>1.2001924677073301E-2</v>
      </c>
      <c r="AM9" s="224">
        <v>7.1524362986142157E-3</v>
      </c>
      <c r="AN9" s="224">
        <v>2.0605794564489792E-2</v>
      </c>
      <c r="AO9" s="224">
        <v>1.0173430739911076E-2</v>
      </c>
      <c r="AP9" s="224">
        <v>1.5702818675055342E-2</v>
      </c>
      <c r="AQ9" s="224">
        <v>9.3264295331351374E-3</v>
      </c>
      <c r="AR9" s="224">
        <v>3.4813915208633667E-2</v>
      </c>
      <c r="AS9" s="224">
        <v>4.1183101407868933E-2</v>
      </c>
      <c r="AT9" s="224">
        <v>7.7328607542038368E-3</v>
      </c>
      <c r="AU9" s="224">
        <v>8.9405453732677696E-4</v>
      </c>
      <c r="AV9" s="224">
        <v>2.1603664230948033E-2</v>
      </c>
      <c r="AW9" s="224">
        <v>1.7960013292707917E-2</v>
      </c>
      <c r="AX9" s="224">
        <v>1.2532486100944523E-2</v>
      </c>
      <c r="AY9" s="224">
        <v>1.5386642530645775E-2</v>
      </c>
      <c r="AZ9" s="224">
        <v>9.6175653503524292E-3</v>
      </c>
      <c r="BA9" s="224">
        <v>9.1677736514985501E-3</v>
      </c>
      <c r="BB9" s="224">
        <v>1.3410818059901655E-3</v>
      </c>
      <c r="BC9" s="224">
        <v>2.7553129992789891E-2</v>
      </c>
      <c r="BD9" s="224">
        <v>4.6940779372877051E-2</v>
      </c>
      <c r="BE9" s="224">
        <v>0</v>
      </c>
      <c r="BF9" s="224">
        <v>4.907867057064615E-3</v>
      </c>
      <c r="BG9" s="224">
        <v>0</v>
      </c>
      <c r="BH9" s="224">
        <v>5.465476407360175E-4</v>
      </c>
      <c r="BI9" s="224">
        <v>0</v>
      </c>
      <c r="BJ9" s="224">
        <v>0</v>
      </c>
      <c r="BK9" s="224">
        <v>0</v>
      </c>
      <c r="BL9" s="224">
        <v>3.4230150953115427E-3</v>
      </c>
      <c r="BM9" s="224">
        <v>1.2048520986378821E-3</v>
      </c>
      <c r="BN9" s="224">
        <v>4.7612191098985878E-4</v>
      </c>
      <c r="BO9" s="224">
        <v>5.6467808195967235E-3</v>
      </c>
      <c r="BP9" s="224">
        <v>1.2543942895820823E-3</v>
      </c>
      <c r="BQ9" s="224">
        <v>8.4048700481387044E-4</v>
      </c>
      <c r="BR9" s="224">
        <v>4.7612191098985878E-4</v>
      </c>
      <c r="BS9" s="224">
        <v>4.7612191098985878E-4</v>
      </c>
      <c r="BT9" s="224">
        <v>0</v>
      </c>
      <c r="BU9" s="224">
        <v>1.0678344538062184E-2</v>
      </c>
      <c r="BV9" s="224">
        <v>6.1464355501690019E-3</v>
      </c>
      <c r="BW9" s="224">
        <v>3.3112582781456954E-3</v>
      </c>
      <c r="BX9" s="224">
        <v>1.5692171924618938E-3</v>
      </c>
      <c r="BY9" s="224">
        <v>8.4048700481387044E-4</v>
      </c>
      <c r="BZ9" s="224">
        <v>4.6796574260503272E-3</v>
      </c>
      <c r="CA9" s="224">
        <v>1.5692171924618938E-3</v>
      </c>
      <c r="CB9" s="224">
        <v>1.5692171924618938E-3</v>
      </c>
      <c r="CC9" s="224">
        <v>1.5692171924618938E-3</v>
      </c>
      <c r="CD9" s="224">
        <v>1.5692171924618938E-3</v>
      </c>
      <c r="CE9" s="224">
        <v>0</v>
      </c>
      <c r="CF9" s="224">
        <v>0</v>
      </c>
      <c r="CG9" s="224">
        <v>0</v>
      </c>
      <c r="CH9" s="224">
        <v>0</v>
      </c>
      <c r="CI9" s="224">
        <v>0</v>
      </c>
      <c r="CJ9" s="224">
        <v>0</v>
      </c>
      <c r="CK9" s="224">
        <v>0</v>
      </c>
      <c r="CL9" s="224">
        <v>0</v>
      </c>
      <c r="CM9" s="224">
        <v>0</v>
      </c>
      <c r="CN9" s="224">
        <v>0</v>
      </c>
      <c r="CO9" s="224">
        <v>0</v>
      </c>
      <c r="CP9" s="224">
        <v>0</v>
      </c>
      <c r="CQ9" s="224">
        <v>0</v>
      </c>
      <c r="CR9" s="224">
        <v>0</v>
      </c>
      <c r="CS9" s="224">
        <v>0</v>
      </c>
      <c r="CT9" s="224">
        <v>0</v>
      </c>
      <c r="CU9" s="224">
        <v>0</v>
      </c>
      <c r="CV9" s="224">
        <v>0</v>
      </c>
      <c r="CW9" s="224">
        <v>0</v>
      </c>
      <c r="CX9" s="224">
        <v>0</v>
      </c>
      <c r="CY9" s="224">
        <v>0</v>
      </c>
      <c r="CZ9" s="224">
        <v>0</v>
      </c>
      <c r="DA9" s="224">
        <v>0</v>
      </c>
      <c r="DB9" s="224">
        <v>0</v>
      </c>
      <c r="DC9" s="224">
        <v>0</v>
      </c>
      <c r="DD9" s="224">
        <v>0</v>
      </c>
      <c r="DE9" s="224">
        <v>0</v>
      </c>
      <c r="DF9" s="224">
        <v>0</v>
      </c>
      <c r="DG9" s="224">
        <v>0</v>
      </c>
      <c r="DH9" s="224">
        <v>0</v>
      </c>
      <c r="DI9" s="224">
        <v>0</v>
      </c>
      <c r="DJ9" s="224">
        <v>0</v>
      </c>
      <c r="DK9" s="224">
        <v>0</v>
      </c>
      <c r="DL9" s="224">
        <v>0</v>
      </c>
      <c r="DM9" s="224">
        <v>0</v>
      </c>
      <c r="DN9" s="224">
        <v>0</v>
      </c>
      <c r="DO9" s="224">
        <v>0</v>
      </c>
      <c r="DP9" s="224">
        <v>0</v>
      </c>
      <c r="DQ9" s="224">
        <f t="shared" si="0"/>
        <v>1</v>
      </c>
    </row>
    <row r="10" spans="1:121" x14ac:dyDescent="0.3">
      <c r="A10" s="223" t="s">
        <v>1101</v>
      </c>
      <c r="B10" s="223" t="s">
        <v>1085</v>
      </c>
      <c r="C10" s="223" t="s">
        <v>1089</v>
      </c>
      <c r="D10" s="223" t="s">
        <v>1087</v>
      </c>
      <c r="E10" s="223" t="s">
        <v>1096</v>
      </c>
      <c r="F10" s="224">
        <v>0</v>
      </c>
      <c r="G10" s="224">
        <v>2.0792195046403145E-2</v>
      </c>
      <c r="H10" s="224">
        <v>2.1662096213510028E-2</v>
      </c>
      <c r="I10" s="224">
        <v>2.2823647844480023E-2</v>
      </c>
      <c r="J10" s="224">
        <v>0</v>
      </c>
      <c r="K10" s="224">
        <v>1.8760742248326273E-2</v>
      </c>
      <c r="L10" s="224">
        <v>4.370969289584923E-2</v>
      </c>
      <c r="M10" s="224">
        <v>3.4812880765883385E-3</v>
      </c>
      <c r="N10" s="224">
        <v>0</v>
      </c>
      <c r="O10" s="224">
        <v>0</v>
      </c>
      <c r="P10" s="224">
        <v>1.5279454171737936E-2</v>
      </c>
      <c r="Q10" s="224">
        <v>1.5859388283142522E-2</v>
      </c>
      <c r="R10" s="224">
        <v>6.382642041772091E-3</v>
      </c>
      <c r="S10" s="224">
        <v>4.2938691958190875E-2</v>
      </c>
      <c r="T10" s="224">
        <v>2.5723318401502951E-2</v>
      </c>
      <c r="U10" s="224">
        <v>0</v>
      </c>
      <c r="V10" s="224">
        <v>6.9625761531766769E-3</v>
      </c>
      <c r="W10" s="224">
        <v>1.663375603712252E-2</v>
      </c>
      <c r="X10" s="224">
        <v>8.9940289512535493E-3</v>
      </c>
      <c r="Y10" s="224">
        <v>5.415524053377507E-3</v>
      </c>
      <c r="Z10" s="224">
        <v>1.7406440382941692E-3</v>
      </c>
      <c r="AA10" s="224">
        <v>0</v>
      </c>
      <c r="AB10" s="224">
        <v>0</v>
      </c>
      <c r="AC10" s="224">
        <v>0</v>
      </c>
      <c r="AD10" s="224">
        <v>1.663375603712252E-2</v>
      </c>
      <c r="AE10" s="224">
        <v>1.5763013165935227E-2</v>
      </c>
      <c r="AF10" s="224">
        <v>6.9625761531766769E-3</v>
      </c>
      <c r="AG10" s="224">
        <v>1.0831048106755014E-2</v>
      </c>
      <c r="AH10" s="224">
        <v>1.469952006033335E-2</v>
      </c>
      <c r="AI10" s="224">
        <v>5.415524053377507E-3</v>
      </c>
      <c r="AJ10" s="224">
        <v>3.0558908343475872E-2</v>
      </c>
      <c r="AK10" s="224">
        <v>3.2685894554679629E-2</v>
      </c>
      <c r="AL10" s="224">
        <v>1.1798166095149599E-2</v>
      </c>
      <c r="AM10" s="224">
        <v>1.9342359767891684E-2</v>
      </c>
      <c r="AN10" s="224">
        <v>6.6730299495145898E-3</v>
      </c>
      <c r="AO10" s="224">
        <v>1.0831048106755014E-2</v>
      </c>
      <c r="AP10" s="224">
        <v>1.663375603712252E-2</v>
      </c>
      <c r="AQ10" s="224">
        <v>2.2920022961687315E-2</v>
      </c>
      <c r="AR10" s="224">
        <v>4.0230088227421718E-2</v>
      </c>
      <c r="AS10" s="224">
        <v>3.0558908343475872E-2</v>
      </c>
      <c r="AT10" s="224">
        <v>1.0251113995350428E-2</v>
      </c>
      <c r="AU10" s="224">
        <v>3.4812880765883385E-3</v>
      </c>
      <c r="AV10" s="224">
        <v>3.8103102016217957E-2</v>
      </c>
      <c r="AW10" s="224">
        <v>1.8760742248326273E-2</v>
      </c>
      <c r="AX10" s="224">
        <v>1.663375603712252E-2</v>
      </c>
      <c r="AY10" s="224">
        <v>2.3596332190299198E-2</v>
      </c>
      <c r="AZ10" s="224">
        <v>8.3168780185612599E-3</v>
      </c>
      <c r="BA10" s="224">
        <v>3.7234042553191488E-2</v>
      </c>
      <c r="BB10" s="224">
        <v>3.4812880765883385E-3</v>
      </c>
      <c r="BC10" s="224">
        <v>2.2532839084697318E-2</v>
      </c>
      <c r="BD10" s="224">
        <v>4.5065678169394635E-2</v>
      </c>
      <c r="BE10" s="224">
        <v>3.8103102016217957E-2</v>
      </c>
      <c r="BF10" s="224">
        <v>1.0831048106755014E-2</v>
      </c>
      <c r="BG10" s="224">
        <v>1.2378100206554183E-2</v>
      </c>
      <c r="BH10" s="224">
        <v>1.5859388283142522E-2</v>
      </c>
      <c r="BI10" s="224">
        <v>5.415524053377507E-3</v>
      </c>
      <c r="BJ10" s="224">
        <v>1.2378100206554183E-2</v>
      </c>
      <c r="BK10" s="224">
        <v>0</v>
      </c>
      <c r="BL10" s="224">
        <v>6.6730299495145898E-3</v>
      </c>
      <c r="BM10" s="224">
        <v>8.0850727148155076E-3</v>
      </c>
      <c r="BN10" s="224">
        <v>4.2166007612371706E-3</v>
      </c>
      <c r="BO10" s="224">
        <v>1.9690488575550519E-2</v>
      </c>
      <c r="BP10" s="224">
        <v>1.9690488575550519E-2</v>
      </c>
      <c r="BQ10" s="224">
        <v>3.2494827728425865E-3</v>
      </c>
      <c r="BR10" s="224">
        <v>1.9342359767891683E-3</v>
      </c>
      <c r="BS10" s="224">
        <v>1.9342359767891683E-3</v>
      </c>
      <c r="BT10" s="224">
        <v>0</v>
      </c>
      <c r="BU10" s="224">
        <v>0</v>
      </c>
      <c r="BV10" s="224">
        <v>7.011394989840632E-3</v>
      </c>
      <c r="BW10" s="224">
        <v>4.6419980034779216E-3</v>
      </c>
      <c r="BX10" s="224">
        <v>6.5762339802670905E-3</v>
      </c>
      <c r="BY10" s="224">
        <v>3.6748800150833375E-3</v>
      </c>
      <c r="BZ10" s="224">
        <v>5.6091159918725056E-3</v>
      </c>
      <c r="CA10" s="224">
        <v>5.6091159918725056E-3</v>
      </c>
      <c r="CB10" s="224">
        <v>3.6748800150833375E-3</v>
      </c>
      <c r="CC10" s="224">
        <v>1.9342359767891683E-3</v>
      </c>
      <c r="CD10" s="224">
        <v>3.6748800150833375E-3</v>
      </c>
      <c r="CE10" s="224">
        <v>0</v>
      </c>
      <c r="CF10" s="224">
        <v>0</v>
      </c>
      <c r="CG10" s="224">
        <v>0</v>
      </c>
      <c r="CH10" s="224">
        <v>0</v>
      </c>
      <c r="CI10" s="224">
        <v>0</v>
      </c>
      <c r="CJ10" s="224">
        <v>0</v>
      </c>
      <c r="CK10" s="224">
        <v>0</v>
      </c>
      <c r="CL10" s="224">
        <v>0</v>
      </c>
      <c r="CM10" s="224">
        <v>0</v>
      </c>
      <c r="CN10" s="224">
        <v>0</v>
      </c>
      <c r="CO10" s="224">
        <v>0</v>
      </c>
      <c r="CP10" s="224">
        <v>0</v>
      </c>
      <c r="CQ10" s="224">
        <v>0</v>
      </c>
      <c r="CR10" s="224">
        <v>0</v>
      </c>
      <c r="CS10" s="224">
        <v>0</v>
      </c>
      <c r="CT10" s="224">
        <v>0</v>
      </c>
      <c r="CU10" s="224">
        <v>0</v>
      </c>
      <c r="CV10" s="224">
        <v>0</v>
      </c>
      <c r="CW10" s="224">
        <v>0</v>
      </c>
      <c r="CX10" s="224">
        <v>0</v>
      </c>
      <c r="CY10" s="224">
        <v>0</v>
      </c>
      <c r="CZ10" s="224">
        <v>0</v>
      </c>
      <c r="DA10" s="224">
        <v>0</v>
      </c>
      <c r="DB10" s="224">
        <v>0</v>
      </c>
      <c r="DC10" s="224">
        <v>0</v>
      </c>
      <c r="DD10" s="224">
        <v>0</v>
      </c>
      <c r="DE10" s="224">
        <v>0</v>
      </c>
      <c r="DF10" s="224">
        <v>0</v>
      </c>
      <c r="DG10" s="224">
        <v>0</v>
      </c>
      <c r="DH10" s="224">
        <v>0</v>
      </c>
      <c r="DI10" s="224">
        <v>0</v>
      </c>
      <c r="DJ10" s="224">
        <v>0</v>
      </c>
      <c r="DK10" s="224">
        <v>0</v>
      </c>
      <c r="DL10" s="224">
        <v>0</v>
      </c>
      <c r="DM10" s="224">
        <v>0</v>
      </c>
      <c r="DN10" s="224">
        <v>0</v>
      </c>
      <c r="DO10" s="224">
        <v>0</v>
      </c>
      <c r="DP10" s="224">
        <v>0</v>
      </c>
      <c r="DQ10" s="224">
        <f t="shared" si="0"/>
        <v>1</v>
      </c>
    </row>
    <row r="11" spans="1:121" x14ac:dyDescent="0.3">
      <c r="A11" s="223" t="s">
        <v>1102</v>
      </c>
      <c r="B11" s="223" t="s">
        <v>1085</v>
      </c>
      <c r="C11" s="223" t="s">
        <v>1089</v>
      </c>
      <c r="D11" s="223" t="s">
        <v>1087</v>
      </c>
      <c r="E11" s="223" t="s">
        <v>1090</v>
      </c>
      <c r="F11" s="224">
        <v>4.7418676008792009E-2</v>
      </c>
      <c r="G11" s="224">
        <v>9.3612525119507031E-2</v>
      </c>
      <c r="H11" s="224">
        <v>2.6253048743465016E-2</v>
      </c>
      <c r="I11" s="224">
        <v>2.7828322984964943E-3</v>
      </c>
      <c r="J11" s="224">
        <v>1.2849616713958867E-2</v>
      </c>
      <c r="K11" s="224">
        <v>1.0352917526862957E-2</v>
      </c>
      <c r="L11" s="224">
        <v>2.7830821858408451E-2</v>
      </c>
      <c r="M11" s="224">
        <v>4.3641161111069885E-3</v>
      </c>
      <c r="N11" s="224">
        <v>2.7562190885952803E-3</v>
      </c>
      <c r="O11" s="224">
        <v>5.6750257647515063E-3</v>
      </c>
      <c r="P11" s="224">
        <v>1.5316845605194555E-2</v>
      </c>
      <c r="Q11" s="224">
        <v>1.8692007752919907E-2</v>
      </c>
      <c r="R11" s="224">
        <v>7.1690688052109377E-3</v>
      </c>
      <c r="S11" s="224">
        <v>3.5830552390153508E-2</v>
      </c>
      <c r="T11" s="224">
        <v>3.363589798531396E-2</v>
      </c>
      <c r="U11" s="224">
        <v>1.0733608668897672E-2</v>
      </c>
      <c r="V11" s="224">
        <v>8.6615405371265088E-3</v>
      </c>
      <c r="W11" s="224">
        <v>2.3412562384961554E-2</v>
      </c>
      <c r="X11" s="224">
        <v>5.4960817582293924E-3</v>
      </c>
      <c r="Y11" s="224">
        <v>1.3082152296965395E-2</v>
      </c>
      <c r="Z11" s="224">
        <v>4.53274481210518E-3</v>
      </c>
      <c r="AA11" s="224">
        <v>1.7181729731568349E-3</v>
      </c>
      <c r="AB11" s="224">
        <v>1.6215668389581433E-3</v>
      </c>
      <c r="AC11" s="224">
        <v>3.2709313485147552E-3</v>
      </c>
      <c r="AD11" s="224">
        <v>4.4503339386530042E-3</v>
      </c>
      <c r="AE11" s="224">
        <v>1.1290174969173209E-2</v>
      </c>
      <c r="AF11" s="224">
        <v>8.9327597765709484E-3</v>
      </c>
      <c r="AG11" s="224">
        <v>1.6333675129655053E-2</v>
      </c>
      <c r="AH11" s="224">
        <v>1.0431570783750165E-2</v>
      </c>
      <c r="AI11" s="224">
        <v>1.1060226779282619E-2</v>
      </c>
      <c r="AJ11" s="224">
        <v>3.1246531164020007E-2</v>
      </c>
      <c r="AK11" s="224">
        <v>4.1831593397546399E-3</v>
      </c>
      <c r="AL11" s="224">
        <v>5.698921046775998E-3</v>
      </c>
      <c r="AM11" s="224">
        <v>3.5027211101815521E-3</v>
      </c>
      <c r="AN11" s="224">
        <v>2.1363931361089768E-2</v>
      </c>
      <c r="AO11" s="224">
        <v>2.0057354846388781E-2</v>
      </c>
      <c r="AP11" s="224">
        <v>9.410320328976195E-3</v>
      </c>
      <c r="AQ11" s="224">
        <v>1.0433459318254708E-2</v>
      </c>
      <c r="AR11" s="224">
        <v>4.0836992337264566E-2</v>
      </c>
      <c r="AS11" s="224">
        <v>3.1754809478615038E-2</v>
      </c>
      <c r="AT11" s="224">
        <v>1.2965869862561541E-2</v>
      </c>
      <c r="AU11" s="224">
        <v>2.4332546459659146E-3</v>
      </c>
      <c r="AV11" s="224">
        <v>1.8170746845320159E-2</v>
      </c>
      <c r="AW11" s="224">
        <v>2.0438436140891098E-2</v>
      </c>
      <c r="AX11" s="224">
        <v>1.164820637173174E-2</v>
      </c>
      <c r="AY11" s="224">
        <v>2.8576268512971934E-2</v>
      </c>
      <c r="AZ11" s="224">
        <v>1.210598304245173E-2</v>
      </c>
      <c r="BA11" s="224">
        <v>4.4094020111496747E-3</v>
      </c>
      <c r="BB11" s="224">
        <v>3.1516669547634723E-3</v>
      </c>
      <c r="BC11" s="224">
        <v>2.6066492365818116E-2</v>
      </c>
      <c r="BD11" s="224">
        <v>5.2392434926826367E-2</v>
      </c>
      <c r="BE11" s="224">
        <v>3.6924749165788209E-2</v>
      </c>
      <c r="BF11" s="224">
        <v>1.7550757569967108E-2</v>
      </c>
      <c r="BG11" s="224">
        <v>2.9661326356871177E-2</v>
      </c>
      <c r="BH11" s="224">
        <v>1.7797194386075979E-2</v>
      </c>
      <c r="BI11" s="224">
        <v>8.2882485623150641E-3</v>
      </c>
      <c r="BJ11" s="224">
        <v>1.2542026497617504E-2</v>
      </c>
      <c r="BK11" s="224">
        <v>0</v>
      </c>
      <c r="BL11" s="224">
        <v>5.6095081162570561E-4</v>
      </c>
      <c r="BM11" s="224">
        <v>1.402377029064264E-3</v>
      </c>
      <c r="BN11" s="224">
        <v>2.804754058128528E-4</v>
      </c>
      <c r="BO11" s="224">
        <v>5.6095081162570561E-4</v>
      </c>
      <c r="BP11" s="224">
        <v>5.6095081162570561E-4</v>
      </c>
      <c r="BQ11" s="224">
        <v>5.6095081162570561E-4</v>
      </c>
      <c r="BR11" s="224">
        <v>7.7130736598534516E-4</v>
      </c>
      <c r="BS11" s="224">
        <v>7.3624794025873859E-4</v>
      </c>
      <c r="BT11" s="224">
        <v>2.804754058128528E-4</v>
      </c>
      <c r="BU11" s="224">
        <v>9.4660449461837822E-3</v>
      </c>
      <c r="BV11" s="224">
        <v>0</v>
      </c>
      <c r="BW11" s="224">
        <v>0</v>
      </c>
      <c r="BX11" s="224">
        <v>2.804754058128528E-4</v>
      </c>
      <c r="BY11" s="224">
        <v>0</v>
      </c>
      <c r="BZ11" s="224">
        <v>2.804754058128528E-4</v>
      </c>
      <c r="CA11" s="224">
        <v>0</v>
      </c>
      <c r="CB11" s="224">
        <v>2.804754058128528E-4</v>
      </c>
      <c r="CC11" s="224">
        <v>0</v>
      </c>
      <c r="CD11" s="224">
        <v>0</v>
      </c>
      <c r="CE11" s="224">
        <v>0</v>
      </c>
      <c r="CF11" s="224">
        <v>1.0798303123794832E-2</v>
      </c>
      <c r="CG11" s="224">
        <v>0</v>
      </c>
      <c r="CH11" s="224">
        <v>0</v>
      </c>
      <c r="CI11" s="224">
        <v>0</v>
      </c>
      <c r="CJ11" s="224">
        <v>0</v>
      </c>
      <c r="CK11" s="224">
        <v>0</v>
      </c>
      <c r="CL11" s="224">
        <v>0</v>
      </c>
      <c r="CM11" s="224">
        <v>0</v>
      </c>
      <c r="CN11" s="224">
        <v>0</v>
      </c>
      <c r="CO11" s="224">
        <v>0</v>
      </c>
      <c r="CP11" s="224">
        <v>0</v>
      </c>
      <c r="CQ11" s="224">
        <v>0</v>
      </c>
      <c r="CR11" s="224">
        <v>0</v>
      </c>
      <c r="CS11" s="224">
        <v>0</v>
      </c>
      <c r="CT11" s="224">
        <v>0</v>
      </c>
      <c r="CU11" s="224">
        <v>0</v>
      </c>
      <c r="CV11" s="224">
        <v>0</v>
      </c>
      <c r="CW11" s="224">
        <v>0</v>
      </c>
      <c r="CX11" s="224">
        <v>0</v>
      </c>
      <c r="CY11" s="224">
        <v>0</v>
      </c>
      <c r="CZ11" s="224">
        <v>0</v>
      </c>
      <c r="DA11" s="224">
        <v>0</v>
      </c>
      <c r="DB11" s="224">
        <v>0</v>
      </c>
      <c r="DC11" s="224">
        <v>0</v>
      </c>
      <c r="DD11" s="224">
        <v>0</v>
      </c>
      <c r="DE11" s="224">
        <v>0</v>
      </c>
      <c r="DF11" s="224">
        <v>0</v>
      </c>
      <c r="DG11" s="224">
        <v>0</v>
      </c>
      <c r="DH11" s="224">
        <v>0</v>
      </c>
      <c r="DI11" s="224">
        <v>0</v>
      </c>
      <c r="DJ11" s="224">
        <v>0</v>
      </c>
      <c r="DK11" s="224">
        <v>0</v>
      </c>
      <c r="DL11" s="224">
        <v>0</v>
      </c>
      <c r="DM11" s="224">
        <v>0</v>
      </c>
      <c r="DN11" s="224">
        <v>0</v>
      </c>
      <c r="DO11" s="224">
        <v>0</v>
      </c>
      <c r="DP11" s="224">
        <v>0</v>
      </c>
      <c r="DQ11" s="224">
        <f t="shared" si="0"/>
        <v>1</v>
      </c>
    </row>
    <row r="12" spans="1:121" x14ac:dyDescent="0.3">
      <c r="A12" s="223" t="s">
        <v>1103</v>
      </c>
      <c r="B12" s="223" t="s">
        <v>1085</v>
      </c>
      <c r="C12" s="223" t="s">
        <v>1095</v>
      </c>
      <c r="D12" s="223" t="s">
        <v>21</v>
      </c>
      <c r="E12" s="223" t="s">
        <v>1090</v>
      </c>
      <c r="F12" s="224">
        <v>7.9733163913595931E-2</v>
      </c>
      <c r="G12" s="224">
        <v>6.4214524821154612E-2</v>
      </c>
      <c r="H12" s="224">
        <v>2.6336880013449693E-2</v>
      </c>
      <c r="I12" s="224">
        <v>0</v>
      </c>
      <c r="J12" s="224">
        <v>0</v>
      </c>
      <c r="K12" s="224">
        <v>1.9098658698238277E-2</v>
      </c>
      <c r="L12" s="224">
        <v>3.2476931509977512E-2</v>
      </c>
      <c r="M12" s="224">
        <v>3.8119440914866584E-3</v>
      </c>
      <c r="N12" s="224">
        <v>0</v>
      </c>
      <c r="O12" s="224">
        <v>0</v>
      </c>
      <c r="P12" s="224">
        <v>1.4226515746552218E-2</v>
      </c>
      <c r="Q12" s="224">
        <v>2.0049995722223032E-2</v>
      </c>
      <c r="R12" s="224">
        <v>1.2706480304955528E-3</v>
      </c>
      <c r="S12" s="224">
        <v>5.6755497271995047E-2</v>
      </c>
      <c r="T12" s="224">
        <v>5.3786006100569592E-2</v>
      </c>
      <c r="U12" s="224">
        <v>0</v>
      </c>
      <c r="V12" s="224">
        <v>1.6005423699852382E-2</v>
      </c>
      <c r="W12" s="224">
        <v>2.7330565674341452E-2</v>
      </c>
      <c r="X12" s="224">
        <v>1.5782843424796085E-2</v>
      </c>
      <c r="Y12" s="224">
        <v>1.2706480304955527E-2</v>
      </c>
      <c r="Z12" s="224">
        <v>0</v>
      </c>
      <c r="AA12" s="224">
        <v>0</v>
      </c>
      <c r="AB12" s="224">
        <v>0</v>
      </c>
      <c r="AC12" s="224">
        <v>0</v>
      </c>
      <c r="AD12" s="224">
        <v>0</v>
      </c>
      <c r="AE12" s="224">
        <v>1.44390880372204E-2</v>
      </c>
      <c r="AF12" s="224">
        <v>2.4617040505834093E-2</v>
      </c>
      <c r="AG12" s="224">
        <v>2.3597378285250784E-2</v>
      </c>
      <c r="AH12" s="224">
        <v>1.1872201104282627E-2</v>
      </c>
      <c r="AI12" s="224">
        <v>1.4515377073159169E-2</v>
      </c>
      <c r="AJ12" s="224">
        <v>3.1399860771232767E-2</v>
      </c>
      <c r="AK12" s="224">
        <v>3.0791381113102548E-3</v>
      </c>
      <c r="AL12" s="224">
        <v>1.9015273620385294E-3</v>
      </c>
      <c r="AM12" s="224">
        <v>0</v>
      </c>
      <c r="AN12" s="224">
        <v>1.65016501650165E-2</v>
      </c>
      <c r="AO12" s="224">
        <v>1.7326616354352141E-2</v>
      </c>
      <c r="AP12" s="224">
        <v>8.6115588303016348E-3</v>
      </c>
      <c r="AQ12" s="224">
        <v>1.3182806630185222E-2</v>
      </c>
      <c r="AR12" s="224">
        <v>3.86452364715935E-2</v>
      </c>
      <c r="AS12" s="224">
        <v>4.8275664779789597E-2</v>
      </c>
      <c r="AT12" s="224">
        <v>1.7457885300842985E-2</v>
      </c>
      <c r="AU12" s="224">
        <v>1.2706480304955528E-3</v>
      </c>
      <c r="AV12" s="224">
        <v>2.7990747632302262E-2</v>
      </c>
      <c r="AW12" s="224">
        <v>3.426916607752864E-2</v>
      </c>
      <c r="AX12" s="224">
        <v>2.1094341958479153E-2</v>
      </c>
      <c r="AY12" s="224">
        <v>3.4908751084729017E-2</v>
      </c>
      <c r="AZ12" s="224">
        <v>1.9453568561083861E-2</v>
      </c>
      <c r="BA12" s="224">
        <v>3.3500837520938024E-3</v>
      </c>
      <c r="BB12" s="224">
        <v>0</v>
      </c>
      <c r="BC12" s="224">
        <v>3.6913111951674835E-2</v>
      </c>
      <c r="BD12" s="224">
        <v>3.8173440874701148E-2</v>
      </c>
      <c r="BE12" s="224">
        <v>0</v>
      </c>
      <c r="BF12" s="224">
        <v>2.0577462404649676E-2</v>
      </c>
      <c r="BG12" s="224">
        <v>0</v>
      </c>
      <c r="BH12" s="224">
        <v>0</v>
      </c>
      <c r="BI12" s="224">
        <v>0</v>
      </c>
      <c r="BJ12" s="224">
        <v>0</v>
      </c>
      <c r="BK12" s="224">
        <v>0</v>
      </c>
      <c r="BL12" s="224">
        <v>0</v>
      </c>
      <c r="BM12" s="224">
        <v>0</v>
      </c>
      <c r="BN12" s="224">
        <v>0</v>
      </c>
      <c r="BO12" s="224">
        <v>6.9767441860465115E-3</v>
      </c>
      <c r="BP12" s="224">
        <v>6.9767441860465115E-3</v>
      </c>
      <c r="BQ12" s="224">
        <v>0</v>
      </c>
      <c r="BR12" s="224">
        <v>0</v>
      </c>
      <c r="BS12" s="224">
        <v>0</v>
      </c>
      <c r="BT12" s="224">
        <v>0</v>
      </c>
      <c r="BU12" s="224">
        <v>0</v>
      </c>
      <c r="BV12" s="224">
        <v>0</v>
      </c>
      <c r="BW12" s="224">
        <v>0</v>
      </c>
      <c r="BX12" s="224">
        <v>0</v>
      </c>
      <c r="BY12" s="224">
        <v>0</v>
      </c>
      <c r="BZ12" s="224">
        <v>9.518040247037618E-3</v>
      </c>
      <c r="CA12" s="224">
        <v>6.9767441860465115E-3</v>
      </c>
      <c r="CB12" s="224">
        <v>0</v>
      </c>
      <c r="CC12" s="224">
        <v>0</v>
      </c>
      <c r="CD12" s="224">
        <v>0</v>
      </c>
      <c r="CE12" s="224">
        <v>0</v>
      </c>
      <c r="CF12" s="224">
        <v>2.5412960609911056E-3</v>
      </c>
      <c r="CG12" s="224">
        <v>0</v>
      </c>
      <c r="CH12" s="224">
        <v>0</v>
      </c>
      <c r="CI12" s="224">
        <v>0</v>
      </c>
      <c r="CJ12" s="224">
        <v>0</v>
      </c>
      <c r="CK12" s="224">
        <v>0</v>
      </c>
      <c r="CL12" s="224">
        <v>0</v>
      </c>
      <c r="CM12" s="224">
        <v>0</v>
      </c>
      <c r="CN12" s="224">
        <v>0</v>
      </c>
      <c r="CO12" s="224">
        <v>0</v>
      </c>
      <c r="CP12" s="224">
        <v>0</v>
      </c>
      <c r="CQ12" s="224">
        <v>0</v>
      </c>
      <c r="CR12" s="224">
        <v>0</v>
      </c>
      <c r="CS12" s="224">
        <v>0</v>
      </c>
      <c r="CT12" s="224">
        <v>0</v>
      </c>
      <c r="CU12" s="224">
        <v>0</v>
      </c>
      <c r="CV12" s="224">
        <v>0</v>
      </c>
      <c r="CW12" s="224">
        <v>0</v>
      </c>
      <c r="CX12" s="224">
        <v>0</v>
      </c>
      <c r="CY12" s="224">
        <v>0</v>
      </c>
      <c r="CZ12" s="224">
        <v>0</v>
      </c>
      <c r="DA12" s="224">
        <v>0</v>
      </c>
      <c r="DB12" s="224">
        <v>0</v>
      </c>
      <c r="DC12" s="224">
        <v>0</v>
      </c>
      <c r="DD12" s="224">
        <v>0</v>
      </c>
      <c r="DE12" s="224">
        <v>0</v>
      </c>
      <c r="DF12" s="224">
        <v>0</v>
      </c>
      <c r="DG12" s="224">
        <v>0</v>
      </c>
      <c r="DH12" s="224">
        <v>0</v>
      </c>
      <c r="DI12" s="224">
        <v>0</v>
      </c>
      <c r="DJ12" s="224">
        <v>0</v>
      </c>
      <c r="DK12" s="224">
        <v>0</v>
      </c>
      <c r="DL12" s="224">
        <v>0</v>
      </c>
      <c r="DM12" s="224">
        <v>0</v>
      </c>
      <c r="DN12" s="224">
        <v>0</v>
      </c>
      <c r="DO12" s="224">
        <v>0</v>
      </c>
      <c r="DP12" s="224">
        <v>0</v>
      </c>
      <c r="DQ12" s="224">
        <f t="shared" si="0"/>
        <v>0.99999999999999989</v>
      </c>
    </row>
    <row r="13" spans="1:121" x14ac:dyDescent="0.3">
      <c r="A13" s="223" t="s">
        <v>1104</v>
      </c>
      <c r="B13" s="223" t="s">
        <v>1085</v>
      </c>
      <c r="C13" s="223" t="s">
        <v>1095</v>
      </c>
      <c r="D13" s="223" t="s">
        <v>1087</v>
      </c>
      <c r="E13" s="223" t="s">
        <v>1096</v>
      </c>
      <c r="F13" s="224">
        <v>4.1844701012257041E-2</v>
      </c>
      <c r="G13" s="224">
        <v>7.4170575911940123E-2</v>
      </c>
      <c r="H13" s="224">
        <v>2.3555631035955624E-2</v>
      </c>
      <c r="I13" s="224">
        <v>1.0542942003332E-3</v>
      </c>
      <c r="J13" s="224">
        <v>7.3817762399077278E-3</v>
      </c>
      <c r="K13" s="224">
        <v>1.0826717305990744E-2</v>
      </c>
      <c r="L13" s="224">
        <v>2.1992840597102232E-2</v>
      </c>
      <c r="M13" s="224">
        <v>1.3952910827803127E-2</v>
      </c>
      <c r="N13" s="224">
        <v>1.0367155639212991E-2</v>
      </c>
      <c r="O13" s="224">
        <v>5.7846285296914409E-3</v>
      </c>
      <c r="P13" s="224">
        <v>1.2427335152021379E-2</v>
      </c>
      <c r="Q13" s="224">
        <v>1.2308676912615472E-2</v>
      </c>
      <c r="R13" s="224">
        <v>7.6385652773261715E-3</v>
      </c>
      <c r="S13" s="224">
        <v>2.7279862738741761E-2</v>
      </c>
      <c r="T13" s="224">
        <v>2.254537971942755E-2</v>
      </c>
      <c r="U13" s="224">
        <v>0</v>
      </c>
      <c r="V13" s="224">
        <v>1.5003159137426258E-2</v>
      </c>
      <c r="W13" s="224">
        <v>1.6924367248696996E-2</v>
      </c>
      <c r="X13" s="224">
        <v>6.00061989589506E-3</v>
      </c>
      <c r="Y13" s="224">
        <v>4.3060922170092128E-3</v>
      </c>
      <c r="Z13" s="224">
        <v>4.2605917141378975E-3</v>
      </c>
      <c r="AA13" s="224">
        <v>2.6856676545381161E-3</v>
      </c>
      <c r="AB13" s="224">
        <v>1.2320328542094455E-2</v>
      </c>
      <c r="AC13" s="224">
        <v>1.3384182042949267E-2</v>
      </c>
      <c r="AD13" s="224">
        <v>3.2854209445585215E-3</v>
      </c>
      <c r="AE13" s="224">
        <v>9.5857778956797302E-3</v>
      </c>
      <c r="AF13" s="224">
        <v>1.0489507214912637E-2</v>
      </c>
      <c r="AG13" s="224">
        <v>1.5182062224289894E-2</v>
      </c>
      <c r="AH13" s="224">
        <v>1.399292222246247E-2</v>
      </c>
      <c r="AI13" s="224">
        <v>9.5266309987637621E-3</v>
      </c>
      <c r="AJ13" s="224">
        <v>2.8778304857940955E-2</v>
      </c>
      <c r="AK13" s="224">
        <v>7.1367890977084986E-3</v>
      </c>
      <c r="AL13" s="224">
        <v>7.4156290343144748E-3</v>
      </c>
      <c r="AM13" s="224">
        <v>2.0533880903490759E-4</v>
      </c>
      <c r="AN13" s="224">
        <v>1.1522537381156248E-2</v>
      </c>
      <c r="AO13" s="224">
        <v>1.3741792640929951E-2</v>
      </c>
      <c r="AP13" s="224">
        <v>3.9816755575687373E-3</v>
      </c>
      <c r="AQ13" s="224">
        <v>7.1560920410470592E-3</v>
      </c>
      <c r="AR13" s="224">
        <v>1.6593403731928167E-2</v>
      </c>
      <c r="AS13" s="224">
        <v>2.8652992801460452E-2</v>
      </c>
      <c r="AT13" s="224">
        <v>1.07362183512068E-2</v>
      </c>
      <c r="AU13" s="224">
        <v>1.6778523489932886E-3</v>
      </c>
      <c r="AV13" s="224">
        <v>1.2906908793825953E-2</v>
      </c>
      <c r="AW13" s="224">
        <v>1.2531935386787946E-2</v>
      </c>
      <c r="AX13" s="224">
        <v>1.1411962599616637E-2</v>
      </c>
      <c r="AY13" s="224">
        <v>2.1048125594803936E-2</v>
      </c>
      <c r="AZ13" s="224">
        <v>1.2810449778829313E-2</v>
      </c>
      <c r="BA13" s="224">
        <v>1.6927148617965377E-3</v>
      </c>
      <c r="BB13" s="224">
        <v>1.0361611065942905E-2</v>
      </c>
      <c r="BC13" s="224">
        <v>3.4241688757726471E-2</v>
      </c>
      <c r="BD13" s="224">
        <v>4.849671658157205E-2</v>
      </c>
      <c r="BE13" s="224">
        <v>4.6878365286875917E-2</v>
      </c>
      <c r="BF13" s="224">
        <v>1.3393889276662541E-2</v>
      </c>
      <c r="BG13" s="224">
        <v>1.1528152121007589E-2</v>
      </c>
      <c r="BH13" s="224">
        <v>1.5938774500346704E-2</v>
      </c>
      <c r="BI13" s="224">
        <v>7.8233166175457509E-3</v>
      </c>
      <c r="BJ13" s="224">
        <v>1.0376420908814287E-2</v>
      </c>
      <c r="BK13" s="224">
        <v>8.9348505925505796E-4</v>
      </c>
      <c r="BL13" s="224">
        <v>6.742945463632603E-3</v>
      </c>
      <c r="BM13" s="224">
        <v>1.2199568087899312E-2</v>
      </c>
      <c r="BN13" s="224">
        <v>4.1256663041976272E-3</v>
      </c>
      <c r="BO13" s="224">
        <v>1.065111287233363E-2</v>
      </c>
      <c r="BP13" s="224">
        <v>5.7418279203592434E-3</v>
      </c>
      <c r="BQ13" s="224">
        <v>4.6643868429181654E-3</v>
      </c>
      <c r="BR13" s="224">
        <v>4.1256663041976272E-3</v>
      </c>
      <c r="BS13" s="224">
        <v>4.9337471122784344E-3</v>
      </c>
      <c r="BT13" s="224">
        <v>0</v>
      </c>
      <c r="BU13" s="224">
        <v>1.4440050261553899E-2</v>
      </c>
      <c r="BV13" s="224">
        <v>5.7456506875101388E-3</v>
      </c>
      <c r="BW13" s="224">
        <v>5.7935620235386696E-3</v>
      </c>
      <c r="BX13" s="224">
        <v>1.7756147421214688E-2</v>
      </c>
      <c r="BY13" s="224">
        <v>6.7525297621498989E-3</v>
      </c>
      <c r="BZ13" s="224">
        <v>1.3827696846565481E-2</v>
      </c>
      <c r="CA13" s="224">
        <v>1.1207974184153389E-2</v>
      </c>
      <c r="CB13" s="224">
        <v>5.7151665102537757E-3</v>
      </c>
      <c r="CC13" s="224">
        <v>7.3222891912019597E-3</v>
      </c>
      <c r="CD13" s="224">
        <v>4.7724055674928326E-3</v>
      </c>
      <c r="CE13" s="224">
        <v>1.845444059976932E-3</v>
      </c>
      <c r="CF13" s="224">
        <v>1.0179157652097266E-2</v>
      </c>
      <c r="CG13" s="224">
        <v>1.4454800260344188E-3</v>
      </c>
      <c r="CH13" s="224">
        <v>0</v>
      </c>
      <c r="CI13" s="224">
        <v>0</v>
      </c>
      <c r="CJ13" s="224">
        <v>0</v>
      </c>
      <c r="CK13" s="224">
        <v>0</v>
      </c>
      <c r="CL13" s="224">
        <v>0</v>
      </c>
      <c r="CM13" s="224">
        <v>0</v>
      </c>
      <c r="CN13" s="224">
        <v>0</v>
      </c>
      <c r="CO13" s="224">
        <v>0</v>
      </c>
      <c r="CP13" s="224">
        <v>0</v>
      </c>
      <c r="CQ13" s="224">
        <v>0</v>
      </c>
      <c r="CR13" s="224">
        <v>0</v>
      </c>
      <c r="CS13" s="224">
        <v>0</v>
      </c>
      <c r="CT13" s="224">
        <v>0</v>
      </c>
      <c r="CU13" s="224">
        <v>0</v>
      </c>
      <c r="CV13" s="224">
        <v>0</v>
      </c>
      <c r="CW13" s="224">
        <v>0</v>
      </c>
      <c r="CX13" s="224">
        <v>0</v>
      </c>
      <c r="CY13" s="224">
        <v>0</v>
      </c>
      <c r="CZ13" s="224">
        <v>0</v>
      </c>
      <c r="DA13" s="224">
        <v>0</v>
      </c>
      <c r="DB13" s="224">
        <v>0</v>
      </c>
      <c r="DC13" s="224">
        <v>0</v>
      </c>
      <c r="DD13" s="224">
        <v>0</v>
      </c>
      <c r="DE13" s="224">
        <v>0</v>
      </c>
      <c r="DF13" s="224">
        <v>0</v>
      </c>
      <c r="DG13" s="224">
        <v>0</v>
      </c>
      <c r="DH13" s="224">
        <v>0</v>
      </c>
      <c r="DI13" s="224">
        <v>0</v>
      </c>
      <c r="DJ13" s="224">
        <v>0</v>
      </c>
      <c r="DK13" s="224">
        <v>0</v>
      </c>
      <c r="DL13" s="224">
        <v>0</v>
      </c>
      <c r="DM13" s="224">
        <v>0</v>
      </c>
      <c r="DN13" s="224">
        <v>0</v>
      </c>
      <c r="DO13" s="224">
        <v>0</v>
      </c>
      <c r="DP13" s="224">
        <v>0</v>
      </c>
      <c r="DQ13" s="224">
        <f t="shared" si="0"/>
        <v>1.0000000000000002</v>
      </c>
    </row>
    <row r="14" spans="1:121" x14ac:dyDescent="0.3">
      <c r="A14" s="223" t="s">
        <v>1105</v>
      </c>
      <c r="B14" s="223" t="s">
        <v>1085</v>
      </c>
      <c r="C14" s="223" t="s">
        <v>1095</v>
      </c>
      <c r="D14" s="223" t="s">
        <v>21</v>
      </c>
      <c r="E14" s="223" t="s">
        <v>27</v>
      </c>
      <c r="F14" s="224">
        <v>0.30843632455668996</v>
      </c>
      <c r="G14" s="224">
        <v>3.5823034210997674E-2</v>
      </c>
      <c r="H14" s="224">
        <v>1.2538061973849185E-2</v>
      </c>
      <c r="I14" s="224">
        <v>0</v>
      </c>
      <c r="J14" s="224">
        <v>0</v>
      </c>
      <c r="K14" s="224">
        <v>1.5762135052838976E-2</v>
      </c>
      <c r="L14" s="224">
        <v>4.2987641053197204E-2</v>
      </c>
      <c r="M14" s="224">
        <v>0</v>
      </c>
      <c r="N14" s="224">
        <v>0</v>
      </c>
      <c r="O14" s="224">
        <v>8.5975282106394418E-3</v>
      </c>
      <c r="P14" s="224">
        <v>1.4329213684399069E-2</v>
      </c>
      <c r="Q14" s="224">
        <v>1.0746910263299301E-2</v>
      </c>
      <c r="R14" s="224">
        <v>5.7316854737596273E-3</v>
      </c>
      <c r="S14" s="224">
        <v>1.5583019881783988E-2</v>
      </c>
      <c r="T14" s="224">
        <v>1.8627977789718791E-2</v>
      </c>
      <c r="U14" s="224">
        <v>0</v>
      </c>
      <c r="V14" s="224">
        <v>5.7316854737596273E-3</v>
      </c>
      <c r="W14" s="224">
        <v>3.5823034210997673E-3</v>
      </c>
      <c r="X14" s="224">
        <v>3.5823034210997673E-3</v>
      </c>
      <c r="Y14" s="224">
        <v>8.5975282106394418E-3</v>
      </c>
      <c r="Z14" s="224">
        <v>0</v>
      </c>
      <c r="AA14" s="224">
        <v>0</v>
      </c>
      <c r="AB14" s="224">
        <v>0</v>
      </c>
      <c r="AC14" s="224">
        <v>0</v>
      </c>
      <c r="AD14" s="224">
        <v>0</v>
      </c>
      <c r="AE14" s="224">
        <v>1.5762135052838976E-2</v>
      </c>
      <c r="AF14" s="224">
        <v>5.7316854737596273E-3</v>
      </c>
      <c r="AG14" s="224">
        <v>0</v>
      </c>
      <c r="AH14" s="224">
        <v>1.4329213684399069E-2</v>
      </c>
      <c r="AI14" s="224">
        <v>7.1646068421995345E-3</v>
      </c>
      <c r="AJ14" s="224">
        <v>4.2987641053197204E-2</v>
      </c>
      <c r="AK14" s="224">
        <v>0</v>
      </c>
      <c r="AL14" s="224">
        <v>0</v>
      </c>
      <c r="AM14" s="224">
        <v>0</v>
      </c>
      <c r="AN14" s="224">
        <v>0</v>
      </c>
      <c r="AO14" s="224">
        <v>0</v>
      </c>
      <c r="AP14" s="224">
        <v>1.4329213684399069E-2</v>
      </c>
      <c r="AQ14" s="224">
        <v>0</v>
      </c>
      <c r="AR14" s="224">
        <v>1.4329213684399069E-2</v>
      </c>
      <c r="AS14" s="224">
        <v>1.4329213684399069E-2</v>
      </c>
      <c r="AT14" s="224">
        <v>7.1646068421995345E-3</v>
      </c>
      <c r="AU14" s="224">
        <v>0</v>
      </c>
      <c r="AV14" s="224">
        <v>1.4329213684399069E-2</v>
      </c>
      <c r="AW14" s="224">
        <v>7.1646068421995345E-3</v>
      </c>
      <c r="AX14" s="224">
        <v>7.1646068421995345E-3</v>
      </c>
      <c r="AY14" s="224">
        <v>1.2179831631739208E-2</v>
      </c>
      <c r="AZ14" s="224">
        <v>0</v>
      </c>
      <c r="BA14" s="224">
        <v>0</v>
      </c>
      <c r="BB14" s="224">
        <v>0</v>
      </c>
      <c r="BC14" s="224">
        <v>2.8658427368798138E-2</v>
      </c>
      <c r="BD14" s="224">
        <v>0</v>
      </c>
      <c r="BE14" s="224">
        <v>0</v>
      </c>
      <c r="BF14" s="224">
        <v>0</v>
      </c>
      <c r="BG14" s="224">
        <v>0</v>
      </c>
      <c r="BH14" s="224">
        <v>0</v>
      </c>
      <c r="BI14" s="224">
        <v>0</v>
      </c>
      <c r="BJ14" s="224">
        <v>0</v>
      </c>
      <c r="BK14" s="224">
        <v>5.7316854737596273E-3</v>
      </c>
      <c r="BL14" s="224">
        <v>0</v>
      </c>
      <c r="BM14" s="224">
        <v>1.7195056421278884E-2</v>
      </c>
      <c r="BN14" s="224">
        <v>8.5975282106394418E-3</v>
      </c>
      <c r="BO14" s="224">
        <v>1.4329213684399069E-2</v>
      </c>
      <c r="BP14" s="224">
        <v>1.2896292315959162E-2</v>
      </c>
      <c r="BQ14" s="224">
        <v>8.5975282106394418E-3</v>
      </c>
      <c r="BR14" s="224">
        <v>0</v>
      </c>
      <c r="BS14" s="224">
        <v>5.7316854737596273E-3</v>
      </c>
      <c r="BT14" s="224">
        <v>0</v>
      </c>
      <c r="BU14" s="224">
        <v>0</v>
      </c>
      <c r="BV14" s="224">
        <v>2.1493820526598602E-2</v>
      </c>
      <c r="BW14" s="224">
        <v>0</v>
      </c>
      <c r="BX14" s="224">
        <v>3.5823034210997674E-2</v>
      </c>
      <c r="BY14" s="224">
        <v>2.0060899158158695E-2</v>
      </c>
      <c r="BZ14" s="224">
        <v>4.2987641053197204E-2</v>
      </c>
      <c r="CA14" s="224">
        <v>2.8658427368798138E-2</v>
      </c>
      <c r="CB14" s="224">
        <v>2.1493820526598602E-2</v>
      </c>
      <c r="CC14" s="224">
        <v>0</v>
      </c>
      <c r="CD14" s="224">
        <v>2.5792584631918324E-2</v>
      </c>
      <c r="CE14" s="224">
        <v>0</v>
      </c>
      <c r="CF14" s="224">
        <v>0</v>
      </c>
      <c r="CG14" s="224">
        <v>1.4329213684399069E-2</v>
      </c>
      <c r="CH14" s="224">
        <v>0</v>
      </c>
      <c r="CI14" s="224">
        <v>0</v>
      </c>
      <c r="CJ14" s="224">
        <v>0</v>
      </c>
      <c r="CK14" s="224">
        <v>0</v>
      </c>
      <c r="CL14" s="224">
        <v>0</v>
      </c>
      <c r="CM14" s="224">
        <v>0</v>
      </c>
      <c r="CN14" s="224">
        <v>0</v>
      </c>
      <c r="CO14" s="224">
        <v>0</v>
      </c>
      <c r="CP14" s="224">
        <v>0</v>
      </c>
      <c r="CQ14" s="224">
        <v>0</v>
      </c>
      <c r="CR14" s="224">
        <v>0</v>
      </c>
      <c r="CS14" s="224">
        <v>0</v>
      </c>
      <c r="CT14" s="224">
        <v>0</v>
      </c>
      <c r="CU14" s="224">
        <v>0</v>
      </c>
      <c r="CV14" s="224">
        <v>0</v>
      </c>
      <c r="CW14" s="224">
        <v>0</v>
      </c>
      <c r="CX14" s="224">
        <v>0</v>
      </c>
      <c r="CY14" s="224">
        <v>0</v>
      </c>
      <c r="CZ14" s="224">
        <v>0</v>
      </c>
      <c r="DA14" s="224">
        <v>0</v>
      </c>
      <c r="DB14" s="224">
        <v>0</v>
      </c>
      <c r="DC14" s="224">
        <v>0</v>
      </c>
      <c r="DD14" s="224">
        <v>0</v>
      </c>
      <c r="DE14" s="224">
        <v>0</v>
      </c>
      <c r="DF14" s="224">
        <v>0</v>
      </c>
      <c r="DG14" s="224">
        <v>0</v>
      </c>
      <c r="DH14" s="224">
        <v>0</v>
      </c>
      <c r="DI14" s="224">
        <v>0</v>
      </c>
      <c r="DJ14" s="224">
        <v>0</v>
      </c>
      <c r="DK14" s="224">
        <v>0</v>
      </c>
      <c r="DL14" s="224">
        <v>0</v>
      </c>
      <c r="DM14" s="224">
        <v>0</v>
      </c>
      <c r="DN14" s="224">
        <v>0</v>
      </c>
      <c r="DO14" s="224">
        <v>0</v>
      </c>
      <c r="DP14" s="224">
        <v>0</v>
      </c>
      <c r="DQ14" s="224">
        <f t="shared" si="0"/>
        <v>0.99999999999999989</v>
      </c>
    </row>
    <row r="15" spans="1:121" x14ac:dyDescent="0.3">
      <c r="A15" s="223" t="s">
        <v>1106</v>
      </c>
      <c r="B15" s="223" t="s">
        <v>1085</v>
      </c>
      <c r="C15" s="223" t="s">
        <v>1086</v>
      </c>
      <c r="D15" s="223" t="s">
        <v>21</v>
      </c>
      <c r="E15" s="223" t="s">
        <v>27</v>
      </c>
      <c r="F15" s="224">
        <v>0.14775157855754636</v>
      </c>
      <c r="G15" s="224">
        <v>2.0942147963409E-2</v>
      </c>
      <c r="H15" s="224">
        <v>1.6010399381711282E-2</v>
      </c>
      <c r="I15" s="224">
        <v>4.058712121212121E-3</v>
      </c>
      <c r="J15" s="224">
        <v>3.5457366981215661E-2</v>
      </c>
      <c r="K15" s="224">
        <v>3.603034516701673E-3</v>
      </c>
      <c r="L15" s="224">
        <v>1.4524754018773497E-2</v>
      </c>
      <c r="M15" s="224">
        <v>4.8118989049453428E-3</v>
      </c>
      <c r="N15" s="224">
        <v>3.786503736160185E-3</v>
      </c>
      <c r="O15" s="224">
        <v>7.9408272313477146E-3</v>
      </c>
      <c r="P15" s="224">
        <v>8.4100231455690108E-3</v>
      </c>
      <c r="Q15" s="224">
        <v>1.266072256431054E-2</v>
      </c>
      <c r="R15" s="224">
        <v>2.8959436728314691E-3</v>
      </c>
      <c r="S15" s="224">
        <v>1.1162425376995343E-2</v>
      </c>
      <c r="T15" s="224">
        <v>2.1097380830638671E-2</v>
      </c>
      <c r="U15" s="224">
        <v>1.2995451591942819E-3</v>
      </c>
      <c r="V15" s="224">
        <v>6.2821408627281401E-3</v>
      </c>
      <c r="W15" s="224">
        <v>7.7825596750234621E-3</v>
      </c>
      <c r="X15" s="224">
        <v>1.0091370257098841E-2</v>
      </c>
      <c r="Y15" s="224">
        <v>3.2488628979857048E-3</v>
      </c>
      <c r="Z15" s="224">
        <v>0</v>
      </c>
      <c r="AA15" s="224">
        <v>0</v>
      </c>
      <c r="AB15" s="224">
        <v>0</v>
      </c>
      <c r="AC15" s="224">
        <v>2.4648437500000002E-2</v>
      </c>
      <c r="AD15" s="224">
        <v>2.105587121212121E-3</v>
      </c>
      <c r="AE15" s="224">
        <v>6.8828711259181817E-3</v>
      </c>
      <c r="AF15" s="224">
        <v>4.0429933237980439E-3</v>
      </c>
      <c r="AG15" s="224">
        <v>1.3831758505304227E-2</v>
      </c>
      <c r="AH15" s="224">
        <v>4.2528070962988135E-3</v>
      </c>
      <c r="AI15" s="224">
        <v>1.3156333439044269E-2</v>
      </c>
      <c r="AJ15" s="224">
        <v>5.2860993153665714E-2</v>
      </c>
      <c r="AK15" s="224">
        <v>6.9818055505580243E-3</v>
      </c>
      <c r="AL15" s="224">
        <v>6.6552308784460475E-3</v>
      </c>
      <c r="AM15" s="224">
        <v>0</v>
      </c>
      <c r="AN15" s="224">
        <v>8.1123478941461397E-3</v>
      </c>
      <c r="AO15" s="224">
        <v>1.2659420090225429E-2</v>
      </c>
      <c r="AP15" s="224">
        <v>1.6997730402431199E-2</v>
      </c>
      <c r="AQ15" s="224">
        <v>8.3333811364729674E-3</v>
      </c>
      <c r="AR15" s="224">
        <v>1.4840185337697563E-2</v>
      </c>
      <c r="AS15" s="224">
        <v>2.5266217848397513E-2</v>
      </c>
      <c r="AT15" s="224">
        <v>9.6955657845083001E-3</v>
      </c>
      <c r="AU15" s="224">
        <v>6.5104166666666663E-4</v>
      </c>
      <c r="AV15" s="224">
        <v>1.037907843225739E-2</v>
      </c>
      <c r="AW15" s="224">
        <v>1.1164113759308749E-2</v>
      </c>
      <c r="AX15" s="224">
        <v>1.2904886812668928E-2</v>
      </c>
      <c r="AY15" s="224">
        <v>9.8790350039668125E-3</v>
      </c>
      <c r="AZ15" s="224">
        <v>4.592545698178024E-3</v>
      </c>
      <c r="BA15" s="224">
        <v>1.9790223629527013E-3</v>
      </c>
      <c r="BB15" s="224">
        <v>2.105587121212121E-3</v>
      </c>
      <c r="BC15" s="224">
        <v>4.1996730796364512E-2</v>
      </c>
      <c r="BD15" s="224">
        <v>4.4943534453738623E-2</v>
      </c>
      <c r="BE15" s="224">
        <v>0</v>
      </c>
      <c r="BF15" s="224">
        <v>8.7918250979045591E-3</v>
      </c>
      <c r="BG15" s="224">
        <v>0</v>
      </c>
      <c r="BH15" s="224">
        <v>0</v>
      </c>
      <c r="BI15" s="224">
        <v>0</v>
      </c>
      <c r="BJ15" s="224">
        <v>0</v>
      </c>
      <c r="BK15" s="224">
        <v>4.9896359513458832E-3</v>
      </c>
      <c r="BL15" s="224">
        <v>9.2931876937880405E-3</v>
      </c>
      <c r="BM15" s="224">
        <v>1.4721513365160768E-2</v>
      </c>
      <c r="BN15" s="224">
        <v>1.1390915416293123E-2</v>
      </c>
      <c r="BO15" s="224">
        <v>1.3230639587800935E-2</v>
      </c>
      <c r="BP15" s="224">
        <v>1.1928556254467601E-2</v>
      </c>
      <c r="BQ15" s="224">
        <v>1.0147436127810171E-2</v>
      </c>
      <c r="BR15" s="224">
        <v>8.2958171136046505E-3</v>
      </c>
      <c r="BS15" s="224">
        <v>1.4179820389487827E-2</v>
      </c>
      <c r="BT15" s="224">
        <v>0</v>
      </c>
      <c r="BU15" s="224">
        <v>1.7802762641030184E-2</v>
      </c>
      <c r="BV15" s="224">
        <v>5.6566992875548717E-3</v>
      </c>
      <c r="BW15" s="224">
        <v>8.9430348255549463E-3</v>
      </c>
      <c r="BX15" s="224">
        <v>1.6550403975070817E-2</v>
      </c>
      <c r="BY15" s="224">
        <v>1.4032874288610197E-2</v>
      </c>
      <c r="BZ15" s="224">
        <v>1.9022493546448287E-2</v>
      </c>
      <c r="CA15" s="224">
        <v>1.5289517506860381E-2</v>
      </c>
      <c r="CB15" s="224">
        <v>1.5090346183495586E-2</v>
      </c>
      <c r="CC15" s="224">
        <v>1.1501761377138466E-2</v>
      </c>
      <c r="CD15" s="224">
        <v>1.375619447081592E-2</v>
      </c>
      <c r="CE15" s="224">
        <v>0</v>
      </c>
      <c r="CF15" s="224">
        <v>3.6509124505286789E-2</v>
      </c>
      <c r="CG15" s="224">
        <v>3.1380002436325696E-3</v>
      </c>
      <c r="CH15" s="224">
        <v>0</v>
      </c>
      <c r="CI15" s="224">
        <v>0</v>
      </c>
      <c r="CJ15" s="224">
        <v>0</v>
      </c>
      <c r="CK15" s="224">
        <v>0</v>
      </c>
      <c r="CL15" s="224">
        <v>0</v>
      </c>
      <c r="CM15" s="224">
        <v>0</v>
      </c>
      <c r="CN15" s="224">
        <v>0</v>
      </c>
      <c r="CO15" s="224">
        <v>0</v>
      </c>
      <c r="CP15" s="224">
        <v>0</v>
      </c>
      <c r="CQ15" s="224">
        <v>0</v>
      </c>
      <c r="CR15" s="224">
        <v>0</v>
      </c>
      <c r="CS15" s="224">
        <v>0</v>
      </c>
      <c r="CT15" s="224">
        <v>0</v>
      </c>
      <c r="CU15" s="224">
        <v>0</v>
      </c>
      <c r="CV15" s="224">
        <v>0</v>
      </c>
      <c r="CW15" s="224">
        <v>0</v>
      </c>
      <c r="CX15" s="224">
        <v>0</v>
      </c>
      <c r="CY15" s="224">
        <v>0</v>
      </c>
      <c r="CZ15" s="224">
        <v>0</v>
      </c>
      <c r="DA15" s="224">
        <v>0</v>
      </c>
      <c r="DB15" s="224">
        <v>0</v>
      </c>
      <c r="DC15" s="224">
        <v>0</v>
      </c>
      <c r="DD15" s="224">
        <v>0</v>
      </c>
      <c r="DE15" s="224">
        <v>0</v>
      </c>
      <c r="DF15" s="224">
        <v>0</v>
      </c>
      <c r="DG15" s="224">
        <v>0</v>
      </c>
      <c r="DH15" s="224">
        <v>0</v>
      </c>
      <c r="DI15" s="224">
        <v>0</v>
      </c>
      <c r="DJ15" s="224">
        <v>0</v>
      </c>
      <c r="DK15" s="224">
        <v>0</v>
      </c>
      <c r="DL15" s="224">
        <v>0</v>
      </c>
      <c r="DM15" s="224">
        <v>0</v>
      </c>
      <c r="DN15" s="224">
        <v>0</v>
      </c>
      <c r="DO15" s="224">
        <v>0</v>
      </c>
      <c r="DP15" s="224">
        <v>0</v>
      </c>
      <c r="DQ15" s="224">
        <f t="shared" si="0"/>
        <v>0.99999999999999978</v>
      </c>
    </row>
    <row r="16" spans="1:121" x14ac:dyDescent="0.3">
      <c r="A16" s="223" t="s">
        <v>1107</v>
      </c>
      <c r="B16" s="223" t="s">
        <v>1085</v>
      </c>
      <c r="C16" s="223" t="s">
        <v>1086</v>
      </c>
      <c r="D16" s="223" t="s">
        <v>1087</v>
      </c>
      <c r="E16" s="223" t="s">
        <v>1093</v>
      </c>
      <c r="F16" s="224">
        <v>0.14953604568165596</v>
      </c>
      <c r="G16" s="224">
        <v>4.4254104211277658E-2</v>
      </c>
      <c r="H16" s="224">
        <v>8.9221984296930772E-3</v>
      </c>
      <c r="I16" s="224">
        <v>7.1377587437544609E-3</v>
      </c>
      <c r="J16" s="224">
        <v>2.3554603854389723E-2</v>
      </c>
      <c r="K16" s="224">
        <v>5.7102069950035689E-3</v>
      </c>
      <c r="L16" s="224">
        <v>1.3561741613133477E-2</v>
      </c>
      <c r="M16" s="224">
        <v>5.7102069950035689E-3</v>
      </c>
      <c r="N16" s="224">
        <v>2.569593147751606E-2</v>
      </c>
      <c r="O16" s="224">
        <v>0</v>
      </c>
      <c r="P16" s="224">
        <v>5.7102069950035689E-3</v>
      </c>
      <c r="Q16" s="224">
        <v>3.5688793718772305E-3</v>
      </c>
      <c r="R16" s="224">
        <v>2.1413276231263384E-3</v>
      </c>
      <c r="S16" s="224">
        <v>3.8543897216274089E-2</v>
      </c>
      <c r="T16" s="224">
        <v>9.2790863668807989E-3</v>
      </c>
      <c r="U16" s="224">
        <v>0</v>
      </c>
      <c r="V16" s="224">
        <v>5.7102069950035689E-3</v>
      </c>
      <c r="W16" s="224">
        <v>2.8551034975017845E-3</v>
      </c>
      <c r="X16" s="224">
        <v>7.1377587437544609E-3</v>
      </c>
      <c r="Y16" s="224">
        <v>5.7102069950035689E-3</v>
      </c>
      <c r="Z16" s="224">
        <v>5.7102069950035689E-3</v>
      </c>
      <c r="AA16" s="224">
        <v>0</v>
      </c>
      <c r="AB16" s="224">
        <v>0</v>
      </c>
      <c r="AC16" s="224">
        <v>0</v>
      </c>
      <c r="AD16" s="224">
        <v>5.7102069950035689E-3</v>
      </c>
      <c r="AE16" s="224">
        <v>1.1420413990007138E-2</v>
      </c>
      <c r="AF16" s="224">
        <v>7.1377587437544611E-4</v>
      </c>
      <c r="AG16" s="224">
        <v>5.7102069950035689E-3</v>
      </c>
      <c r="AH16" s="224">
        <v>2.8551034975017845E-3</v>
      </c>
      <c r="AI16" s="224">
        <v>8.5653104925053538E-3</v>
      </c>
      <c r="AJ16" s="224">
        <v>3.8900785153461813E-2</v>
      </c>
      <c r="AK16" s="224">
        <v>1.4275517487508922E-3</v>
      </c>
      <c r="AL16" s="224">
        <v>1.4275517487508922E-3</v>
      </c>
      <c r="AM16" s="224">
        <v>0</v>
      </c>
      <c r="AN16" s="224">
        <v>8.5653104925053538E-3</v>
      </c>
      <c r="AO16" s="224">
        <v>3.9257673090649536E-2</v>
      </c>
      <c r="AP16" s="224">
        <v>2.8551034975017845E-3</v>
      </c>
      <c r="AQ16" s="224">
        <v>1.4275517487508922E-3</v>
      </c>
      <c r="AR16" s="224">
        <v>4.6038543897216275E-2</v>
      </c>
      <c r="AS16" s="224">
        <v>3.5688793718772305E-3</v>
      </c>
      <c r="AT16" s="224">
        <v>5.7102069950035689E-3</v>
      </c>
      <c r="AU16" s="224">
        <v>1.4275517487508922E-3</v>
      </c>
      <c r="AV16" s="224">
        <v>1.4275517487508922E-2</v>
      </c>
      <c r="AW16" s="224">
        <v>9.9928622412562458E-3</v>
      </c>
      <c r="AX16" s="224">
        <v>4.2826552462526769E-3</v>
      </c>
      <c r="AY16" s="224">
        <v>2.8551034975017845E-3</v>
      </c>
      <c r="AZ16" s="224">
        <v>1.4275517487508922E-3</v>
      </c>
      <c r="BA16" s="224">
        <v>0</v>
      </c>
      <c r="BB16" s="224">
        <v>0</v>
      </c>
      <c r="BC16" s="224">
        <v>2.7123483226266953E-2</v>
      </c>
      <c r="BD16" s="224">
        <v>1.6416845110635261E-2</v>
      </c>
      <c r="BE16" s="224">
        <v>1.7844396859386154E-2</v>
      </c>
      <c r="BF16" s="224">
        <v>5.7102069950035689E-3</v>
      </c>
      <c r="BG16" s="224">
        <v>1.3561741613133477E-2</v>
      </c>
      <c r="BH16" s="224">
        <v>2.569593147751606E-2</v>
      </c>
      <c r="BI16" s="224">
        <v>8.5653104925053538E-3</v>
      </c>
      <c r="BJ16" s="224">
        <v>1.4275517487508922E-3</v>
      </c>
      <c r="BK16" s="224">
        <v>9.9928622412562458E-3</v>
      </c>
      <c r="BL16" s="224">
        <v>5.7102069950035689E-3</v>
      </c>
      <c r="BM16" s="224">
        <v>1.2134189864382585E-2</v>
      </c>
      <c r="BN16" s="224">
        <v>1.0706638115631691E-2</v>
      </c>
      <c r="BO16" s="224">
        <v>1.7130620985010708E-2</v>
      </c>
      <c r="BP16" s="224">
        <v>1.7130620985010708E-2</v>
      </c>
      <c r="BQ16" s="224">
        <v>1.2134189864382585E-2</v>
      </c>
      <c r="BR16" s="224">
        <v>1.0706638115631691E-2</v>
      </c>
      <c r="BS16" s="224">
        <v>1.2134189864382585E-2</v>
      </c>
      <c r="BT16" s="224">
        <v>0</v>
      </c>
      <c r="BU16" s="224">
        <v>1.4275517487508922E-2</v>
      </c>
      <c r="BV16" s="224">
        <v>1.4275517487508922E-2</v>
      </c>
      <c r="BW16" s="224">
        <v>1.284796573875803E-2</v>
      </c>
      <c r="BX16" s="224">
        <v>1.0706638115631691E-2</v>
      </c>
      <c r="BY16" s="224">
        <v>1.2134189864382585E-2</v>
      </c>
      <c r="BZ16" s="224">
        <v>1.0706638115631691E-2</v>
      </c>
      <c r="CA16" s="224">
        <v>1.0706638115631691E-2</v>
      </c>
      <c r="CB16" s="224">
        <v>9.9928622412562458E-3</v>
      </c>
      <c r="CC16" s="224">
        <v>1.2134189864382585E-2</v>
      </c>
      <c r="CD16" s="224">
        <v>9.9928622412562458E-3</v>
      </c>
      <c r="CE16" s="224">
        <v>0</v>
      </c>
      <c r="CF16" s="224">
        <v>5.7102069950035687E-2</v>
      </c>
      <c r="CG16" s="224">
        <v>1.2134189864382585E-2</v>
      </c>
      <c r="CH16" s="224">
        <v>0</v>
      </c>
      <c r="CI16" s="224">
        <v>0</v>
      </c>
      <c r="CJ16" s="224">
        <v>0</v>
      </c>
      <c r="CK16" s="224">
        <v>0</v>
      </c>
      <c r="CL16" s="224">
        <v>0</v>
      </c>
      <c r="CM16" s="224">
        <v>0</v>
      </c>
      <c r="CN16" s="224">
        <v>0</v>
      </c>
      <c r="CO16" s="224">
        <v>0</v>
      </c>
      <c r="CP16" s="224">
        <v>0</v>
      </c>
      <c r="CQ16" s="224">
        <v>0</v>
      </c>
      <c r="CR16" s="224">
        <v>0</v>
      </c>
      <c r="CS16" s="224">
        <v>0</v>
      </c>
      <c r="CT16" s="224">
        <v>0</v>
      </c>
      <c r="CU16" s="224">
        <v>0</v>
      </c>
      <c r="CV16" s="224">
        <v>0</v>
      </c>
      <c r="CW16" s="224">
        <v>0</v>
      </c>
      <c r="CX16" s="224">
        <v>0</v>
      </c>
      <c r="CY16" s="224">
        <v>0</v>
      </c>
      <c r="CZ16" s="224">
        <v>0</v>
      </c>
      <c r="DA16" s="224">
        <v>0</v>
      </c>
      <c r="DB16" s="224">
        <v>0</v>
      </c>
      <c r="DC16" s="224">
        <v>0</v>
      </c>
      <c r="DD16" s="224">
        <v>0</v>
      </c>
      <c r="DE16" s="224">
        <v>0</v>
      </c>
      <c r="DF16" s="224">
        <v>0</v>
      </c>
      <c r="DG16" s="224">
        <v>0</v>
      </c>
      <c r="DH16" s="224">
        <v>0</v>
      </c>
      <c r="DI16" s="224">
        <v>0</v>
      </c>
      <c r="DJ16" s="224">
        <v>0</v>
      </c>
      <c r="DK16" s="224">
        <v>0</v>
      </c>
      <c r="DL16" s="224">
        <v>0</v>
      </c>
      <c r="DM16" s="224">
        <v>0</v>
      </c>
      <c r="DN16" s="224">
        <v>0</v>
      </c>
      <c r="DO16" s="224">
        <v>0</v>
      </c>
      <c r="DP16" s="224">
        <v>0</v>
      </c>
      <c r="DQ16" s="224">
        <f t="shared" si="0"/>
        <v>0.99999999999999989</v>
      </c>
    </row>
    <row r="17" spans="1:121" x14ac:dyDescent="0.3">
      <c r="A17" s="223" t="s">
        <v>1108</v>
      </c>
      <c r="B17" s="223" t="s">
        <v>1085</v>
      </c>
      <c r="C17" s="223" t="s">
        <v>1092</v>
      </c>
      <c r="D17" s="223" t="s">
        <v>21</v>
      </c>
      <c r="E17" s="223" t="s">
        <v>27</v>
      </c>
      <c r="F17" s="224">
        <v>0.31477476017663358</v>
      </c>
      <c r="G17" s="224">
        <v>2.7716762817271819E-2</v>
      </c>
      <c r="H17" s="224">
        <v>2.4454899700870537E-2</v>
      </c>
      <c r="I17" s="224">
        <v>6.6136199235300192E-3</v>
      </c>
      <c r="J17" s="224">
        <v>0</v>
      </c>
      <c r="K17" s="224">
        <v>7.5364279095861148E-3</v>
      </c>
      <c r="L17" s="224">
        <v>6.3051594408363963E-3</v>
      </c>
      <c r="M17" s="224">
        <v>1.7174753112924003E-3</v>
      </c>
      <c r="N17" s="224">
        <v>8.5873765564620013E-4</v>
      </c>
      <c r="O17" s="224">
        <v>3.3068099617650096E-3</v>
      </c>
      <c r="P17" s="224">
        <v>6.0977073426151593E-3</v>
      </c>
      <c r="Q17" s="224">
        <v>4.6589867756442055E-3</v>
      </c>
      <c r="R17" s="224">
        <v>8.5873765564620013E-4</v>
      </c>
      <c r="S17" s="224">
        <v>1.9988123916456019E-2</v>
      </c>
      <c r="T17" s="224">
        <v>1.8571876772166929E-2</v>
      </c>
      <c r="U17" s="224">
        <v>0</v>
      </c>
      <c r="V17" s="224">
        <v>5.915058093908558E-3</v>
      </c>
      <c r="W17" s="224">
        <v>2.1711278592216884E-2</v>
      </c>
      <c r="X17" s="224">
        <v>6.5911465008481555E-3</v>
      </c>
      <c r="Y17" s="224">
        <v>0</v>
      </c>
      <c r="Z17" s="224">
        <v>0</v>
      </c>
      <c r="AA17" s="224">
        <v>0</v>
      </c>
      <c r="AB17" s="224">
        <v>0</v>
      </c>
      <c r="AC17" s="224">
        <v>0</v>
      </c>
      <c r="AD17" s="224">
        <v>2.7908973808501501E-3</v>
      </c>
      <c r="AE17" s="224">
        <v>9.317973551288411E-3</v>
      </c>
      <c r="AF17" s="224">
        <v>6.3764620869366049E-3</v>
      </c>
      <c r="AG17" s="224">
        <v>1.275292417387321E-2</v>
      </c>
      <c r="AH17" s="224">
        <v>8.2445514817306598E-3</v>
      </c>
      <c r="AI17" s="224">
        <v>8.029867067819111E-3</v>
      </c>
      <c r="AJ17" s="224">
        <v>2.4905066982557653E-2</v>
      </c>
      <c r="AK17" s="224">
        <v>9.1898328904686192E-3</v>
      </c>
      <c r="AL17" s="224">
        <v>9.9845002157049265E-3</v>
      </c>
      <c r="AM17" s="224">
        <v>1.5027908973808501E-3</v>
      </c>
      <c r="AN17" s="224">
        <v>1.5566294977405226E-2</v>
      </c>
      <c r="AO17" s="224">
        <v>3.3599785745975427E-2</v>
      </c>
      <c r="AP17" s="224">
        <v>3.1129240017174751E-3</v>
      </c>
      <c r="AQ17" s="224">
        <v>4.2296179478211052E-3</v>
      </c>
      <c r="AR17" s="224">
        <v>9.317973551288411E-3</v>
      </c>
      <c r="AS17" s="224">
        <v>1.8270648605163614E-2</v>
      </c>
      <c r="AT17" s="224">
        <v>5.9470932591135055E-3</v>
      </c>
      <c r="AU17" s="224">
        <v>1.2881064834693002E-3</v>
      </c>
      <c r="AV17" s="224">
        <v>1.103544886258081E-2</v>
      </c>
      <c r="AW17" s="224">
        <v>1.3547591499109515E-2</v>
      </c>
      <c r="AX17" s="224">
        <v>5.3030400173788555E-3</v>
      </c>
      <c r="AY17" s="224">
        <v>1.1830116187817116E-2</v>
      </c>
      <c r="AZ17" s="224">
        <v>5.8830229287036104E-3</v>
      </c>
      <c r="BA17" s="224">
        <v>0</v>
      </c>
      <c r="BB17" s="224">
        <v>1.7174753112924003E-3</v>
      </c>
      <c r="BC17" s="224">
        <v>1.0971378532170915E-2</v>
      </c>
      <c r="BD17" s="224">
        <v>2.5656462431248077E-2</v>
      </c>
      <c r="BE17" s="224">
        <v>0</v>
      </c>
      <c r="BF17" s="224">
        <v>8.3951655652323154E-3</v>
      </c>
      <c r="BG17" s="224">
        <v>0</v>
      </c>
      <c r="BH17" s="224">
        <v>0</v>
      </c>
      <c r="BI17" s="224">
        <v>0</v>
      </c>
      <c r="BJ17" s="224">
        <v>0</v>
      </c>
      <c r="BK17" s="224">
        <v>3.3068099617650096E-3</v>
      </c>
      <c r="BL17" s="224">
        <v>1.1830116187817116E-2</v>
      </c>
      <c r="BM17" s="224">
        <v>1.2688853843463316E-2</v>
      </c>
      <c r="BN17" s="224">
        <v>8.4592358956422104E-3</v>
      </c>
      <c r="BO17" s="224">
        <v>1.0971378532170915E-2</v>
      </c>
      <c r="BP17" s="224">
        <v>1.1830116187817116E-2</v>
      </c>
      <c r="BQ17" s="224">
        <v>8.4592358956422104E-3</v>
      </c>
      <c r="BR17" s="224">
        <v>8.8886047234653098E-3</v>
      </c>
      <c r="BS17" s="224">
        <v>1.1894186518227011E-2</v>
      </c>
      <c r="BT17" s="224">
        <v>0</v>
      </c>
      <c r="BU17" s="224">
        <v>8.5873765564620005E-3</v>
      </c>
      <c r="BV17" s="224">
        <v>0</v>
      </c>
      <c r="BW17" s="224">
        <v>0</v>
      </c>
      <c r="BX17" s="224">
        <v>1.906531593039992E-2</v>
      </c>
      <c r="BY17" s="224">
        <v>1.5630365307815121E-2</v>
      </c>
      <c r="BZ17" s="224">
        <v>2.0504036497370877E-2</v>
      </c>
      <c r="CA17" s="224">
        <v>2.5012409189513429E-2</v>
      </c>
      <c r="CB17" s="224">
        <v>1.3547591499109515E-2</v>
      </c>
      <c r="CC17" s="224">
        <v>1.2903538257374865E-2</v>
      </c>
      <c r="CD17" s="224">
        <v>1.3547591499109515E-2</v>
      </c>
      <c r="CE17" s="224">
        <v>0</v>
      </c>
      <c r="CF17" s="224">
        <v>2.1468441391155002E-2</v>
      </c>
      <c r="CG17" s="224">
        <v>4.9602149426475148E-3</v>
      </c>
      <c r="CH17" s="224">
        <v>0</v>
      </c>
      <c r="CI17" s="224">
        <v>0</v>
      </c>
      <c r="CJ17" s="224">
        <v>0</v>
      </c>
      <c r="CK17" s="224">
        <v>0</v>
      </c>
      <c r="CL17" s="224">
        <v>0</v>
      </c>
      <c r="CM17" s="224">
        <v>0</v>
      </c>
      <c r="CN17" s="224">
        <v>0</v>
      </c>
      <c r="CO17" s="224">
        <v>0</v>
      </c>
      <c r="CP17" s="224">
        <v>0</v>
      </c>
      <c r="CQ17" s="224">
        <v>0</v>
      </c>
      <c r="CR17" s="224">
        <v>0</v>
      </c>
      <c r="CS17" s="224">
        <v>0</v>
      </c>
      <c r="CT17" s="224">
        <v>0</v>
      </c>
      <c r="CU17" s="224">
        <v>0</v>
      </c>
      <c r="CV17" s="224">
        <v>0</v>
      </c>
      <c r="CW17" s="224">
        <v>0</v>
      </c>
      <c r="CX17" s="224">
        <v>0</v>
      </c>
      <c r="CY17" s="224">
        <v>0</v>
      </c>
      <c r="CZ17" s="224">
        <v>0</v>
      </c>
      <c r="DA17" s="224">
        <v>0</v>
      </c>
      <c r="DB17" s="224">
        <v>0</v>
      </c>
      <c r="DC17" s="224">
        <v>0</v>
      </c>
      <c r="DD17" s="224">
        <v>0</v>
      </c>
      <c r="DE17" s="224">
        <v>0</v>
      </c>
      <c r="DF17" s="224">
        <v>0</v>
      </c>
      <c r="DG17" s="224">
        <v>0</v>
      </c>
      <c r="DH17" s="224">
        <v>0</v>
      </c>
      <c r="DI17" s="224">
        <v>0</v>
      </c>
      <c r="DJ17" s="224">
        <v>0</v>
      </c>
      <c r="DK17" s="224">
        <v>0</v>
      </c>
      <c r="DL17" s="224">
        <v>0</v>
      </c>
      <c r="DM17" s="224">
        <v>0</v>
      </c>
      <c r="DN17" s="224">
        <v>0</v>
      </c>
      <c r="DO17" s="224">
        <v>0</v>
      </c>
      <c r="DP17" s="224">
        <v>0</v>
      </c>
      <c r="DQ17" s="224">
        <f t="shared" si="0"/>
        <v>1.0000000000000004</v>
      </c>
    </row>
    <row r="18" spans="1:121" x14ac:dyDescent="0.3">
      <c r="A18" s="223" t="s">
        <v>1109</v>
      </c>
      <c r="B18" s="223" t="s">
        <v>1110</v>
      </c>
      <c r="C18" s="223" t="s">
        <v>1092</v>
      </c>
      <c r="D18" s="223" t="s">
        <v>1087</v>
      </c>
      <c r="E18" s="223" t="s">
        <v>27</v>
      </c>
      <c r="F18" s="224">
        <v>0.33184174286608825</v>
      </c>
      <c r="G18" s="224">
        <v>4.5814497130719667E-2</v>
      </c>
      <c r="H18" s="224">
        <v>6.3370951733953155E-3</v>
      </c>
      <c r="I18" s="224">
        <v>9.7901899954398871E-4</v>
      </c>
      <c r="J18" s="224">
        <v>2.3483365949119373E-3</v>
      </c>
      <c r="K18" s="224">
        <v>4.1439085360470973E-3</v>
      </c>
      <c r="L18" s="224">
        <v>8.4590912575363587E-3</v>
      </c>
      <c r="M18" s="224">
        <v>6.693404853351478E-3</v>
      </c>
      <c r="N18" s="224">
        <v>3.0401795668036725E-2</v>
      </c>
      <c r="O18" s="224">
        <v>1.165332691231062E-2</v>
      </c>
      <c r="P18" s="224">
        <v>6.0583091726058736E-3</v>
      </c>
      <c r="Q18" s="224">
        <v>7.059084060744002E-3</v>
      </c>
      <c r="R18" s="224">
        <v>4.2617777626180265E-3</v>
      </c>
      <c r="S18" s="224">
        <v>3.6639723936261934E-3</v>
      </c>
      <c r="T18" s="224">
        <v>3.8663619109197021E-3</v>
      </c>
      <c r="U18" s="224">
        <v>0</v>
      </c>
      <c r="V18" s="224">
        <v>5.1642963674546028E-3</v>
      </c>
      <c r="W18" s="224">
        <v>1.1512770811318889E-2</v>
      </c>
      <c r="X18" s="224">
        <v>4.0641085008273478E-3</v>
      </c>
      <c r="Y18" s="224">
        <v>7.5152835205851559E-3</v>
      </c>
      <c r="Z18" s="224">
        <v>5.3906234217335142E-3</v>
      </c>
      <c r="AA18" s="224">
        <v>2.5919159222826211E-3</v>
      </c>
      <c r="AB18" s="224">
        <v>2.2740407412703651E-3</v>
      </c>
      <c r="AC18" s="224">
        <v>2.1575672688064363E-2</v>
      </c>
      <c r="AD18" s="224">
        <v>1.9622835342448606E-3</v>
      </c>
      <c r="AE18" s="224">
        <v>3.3139154940206974E-3</v>
      </c>
      <c r="AF18" s="224">
        <v>3.5964712104760363E-3</v>
      </c>
      <c r="AG18" s="224">
        <v>6.6157646806425992E-3</v>
      </c>
      <c r="AH18" s="224">
        <v>8.0822715309193001E-3</v>
      </c>
      <c r="AI18" s="224">
        <v>5.7259931621093411E-3</v>
      </c>
      <c r="AJ18" s="224">
        <v>1.9245711302737098E-2</v>
      </c>
      <c r="AK18" s="224">
        <v>2.4250924193155773E-3</v>
      </c>
      <c r="AL18" s="224">
        <v>5.0748044716093857E-3</v>
      </c>
      <c r="AM18" s="224">
        <v>5.7011351997826899E-3</v>
      </c>
      <c r="AN18" s="224">
        <v>1.8130573575241206E-2</v>
      </c>
      <c r="AO18" s="224">
        <v>1.0000666402247217E-2</v>
      </c>
      <c r="AP18" s="224">
        <v>1.8604875307646166E-3</v>
      </c>
      <c r="AQ18" s="224">
        <v>3.5895724460031906E-3</v>
      </c>
      <c r="AR18" s="224">
        <v>9.760946244941688E-3</v>
      </c>
      <c r="AS18" s="224">
        <v>1.3857103909983357E-2</v>
      </c>
      <c r="AT18" s="224">
        <v>9.4927973125827573E-3</v>
      </c>
      <c r="AU18" s="224">
        <v>2.7273391041595673E-3</v>
      </c>
      <c r="AV18" s="224">
        <v>3.6208399978249622E-3</v>
      </c>
      <c r="AW18" s="224">
        <v>4.403618862795609E-3</v>
      </c>
      <c r="AX18" s="224">
        <v>8.2613625404288748E-3</v>
      </c>
      <c r="AY18" s="224">
        <v>7.6110519870546721E-3</v>
      </c>
      <c r="AZ18" s="224">
        <v>3.2795043528640678E-3</v>
      </c>
      <c r="BA18" s="224">
        <v>4.2421787986743368E-3</v>
      </c>
      <c r="BB18" s="224">
        <v>2.376279525690069E-3</v>
      </c>
      <c r="BC18" s="224">
        <v>8.6400177359560945E-3</v>
      </c>
      <c r="BD18" s="224">
        <v>1.75921499557651E-2</v>
      </c>
      <c r="BE18" s="224">
        <v>1.6848272140625842E-2</v>
      </c>
      <c r="BF18" s="224">
        <v>7.013608064951926E-3</v>
      </c>
      <c r="BG18" s="224">
        <v>1.0620206497580272E-2</v>
      </c>
      <c r="BH18" s="224">
        <v>1.42135947538222E-2</v>
      </c>
      <c r="BI18" s="224">
        <v>4.579877097336614E-3</v>
      </c>
      <c r="BJ18" s="224">
        <v>3.1223304668309424E-3</v>
      </c>
      <c r="BK18" s="224">
        <v>6.3375424300173124E-3</v>
      </c>
      <c r="BL18" s="224">
        <v>1.0079610760405153E-2</v>
      </c>
      <c r="BM18" s="224">
        <v>1.227613807322387E-2</v>
      </c>
      <c r="BN18" s="224">
        <v>1.0041386744167369E-2</v>
      </c>
      <c r="BO18" s="224">
        <v>1.2676319273481371E-2</v>
      </c>
      <c r="BP18" s="224">
        <v>4.9013028390833798E-3</v>
      </c>
      <c r="BQ18" s="224">
        <v>5.5654266882220567E-3</v>
      </c>
      <c r="BR18" s="224">
        <v>7.3974943900206088E-3</v>
      </c>
      <c r="BS18" s="224">
        <v>7.3713297214648369E-3</v>
      </c>
      <c r="BT18" s="224">
        <v>1.9439369417119656E-3</v>
      </c>
      <c r="BU18" s="224">
        <v>2.3914706258555081E-2</v>
      </c>
      <c r="BV18" s="224">
        <v>8.3864151084058602E-3</v>
      </c>
      <c r="BW18" s="224">
        <v>7.6087180176877363E-3</v>
      </c>
      <c r="BX18" s="224">
        <v>1.4889401749028586E-2</v>
      </c>
      <c r="BY18" s="224">
        <v>1.2173602255677811E-2</v>
      </c>
      <c r="BZ18" s="224">
        <v>1.5651798910405867E-2</v>
      </c>
      <c r="CA18" s="224">
        <v>5.7023895334946837E-3</v>
      </c>
      <c r="CB18" s="224">
        <v>5.7910743476440544E-3</v>
      </c>
      <c r="CC18" s="224">
        <v>9.2268310971492275E-3</v>
      </c>
      <c r="CD18" s="224">
        <v>1.0444705408481494E-2</v>
      </c>
      <c r="CE18" s="224">
        <v>1.0134022446859721E-3</v>
      </c>
      <c r="CF18" s="224">
        <v>1.8260089907842156E-2</v>
      </c>
      <c r="CG18" s="224">
        <v>7.0881197231687006E-3</v>
      </c>
      <c r="CH18" s="224">
        <v>0</v>
      </c>
      <c r="CI18" s="224">
        <v>0</v>
      </c>
      <c r="CJ18" s="224">
        <v>0</v>
      </c>
      <c r="CK18" s="224">
        <v>0</v>
      </c>
      <c r="CL18" s="224">
        <v>0</v>
      </c>
      <c r="CM18" s="224">
        <v>0</v>
      </c>
      <c r="CN18" s="224">
        <v>0</v>
      </c>
      <c r="CO18" s="224">
        <v>0</v>
      </c>
      <c r="CP18" s="224">
        <v>0</v>
      </c>
      <c r="CQ18" s="224">
        <v>0</v>
      </c>
      <c r="CR18" s="224">
        <v>0</v>
      </c>
      <c r="CS18" s="224">
        <v>0</v>
      </c>
      <c r="CT18" s="224">
        <v>0</v>
      </c>
      <c r="CU18" s="224">
        <v>0</v>
      </c>
      <c r="CV18" s="224">
        <v>0</v>
      </c>
      <c r="CW18" s="224">
        <v>0</v>
      </c>
      <c r="CX18" s="224">
        <v>0</v>
      </c>
      <c r="CY18" s="224">
        <v>0</v>
      </c>
      <c r="CZ18" s="224">
        <v>0</v>
      </c>
      <c r="DA18" s="224">
        <v>0</v>
      </c>
      <c r="DB18" s="224">
        <v>0</v>
      </c>
      <c r="DC18" s="224">
        <v>0</v>
      </c>
      <c r="DD18" s="224">
        <v>0</v>
      </c>
      <c r="DE18" s="224">
        <v>0</v>
      </c>
      <c r="DF18" s="224">
        <v>0</v>
      </c>
      <c r="DG18" s="224">
        <v>0</v>
      </c>
      <c r="DH18" s="224">
        <v>0</v>
      </c>
      <c r="DI18" s="224">
        <v>0</v>
      </c>
      <c r="DJ18" s="224">
        <v>0</v>
      </c>
      <c r="DK18" s="224">
        <v>0</v>
      </c>
      <c r="DL18" s="224">
        <v>0</v>
      </c>
      <c r="DM18" s="224">
        <v>0</v>
      </c>
      <c r="DN18" s="224">
        <v>0</v>
      </c>
      <c r="DO18" s="224">
        <v>0</v>
      </c>
      <c r="DP18" s="224">
        <v>0</v>
      </c>
      <c r="DQ18" s="224">
        <f t="shared" si="0"/>
        <v>1</v>
      </c>
    </row>
    <row r="19" spans="1:121" x14ac:dyDescent="0.3">
      <c r="A19" s="223" t="s">
        <v>1111</v>
      </c>
      <c r="B19" s="223" t="s">
        <v>1110</v>
      </c>
      <c r="C19" s="223" t="s">
        <v>1095</v>
      </c>
      <c r="D19" s="223" t="s">
        <v>1087</v>
      </c>
      <c r="E19" s="223" t="s">
        <v>1090</v>
      </c>
      <c r="F19" s="224">
        <v>0</v>
      </c>
      <c r="G19" s="224">
        <v>3.9447731755424063E-2</v>
      </c>
      <c r="H19" s="224">
        <v>1.9723865877712032E-2</v>
      </c>
      <c r="I19" s="224">
        <v>3.9447731755424063E-2</v>
      </c>
      <c r="J19" s="224">
        <v>0</v>
      </c>
      <c r="K19" s="224">
        <v>3.9447731755424063E-2</v>
      </c>
      <c r="L19" s="224">
        <v>1.9723865877712032E-2</v>
      </c>
      <c r="M19" s="224">
        <v>1.9723865877712032E-2</v>
      </c>
      <c r="N19" s="224">
        <v>1.9723865877712032E-2</v>
      </c>
      <c r="O19" s="224">
        <v>0</v>
      </c>
      <c r="P19" s="224">
        <v>3.9447731755424063E-2</v>
      </c>
      <c r="Q19" s="224">
        <v>3.9447731755424063E-2</v>
      </c>
      <c r="R19" s="224">
        <v>0</v>
      </c>
      <c r="S19" s="224">
        <v>1.9723865877712032E-2</v>
      </c>
      <c r="T19" s="224">
        <v>1.9723865877712032E-2</v>
      </c>
      <c r="U19" s="224">
        <v>0</v>
      </c>
      <c r="V19" s="224">
        <v>9.8619329388560158E-3</v>
      </c>
      <c r="W19" s="224">
        <v>9.8619329388560158E-3</v>
      </c>
      <c r="X19" s="224">
        <v>9.8619329388560158E-3</v>
      </c>
      <c r="Y19" s="224">
        <v>0</v>
      </c>
      <c r="Z19" s="224">
        <v>0</v>
      </c>
      <c r="AA19" s="224">
        <v>5.9171597633136092E-2</v>
      </c>
      <c r="AB19" s="224">
        <v>0</v>
      </c>
      <c r="AC19" s="224">
        <v>0</v>
      </c>
      <c r="AD19" s="224">
        <v>1.9723865877712032E-2</v>
      </c>
      <c r="AE19" s="224">
        <v>3.9447731755424063E-2</v>
      </c>
      <c r="AF19" s="224">
        <v>4.3392504930966469E-2</v>
      </c>
      <c r="AG19" s="224">
        <v>1.9723865877712032E-2</v>
      </c>
      <c r="AH19" s="224">
        <v>1.9723865877712032E-2</v>
      </c>
      <c r="AI19" s="224">
        <v>1.9723865877712032E-2</v>
      </c>
      <c r="AJ19" s="224">
        <v>1.9723865877712032E-2</v>
      </c>
      <c r="AK19" s="224">
        <v>1.9723865877712032E-2</v>
      </c>
      <c r="AL19" s="224">
        <v>1.9723865877712032E-2</v>
      </c>
      <c r="AM19" s="224">
        <v>1.9723865877712032E-2</v>
      </c>
      <c r="AN19" s="224">
        <v>1.9723865877712032E-2</v>
      </c>
      <c r="AO19" s="224">
        <v>1.9723865877712032E-2</v>
      </c>
      <c r="AP19" s="224">
        <v>1.9723865877712032E-2</v>
      </c>
      <c r="AQ19" s="224">
        <v>1.9723865877712032E-2</v>
      </c>
      <c r="AR19" s="224">
        <v>0</v>
      </c>
      <c r="AS19" s="224">
        <v>3.9447731755424063E-2</v>
      </c>
      <c r="AT19" s="224">
        <v>1.9723865877712032E-2</v>
      </c>
      <c r="AU19" s="224">
        <v>3.9447731755424063E-2</v>
      </c>
      <c r="AV19" s="224">
        <v>1.9723865877712032E-2</v>
      </c>
      <c r="AW19" s="224">
        <v>1.9723865877712032E-2</v>
      </c>
      <c r="AX19" s="224">
        <v>1.9723865877712032E-2</v>
      </c>
      <c r="AY19" s="224">
        <v>1.9723865877712032E-2</v>
      </c>
      <c r="AZ19" s="224">
        <v>1.9723865877712032E-2</v>
      </c>
      <c r="BA19" s="224">
        <v>0</v>
      </c>
      <c r="BB19" s="224">
        <v>1.9723865877712032E-2</v>
      </c>
      <c r="BC19" s="224">
        <v>1.9723865877712032E-2</v>
      </c>
      <c r="BD19" s="224">
        <v>1.9723865877712032E-2</v>
      </c>
      <c r="BE19" s="224">
        <v>0</v>
      </c>
      <c r="BF19" s="224">
        <v>1.9723865877712032E-2</v>
      </c>
      <c r="BG19" s="224">
        <v>0</v>
      </c>
      <c r="BH19" s="224">
        <v>0</v>
      </c>
      <c r="BI19" s="224">
        <v>0</v>
      </c>
      <c r="BJ19" s="224">
        <v>0</v>
      </c>
      <c r="BK19" s="224">
        <v>0</v>
      </c>
      <c r="BL19" s="224">
        <v>0</v>
      </c>
      <c r="BM19" s="224">
        <v>0</v>
      </c>
      <c r="BN19" s="224">
        <v>0</v>
      </c>
      <c r="BO19" s="224">
        <v>0</v>
      </c>
      <c r="BP19" s="224">
        <v>0</v>
      </c>
      <c r="BQ19" s="224">
        <v>0</v>
      </c>
      <c r="BR19" s="224">
        <v>0</v>
      </c>
      <c r="BS19" s="224">
        <v>0</v>
      </c>
      <c r="BT19" s="224">
        <v>0</v>
      </c>
      <c r="BU19" s="224">
        <v>0</v>
      </c>
      <c r="BV19" s="224">
        <v>0</v>
      </c>
      <c r="BW19" s="224">
        <v>0</v>
      </c>
      <c r="BX19" s="224">
        <v>0</v>
      </c>
      <c r="BY19" s="224">
        <v>0</v>
      </c>
      <c r="BZ19" s="224">
        <v>0</v>
      </c>
      <c r="CA19" s="224">
        <v>0</v>
      </c>
      <c r="CB19" s="224">
        <v>0</v>
      </c>
      <c r="CC19" s="224">
        <v>0</v>
      </c>
      <c r="CD19" s="224">
        <v>0</v>
      </c>
      <c r="CE19" s="224">
        <v>0</v>
      </c>
      <c r="CF19" s="224">
        <v>0</v>
      </c>
      <c r="CG19" s="224">
        <v>0</v>
      </c>
      <c r="CH19" s="224">
        <v>0</v>
      </c>
      <c r="CI19" s="224">
        <v>0</v>
      </c>
      <c r="CJ19" s="224">
        <v>0</v>
      </c>
      <c r="CK19" s="224">
        <v>0</v>
      </c>
      <c r="CL19" s="224">
        <v>0</v>
      </c>
      <c r="CM19" s="224">
        <v>0</v>
      </c>
      <c r="CN19" s="224">
        <v>0</v>
      </c>
      <c r="CO19" s="224">
        <v>0</v>
      </c>
      <c r="CP19" s="224">
        <v>0</v>
      </c>
      <c r="CQ19" s="224">
        <v>0</v>
      </c>
      <c r="CR19" s="224">
        <v>0</v>
      </c>
      <c r="CS19" s="224">
        <v>0</v>
      </c>
      <c r="CT19" s="224">
        <v>0</v>
      </c>
      <c r="CU19" s="224">
        <v>0</v>
      </c>
      <c r="CV19" s="224">
        <v>0</v>
      </c>
      <c r="CW19" s="224">
        <v>0</v>
      </c>
      <c r="CX19" s="224">
        <v>0</v>
      </c>
      <c r="CY19" s="224">
        <v>0</v>
      </c>
      <c r="CZ19" s="224">
        <v>0</v>
      </c>
      <c r="DA19" s="224">
        <v>0</v>
      </c>
      <c r="DB19" s="224">
        <v>0</v>
      </c>
      <c r="DC19" s="224">
        <v>0</v>
      </c>
      <c r="DD19" s="224">
        <v>0</v>
      </c>
      <c r="DE19" s="224">
        <v>0</v>
      </c>
      <c r="DF19" s="224">
        <v>0</v>
      </c>
      <c r="DG19" s="224">
        <v>0</v>
      </c>
      <c r="DH19" s="224">
        <v>0</v>
      </c>
      <c r="DI19" s="224">
        <v>0</v>
      </c>
      <c r="DJ19" s="224">
        <v>0</v>
      </c>
      <c r="DK19" s="224">
        <v>0</v>
      </c>
      <c r="DL19" s="224">
        <v>0</v>
      </c>
      <c r="DM19" s="224">
        <v>0</v>
      </c>
      <c r="DN19" s="224">
        <v>0</v>
      </c>
      <c r="DO19" s="224">
        <v>0</v>
      </c>
      <c r="DP19" s="224">
        <v>0</v>
      </c>
      <c r="DQ19" s="224">
        <f t="shared" si="0"/>
        <v>0.99999999999999967</v>
      </c>
    </row>
    <row r="20" spans="1:121" x14ac:dyDescent="0.3">
      <c r="A20" s="223" t="s">
        <v>1112</v>
      </c>
      <c r="B20" s="223" t="s">
        <v>1110</v>
      </c>
      <c r="C20" s="223" t="s">
        <v>1095</v>
      </c>
      <c r="D20" s="223" t="s">
        <v>21</v>
      </c>
      <c r="E20" s="223" t="s">
        <v>1096</v>
      </c>
      <c r="F20" s="224">
        <v>0</v>
      </c>
      <c r="G20" s="224">
        <v>5.7519031513429915E-2</v>
      </c>
      <c r="H20" s="224">
        <v>4.3975195687697387E-2</v>
      </c>
      <c r="I20" s="224">
        <v>0</v>
      </c>
      <c r="J20" s="224">
        <v>0</v>
      </c>
      <c r="K20" s="224">
        <v>3.0644791032585984E-2</v>
      </c>
      <c r="L20" s="224">
        <v>4.0228471075862769E-2</v>
      </c>
      <c r="M20" s="224">
        <v>2.6865471153200353E-3</v>
      </c>
      <c r="N20" s="224">
        <v>2.6865471153200353E-3</v>
      </c>
      <c r="O20" s="224">
        <v>0</v>
      </c>
      <c r="P20" s="224">
        <v>2.4884687855038556E-2</v>
      </c>
      <c r="Q20" s="224">
        <v>2.484385357501219E-2</v>
      </c>
      <c r="R20" s="224">
        <v>0</v>
      </c>
      <c r="S20" s="224">
        <v>1.7768910936170723E-2</v>
      </c>
      <c r="T20" s="224">
        <v>3.4508788957187536E-3</v>
      </c>
      <c r="U20" s="224">
        <v>0</v>
      </c>
      <c r="V20" s="224">
        <v>8.8731670981243068E-3</v>
      </c>
      <c r="W20" s="224">
        <v>4.2386459421077875E-2</v>
      </c>
      <c r="X20" s="224">
        <v>1.1469286924567029E-2</v>
      </c>
      <c r="Y20" s="224">
        <v>2.6865471153200353E-3</v>
      </c>
      <c r="Z20" s="224">
        <v>1.2089462018940157E-2</v>
      </c>
      <c r="AA20" s="224">
        <v>0</v>
      </c>
      <c r="AB20" s="224">
        <v>0</v>
      </c>
      <c r="AC20" s="224">
        <v>9.4899169632265707E-3</v>
      </c>
      <c r="AD20" s="224">
        <v>4.6296296296296294E-3</v>
      </c>
      <c r="AE20" s="224">
        <v>2.1416565718951414E-2</v>
      </c>
      <c r="AF20" s="224">
        <v>8.627197239296884E-4</v>
      </c>
      <c r="AG20" s="224">
        <v>2.7993619877933907E-2</v>
      </c>
      <c r="AH20" s="224">
        <v>7.9937112836941677E-3</v>
      </c>
      <c r="AI20" s="224">
        <v>1.2787863737072939E-2</v>
      </c>
      <c r="AJ20" s="224">
        <v>4.4682227379525465E-2</v>
      </c>
      <c r="AK20" s="224">
        <v>1.696274728303198E-2</v>
      </c>
      <c r="AL20" s="224">
        <v>1.2180897499350135E-2</v>
      </c>
      <c r="AM20" s="224">
        <v>7.5790875122297751E-3</v>
      </c>
      <c r="AN20" s="224">
        <v>6.8828120922268865E-2</v>
      </c>
      <c r="AO20" s="224">
        <v>3.7939086298411501E-2</v>
      </c>
      <c r="AP20" s="224">
        <v>0</v>
      </c>
      <c r="AQ20" s="224">
        <v>1.5873512351635515E-2</v>
      </c>
      <c r="AR20" s="224">
        <v>3.3332108071227377E-2</v>
      </c>
      <c r="AS20" s="224">
        <v>5.0629069241821402E-2</v>
      </c>
      <c r="AT20" s="224">
        <v>8.0827252357501458E-3</v>
      </c>
      <c r="AU20" s="224">
        <v>0</v>
      </c>
      <c r="AV20" s="224">
        <v>1.080223738220315E-2</v>
      </c>
      <c r="AW20" s="224">
        <v>1.7895323340163197E-2</v>
      </c>
      <c r="AX20" s="224">
        <v>2.1758911628860279E-2</v>
      </c>
      <c r="AY20" s="224">
        <v>4.0686622905326007E-2</v>
      </c>
      <c r="AZ20" s="224">
        <v>1.9569147287903089E-2</v>
      </c>
      <c r="BA20" s="224">
        <v>9.9402243266841304E-3</v>
      </c>
      <c r="BB20" s="224">
        <v>0</v>
      </c>
      <c r="BC20" s="224">
        <v>1.6947931679220801E-2</v>
      </c>
      <c r="BD20" s="224">
        <v>5.7423162612216416E-2</v>
      </c>
      <c r="BE20" s="224">
        <v>0</v>
      </c>
      <c r="BF20" s="224">
        <v>2.5695489746933059E-2</v>
      </c>
      <c r="BG20" s="224">
        <v>5.3730942306400705E-3</v>
      </c>
      <c r="BH20" s="224">
        <v>2.2835650480220297E-2</v>
      </c>
      <c r="BI20" s="224">
        <v>0</v>
      </c>
      <c r="BJ20" s="224">
        <v>0</v>
      </c>
      <c r="BK20" s="224">
        <v>4.2984753845120563E-3</v>
      </c>
      <c r="BL20" s="224">
        <v>4.5141553154944775E-3</v>
      </c>
      <c r="BM20" s="224">
        <v>4.2984753845120563E-3</v>
      </c>
      <c r="BN20" s="224">
        <v>1.8276082001744429E-3</v>
      </c>
      <c r="BO20" s="224">
        <v>5.5887741616224918E-3</v>
      </c>
      <c r="BP20" s="224">
        <v>0</v>
      </c>
      <c r="BQ20" s="224">
        <v>0</v>
      </c>
      <c r="BR20" s="224">
        <v>3.6268386056820469E-3</v>
      </c>
      <c r="BS20" s="224">
        <v>2.156799309824221E-4</v>
      </c>
      <c r="BT20" s="224">
        <v>0</v>
      </c>
      <c r="BU20" s="224">
        <v>2.1492376922560281E-3</v>
      </c>
      <c r="BV20" s="224">
        <v>2.796277485203294E-3</v>
      </c>
      <c r="BW20" s="224">
        <v>2.1492376922560281E-3</v>
      </c>
      <c r="BX20" s="224">
        <v>2.1492376922560281E-3</v>
      </c>
      <c r="BY20" s="224">
        <v>1.9903133506072837E-3</v>
      </c>
      <c r="BZ20" s="224">
        <v>3.3335869082673011E-3</v>
      </c>
      <c r="CA20" s="224">
        <v>0</v>
      </c>
      <c r="CB20" s="224">
        <v>0</v>
      </c>
      <c r="CC20" s="224">
        <v>2.6865471153200353E-3</v>
      </c>
      <c r="CD20" s="224">
        <v>1.9903133506072837E-3</v>
      </c>
      <c r="CE20" s="224">
        <v>0</v>
      </c>
      <c r="CF20" s="224">
        <v>0</v>
      </c>
      <c r="CG20" s="224">
        <v>0</v>
      </c>
      <c r="CH20" s="224">
        <v>0</v>
      </c>
      <c r="CI20" s="224">
        <v>0</v>
      </c>
      <c r="CJ20" s="224">
        <v>0</v>
      </c>
      <c r="CK20" s="224">
        <v>0</v>
      </c>
      <c r="CL20" s="224">
        <v>0</v>
      </c>
      <c r="CM20" s="224">
        <v>0</v>
      </c>
      <c r="CN20" s="224">
        <v>0</v>
      </c>
      <c r="CO20" s="224">
        <v>0</v>
      </c>
      <c r="CP20" s="224">
        <v>0</v>
      </c>
      <c r="CQ20" s="224">
        <v>0</v>
      </c>
      <c r="CR20" s="224">
        <v>0</v>
      </c>
      <c r="CS20" s="224">
        <v>0</v>
      </c>
      <c r="CT20" s="224">
        <v>0</v>
      </c>
      <c r="CU20" s="224">
        <v>0</v>
      </c>
      <c r="CV20" s="224">
        <v>0</v>
      </c>
      <c r="CW20" s="224">
        <v>0</v>
      </c>
      <c r="CX20" s="224">
        <v>0</v>
      </c>
      <c r="CY20" s="224">
        <v>0</v>
      </c>
      <c r="CZ20" s="224">
        <v>0</v>
      </c>
      <c r="DA20" s="224">
        <v>0</v>
      </c>
      <c r="DB20" s="224">
        <v>0</v>
      </c>
      <c r="DC20" s="224">
        <v>0</v>
      </c>
      <c r="DD20" s="224">
        <v>0</v>
      </c>
      <c r="DE20" s="224">
        <v>0</v>
      </c>
      <c r="DF20" s="224">
        <v>0</v>
      </c>
      <c r="DG20" s="224">
        <v>0</v>
      </c>
      <c r="DH20" s="224">
        <v>0</v>
      </c>
      <c r="DI20" s="224">
        <v>0</v>
      </c>
      <c r="DJ20" s="224">
        <v>0</v>
      </c>
      <c r="DK20" s="224">
        <v>0</v>
      </c>
      <c r="DL20" s="224">
        <v>0</v>
      </c>
      <c r="DM20" s="224">
        <v>0</v>
      </c>
      <c r="DN20" s="224">
        <v>0</v>
      </c>
      <c r="DO20" s="224">
        <v>0</v>
      </c>
      <c r="DP20" s="224">
        <v>0</v>
      </c>
      <c r="DQ20" s="224">
        <f t="shared" si="0"/>
        <v>0.99999999999999978</v>
      </c>
    </row>
    <row r="21" spans="1:121" x14ac:dyDescent="0.3">
      <c r="A21" s="223" t="s">
        <v>1113</v>
      </c>
      <c r="B21" s="223" t="s">
        <v>1110</v>
      </c>
      <c r="C21" s="223" t="s">
        <v>1089</v>
      </c>
      <c r="D21" s="223" t="s">
        <v>21</v>
      </c>
      <c r="E21" s="223" t="s">
        <v>1090</v>
      </c>
      <c r="F21" s="224">
        <v>1.9667477696674776E-2</v>
      </c>
      <c r="G21" s="224">
        <v>7.7995494699289777E-2</v>
      </c>
      <c r="H21" s="224">
        <v>3.3016311102246329E-2</v>
      </c>
      <c r="I21" s="224">
        <v>9.0502138965875799E-3</v>
      </c>
      <c r="J21" s="224">
        <v>8.1160136969588414E-3</v>
      </c>
      <c r="K21" s="224">
        <v>2.5411767409710698E-2</v>
      </c>
      <c r="L21" s="224">
        <v>3.6269550002925394E-2</v>
      </c>
      <c r="M21" s="224">
        <v>9.3386815223963481E-3</v>
      </c>
      <c r="N21" s="224">
        <v>2.1834491392253123E-2</v>
      </c>
      <c r="O21" s="224">
        <v>2.2263808174979794E-2</v>
      </c>
      <c r="P21" s="224">
        <v>2.194309106841006E-2</v>
      </c>
      <c r="Q21" s="224">
        <v>1.1992632193791113E-2</v>
      </c>
      <c r="R21" s="224">
        <v>7.5261783552843737E-3</v>
      </c>
      <c r="S21" s="224">
        <v>7.228656610938698E-3</v>
      </c>
      <c r="T21" s="224">
        <v>1.0424871615450549E-2</v>
      </c>
      <c r="U21" s="224">
        <v>0</v>
      </c>
      <c r="V21" s="224">
        <v>1.8067614403960354E-2</v>
      </c>
      <c r="W21" s="224">
        <v>1.5159086923525543E-2</v>
      </c>
      <c r="X21" s="224">
        <v>1.2342668692762014E-2</v>
      </c>
      <c r="Y21" s="224">
        <v>1.4649606626963562E-2</v>
      </c>
      <c r="Z21" s="224">
        <v>1.446250785414043E-2</v>
      </c>
      <c r="AA21" s="224">
        <v>9.7092371460602513E-4</v>
      </c>
      <c r="AB21" s="224">
        <v>0</v>
      </c>
      <c r="AC21" s="224">
        <v>3.5688793718772306E-4</v>
      </c>
      <c r="AD21" s="224">
        <v>1.3677243383075336E-2</v>
      </c>
      <c r="AE21" s="224">
        <v>1.5818729492929093E-2</v>
      </c>
      <c r="AF21" s="224">
        <v>8.0172235780100656E-3</v>
      </c>
      <c r="AG21" s="224">
        <v>2.8616828637516314E-2</v>
      </c>
      <c r="AH21" s="224">
        <v>1.9940517001260837E-2</v>
      </c>
      <c r="AI21" s="224">
        <v>1.5696886300836304E-2</v>
      </c>
      <c r="AJ21" s="224">
        <v>3.6404990964140779E-2</v>
      </c>
      <c r="AK21" s="224">
        <v>3.8736170459823132E-3</v>
      </c>
      <c r="AL21" s="224">
        <v>8.9639215179122805E-3</v>
      </c>
      <c r="AM21" s="224">
        <v>5.139884295560262E-3</v>
      </c>
      <c r="AN21" s="224">
        <v>3.3730668532176961E-2</v>
      </c>
      <c r="AO21" s="224">
        <v>2.1541106324217248E-2</v>
      </c>
      <c r="AP21" s="224">
        <v>1.1862819479989482E-2</v>
      </c>
      <c r="AQ21" s="224">
        <v>1.0488496561160032E-2</v>
      </c>
      <c r="AR21" s="224">
        <v>3.7809578391522741E-2</v>
      </c>
      <c r="AS21" s="224">
        <v>5.0472843427475683E-2</v>
      </c>
      <c r="AT21" s="224">
        <v>1.5629148054087397E-2</v>
      </c>
      <c r="AU21" s="224">
        <v>5.2228569286348336E-3</v>
      </c>
      <c r="AV21" s="224">
        <v>1.4694393260981764E-2</v>
      </c>
      <c r="AW21" s="224">
        <v>1.3403478913182755E-2</v>
      </c>
      <c r="AX21" s="224">
        <v>3.1607086353176467E-2</v>
      </c>
      <c r="AY21" s="224">
        <v>3.8472113810673031E-2</v>
      </c>
      <c r="AZ21" s="224">
        <v>1.4734154914345658E-2</v>
      </c>
      <c r="BA21" s="224">
        <v>5.9925494254226275E-3</v>
      </c>
      <c r="BB21" s="224">
        <v>9.1708546120275545E-3</v>
      </c>
      <c r="BC21" s="224">
        <v>4.003423405253595E-2</v>
      </c>
      <c r="BD21" s="224">
        <v>5.4948494673545151E-2</v>
      </c>
      <c r="BE21" s="224">
        <v>0</v>
      </c>
      <c r="BF21" s="224">
        <v>2.5544473592555253E-2</v>
      </c>
      <c r="BG21" s="224">
        <v>0</v>
      </c>
      <c r="BH21" s="224">
        <v>8.9829683698296834E-3</v>
      </c>
      <c r="BI21" s="224">
        <v>0</v>
      </c>
      <c r="BJ21" s="224">
        <v>0</v>
      </c>
      <c r="BK21" s="224">
        <v>0</v>
      </c>
      <c r="BL21" s="224">
        <v>0</v>
      </c>
      <c r="BM21" s="224">
        <v>6.0827250608272508E-4</v>
      </c>
      <c r="BN21" s="224">
        <v>0</v>
      </c>
      <c r="BO21" s="224">
        <v>4.0551500405515005E-4</v>
      </c>
      <c r="BP21" s="224">
        <v>0</v>
      </c>
      <c r="BQ21" s="224">
        <v>4.0551500405515005E-4</v>
      </c>
      <c r="BR21" s="224">
        <v>0</v>
      </c>
      <c r="BS21" s="224">
        <v>0</v>
      </c>
      <c r="BT21" s="224">
        <v>0</v>
      </c>
      <c r="BU21" s="224">
        <v>0</v>
      </c>
      <c r="BV21" s="224">
        <v>0</v>
      </c>
      <c r="BW21" s="224">
        <v>0</v>
      </c>
      <c r="BX21" s="224">
        <v>0</v>
      </c>
      <c r="BY21" s="224">
        <v>0</v>
      </c>
      <c r="BZ21" s="224">
        <v>0</v>
      </c>
      <c r="CA21" s="224">
        <v>0</v>
      </c>
      <c r="CB21" s="224">
        <v>0</v>
      </c>
      <c r="CC21" s="224">
        <v>0</v>
      </c>
      <c r="CD21" s="224">
        <v>0</v>
      </c>
      <c r="CE21" s="224">
        <v>0</v>
      </c>
      <c r="CF21" s="224">
        <v>0</v>
      </c>
      <c r="CG21" s="224">
        <v>0</v>
      </c>
      <c r="CH21" s="224">
        <v>0</v>
      </c>
      <c r="CI21" s="224">
        <v>0</v>
      </c>
      <c r="CJ21" s="224">
        <v>0</v>
      </c>
      <c r="CK21" s="224">
        <v>0</v>
      </c>
      <c r="CL21" s="224">
        <v>0</v>
      </c>
      <c r="CM21" s="224">
        <v>0</v>
      </c>
      <c r="CN21" s="224">
        <v>0</v>
      </c>
      <c r="CO21" s="224">
        <v>0</v>
      </c>
      <c r="CP21" s="224">
        <v>0</v>
      </c>
      <c r="CQ21" s="224">
        <v>0</v>
      </c>
      <c r="CR21" s="224">
        <v>0</v>
      </c>
      <c r="CS21" s="224">
        <v>0</v>
      </c>
      <c r="CT21" s="224">
        <v>0</v>
      </c>
      <c r="CU21" s="224">
        <v>0</v>
      </c>
      <c r="CV21" s="224">
        <v>0</v>
      </c>
      <c r="CW21" s="224">
        <v>0</v>
      </c>
      <c r="CX21" s="224">
        <v>0</v>
      </c>
      <c r="CY21" s="224">
        <v>0</v>
      </c>
      <c r="CZ21" s="224">
        <v>0</v>
      </c>
      <c r="DA21" s="224">
        <v>0</v>
      </c>
      <c r="DB21" s="224">
        <v>0</v>
      </c>
      <c r="DC21" s="224">
        <v>0</v>
      </c>
      <c r="DD21" s="224">
        <v>0</v>
      </c>
      <c r="DE21" s="224">
        <v>0</v>
      </c>
      <c r="DF21" s="224">
        <v>0</v>
      </c>
      <c r="DG21" s="224">
        <v>0</v>
      </c>
      <c r="DH21" s="224">
        <v>0</v>
      </c>
      <c r="DI21" s="224">
        <v>0</v>
      </c>
      <c r="DJ21" s="224">
        <v>0</v>
      </c>
      <c r="DK21" s="224">
        <v>0</v>
      </c>
      <c r="DL21" s="224">
        <v>0</v>
      </c>
      <c r="DM21" s="224">
        <v>0</v>
      </c>
      <c r="DN21" s="224">
        <v>0</v>
      </c>
      <c r="DO21" s="224">
        <v>0</v>
      </c>
      <c r="DP21" s="224">
        <v>0</v>
      </c>
      <c r="DQ21" s="224">
        <f t="shared" si="0"/>
        <v>1</v>
      </c>
    </row>
    <row r="22" spans="1:121" x14ac:dyDescent="0.3">
      <c r="A22" s="223" t="s">
        <v>1114</v>
      </c>
      <c r="B22" s="223" t="s">
        <v>1110</v>
      </c>
      <c r="C22" s="223" t="s">
        <v>1089</v>
      </c>
      <c r="D22" s="223" t="s">
        <v>1087</v>
      </c>
      <c r="E22" s="223" t="s">
        <v>1090</v>
      </c>
      <c r="F22" s="224">
        <v>2.853246892818757E-2</v>
      </c>
      <c r="G22" s="224">
        <v>5.0433108134877475E-2</v>
      </c>
      <c r="H22" s="224">
        <v>3.0308318730631816E-2</v>
      </c>
      <c r="I22" s="224">
        <v>1.4278080165147221E-2</v>
      </c>
      <c r="J22" s="224">
        <v>1.6161616161616162E-3</v>
      </c>
      <c r="K22" s="224">
        <v>1.2783147117016292E-2</v>
      </c>
      <c r="L22" s="224">
        <v>4.1665271856138171E-2</v>
      </c>
      <c r="M22" s="224">
        <v>7.4492984438406908E-3</v>
      </c>
      <c r="N22" s="224">
        <v>9.6061157964362209E-3</v>
      </c>
      <c r="O22" s="224">
        <v>2.9596074368383962E-2</v>
      </c>
      <c r="P22" s="224">
        <v>1.7054998416752312E-2</v>
      </c>
      <c r="Q22" s="224">
        <v>1.1975488024671273E-2</v>
      </c>
      <c r="R22" s="224">
        <v>1.8866807504740817E-3</v>
      </c>
      <c r="S22" s="224">
        <v>4.3591361051748042E-3</v>
      </c>
      <c r="T22" s="224">
        <v>5.7664681905167988E-3</v>
      </c>
      <c r="U22" s="224">
        <v>2.7330608976451286E-3</v>
      </c>
      <c r="V22" s="224">
        <v>1.8731495897236144E-2</v>
      </c>
      <c r="W22" s="224">
        <v>2.5557887676918599E-2</v>
      </c>
      <c r="X22" s="224">
        <v>1.4325417823555132E-2</v>
      </c>
      <c r="Y22" s="224">
        <v>1.2017083377534111E-2</v>
      </c>
      <c r="Z22" s="224">
        <v>2.3500602103544474E-2</v>
      </c>
      <c r="AA22" s="224">
        <v>2.3362449409889269E-3</v>
      </c>
      <c r="AB22" s="224">
        <v>1.104759185282957E-2</v>
      </c>
      <c r="AC22" s="224">
        <v>1.9367585099747502E-2</v>
      </c>
      <c r="AD22" s="224">
        <v>9.7461438244821307E-3</v>
      </c>
      <c r="AE22" s="224">
        <v>9.8095741737416371E-3</v>
      </c>
      <c r="AF22" s="224">
        <v>7.8783612306045931E-3</v>
      </c>
      <c r="AG22" s="224">
        <v>1.9819309218011946E-2</v>
      </c>
      <c r="AH22" s="224">
        <v>1.2793804691031755E-2</v>
      </c>
      <c r="AI22" s="224">
        <v>1.5681577056708973E-2</v>
      </c>
      <c r="AJ22" s="224">
        <v>2.6992173123702397E-2</v>
      </c>
      <c r="AK22" s="224">
        <v>9.9255294662116429E-3</v>
      </c>
      <c r="AL22" s="224">
        <v>1.0659714458687679E-2</v>
      </c>
      <c r="AM22" s="224">
        <v>6.7025498725624298E-3</v>
      </c>
      <c r="AN22" s="224">
        <v>3.0214560111964515E-2</v>
      </c>
      <c r="AO22" s="224">
        <v>2.567530985875861E-2</v>
      </c>
      <c r="AP22" s="224">
        <v>8.8335171979935304E-3</v>
      </c>
      <c r="AQ22" s="224">
        <v>1.0264388675512055E-2</v>
      </c>
      <c r="AR22" s="224">
        <v>3.1352389212935504E-2</v>
      </c>
      <c r="AS22" s="224">
        <v>2.8395960297812047E-2</v>
      </c>
      <c r="AT22" s="224">
        <v>1.1513763166310125E-2</v>
      </c>
      <c r="AU22" s="224">
        <v>1.7708061535608177E-3</v>
      </c>
      <c r="AV22" s="224">
        <v>1.0799155059164501E-2</v>
      </c>
      <c r="AW22" s="224">
        <v>9.1111755568465784E-3</v>
      </c>
      <c r="AX22" s="224">
        <v>9.8159409376270528E-3</v>
      </c>
      <c r="AY22" s="224">
        <v>3.5771431616888526E-2</v>
      </c>
      <c r="AZ22" s="224">
        <v>1.1227320454486735E-2</v>
      </c>
      <c r="BA22" s="224">
        <v>8.6551539474648258E-3</v>
      </c>
      <c r="BB22" s="224">
        <v>2.4850524269092807E-3</v>
      </c>
      <c r="BC22" s="224">
        <v>3.0154777253704863E-2</v>
      </c>
      <c r="BD22" s="224">
        <v>5.6989935680218103E-2</v>
      </c>
      <c r="BE22" s="224">
        <v>4.7254210694347445E-2</v>
      </c>
      <c r="BF22" s="224">
        <v>2.0490411344986834E-2</v>
      </c>
      <c r="BG22" s="224">
        <v>2.5462749511168281E-2</v>
      </c>
      <c r="BH22" s="224">
        <v>2.2316136686754594E-2</v>
      </c>
      <c r="BI22" s="224">
        <v>9.2072072303368072E-3</v>
      </c>
      <c r="BJ22" s="224">
        <v>1.3089249790319774E-2</v>
      </c>
      <c r="BK22" s="224">
        <v>0</v>
      </c>
      <c r="BL22" s="224">
        <v>4.5136538027533288E-5</v>
      </c>
      <c r="BM22" s="224">
        <v>9.0273076055066577E-5</v>
      </c>
      <c r="BN22" s="224">
        <v>4.5136538027533288E-5</v>
      </c>
      <c r="BO22" s="224">
        <v>2.1118053968797329E-4</v>
      </c>
      <c r="BP22" s="224">
        <v>4.5136538027533288E-5</v>
      </c>
      <c r="BQ22" s="224">
        <v>4.5136538027533288E-5</v>
      </c>
      <c r="BR22" s="224">
        <v>4.5136538027533288E-5</v>
      </c>
      <c r="BS22" s="224">
        <v>4.5136538027533288E-5</v>
      </c>
      <c r="BT22" s="224">
        <v>0</v>
      </c>
      <c r="BU22" s="224">
        <v>6.1092019854906447E-3</v>
      </c>
      <c r="BV22" s="224">
        <v>4.5136538027533288E-5</v>
      </c>
      <c r="BW22" s="224">
        <v>4.5136538027533288E-5</v>
      </c>
      <c r="BX22" s="224">
        <v>9.0273076055066577E-5</v>
      </c>
      <c r="BY22" s="224">
        <v>4.5136538027533288E-5</v>
      </c>
      <c r="BZ22" s="224">
        <v>5.4326854300885334E-4</v>
      </c>
      <c r="CA22" s="224">
        <v>4.5136538027533288E-5</v>
      </c>
      <c r="CB22" s="224">
        <v>4.5136538027533288E-5</v>
      </c>
      <c r="CC22" s="224">
        <v>4.5136538027533288E-5</v>
      </c>
      <c r="CD22" s="224">
        <v>4.5136538027533288E-5</v>
      </c>
      <c r="CE22" s="224">
        <v>0</v>
      </c>
      <c r="CF22" s="224">
        <v>4.5819014891179842E-3</v>
      </c>
      <c r="CG22" s="224">
        <v>0</v>
      </c>
      <c r="CH22" s="224">
        <v>0</v>
      </c>
      <c r="CI22" s="224">
        <v>0</v>
      </c>
      <c r="CJ22" s="224">
        <v>0</v>
      </c>
      <c r="CK22" s="224">
        <v>0</v>
      </c>
      <c r="CL22" s="224">
        <v>0</v>
      </c>
      <c r="CM22" s="224">
        <v>0</v>
      </c>
      <c r="CN22" s="224">
        <v>0</v>
      </c>
      <c r="CO22" s="224">
        <v>0</v>
      </c>
      <c r="CP22" s="224">
        <v>0</v>
      </c>
      <c r="CQ22" s="224">
        <v>0</v>
      </c>
      <c r="CR22" s="224">
        <v>0</v>
      </c>
      <c r="CS22" s="224">
        <v>0</v>
      </c>
      <c r="CT22" s="224">
        <v>0</v>
      </c>
      <c r="CU22" s="224">
        <v>0</v>
      </c>
      <c r="CV22" s="224">
        <v>0</v>
      </c>
      <c r="CW22" s="224">
        <v>0</v>
      </c>
      <c r="CX22" s="224">
        <v>0</v>
      </c>
      <c r="CY22" s="224">
        <v>0</v>
      </c>
      <c r="CZ22" s="224">
        <v>0</v>
      </c>
      <c r="DA22" s="224">
        <v>0</v>
      </c>
      <c r="DB22" s="224">
        <v>0</v>
      </c>
      <c r="DC22" s="224">
        <v>0</v>
      </c>
      <c r="DD22" s="224">
        <v>0</v>
      </c>
      <c r="DE22" s="224">
        <v>0</v>
      </c>
      <c r="DF22" s="224">
        <v>0</v>
      </c>
      <c r="DG22" s="224">
        <v>0</v>
      </c>
      <c r="DH22" s="224">
        <v>0</v>
      </c>
      <c r="DI22" s="224">
        <v>0</v>
      </c>
      <c r="DJ22" s="224">
        <v>0</v>
      </c>
      <c r="DK22" s="224">
        <v>0</v>
      </c>
      <c r="DL22" s="224">
        <v>0</v>
      </c>
      <c r="DM22" s="224">
        <v>0</v>
      </c>
      <c r="DN22" s="224">
        <v>0</v>
      </c>
      <c r="DO22" s="224">
        <v>0</v>
      </c>
      <c r="DP22" s="224">
        <v>0</v>
      </c>
      <c r="DQ22" s="224">
        <f t="shared" si="0"/>
        <v>0.99999999999999989</v>
      </c>
    </row>
    <row r="23" spans="1:121" x14ac:dyDescent="0.3">
      <c r="A23" s="223" t="s">
        <v>1115</v>
      </c>
      <c r="B23" s="223" t="s">
        <v>1110</v>
      </c>
      <c r="C23" s="223" t="s">
        <v>1086</v>
      </c>
      <c r="D23" s="223" t="s">
        <v>1087</v>
      </c>
      <c r="E23" s="223" t="s">
        <v>27</v>
      </c>
      <c r="F23" s="224">
        <v>0.17412485644976092</v>
      </c>
      <c r="G23" s="224">
        <v>3.180045396428452E-2</v>
      </c>
      <c r="H23" s="224">
        <v>1.2839958303703741E-2</v>
      </c>
      <c r="I23" s="224">
        <v>3.9395605262824039E-3</v>
      </c>
      <c r="J23" s="224">
        <v>2.7040903163915082E-3</v>
      </c>
      <c r="K23" s="224">
        <v>7.3456154289767567E-3</v>
      </c>
      <c r="L23" s="224">
        <v>1.2325851053471986E-2</v>
      </c>
      <c r="M23" s="224">
        <v>7.2018093204834098E-3</v>
      </c>
      <c r="N23" s="224">
        <v>1.068946456456564E-2</v>
      </c>
      <c r="O23" s="224">
        <v>2.8471870244001023E-3</v>
      </c>
      <c r="P23" s="224">
        <v>6.2191904667709642E-3</v>
      </c>
      <c r="Q23" s="224">
        <v>7.4892329367214679E-3</v>
      </c>
      <c r="R23" s="224">
        <v>7.8549007950280843E-4</v>
      </c>
      <c r="S23" s="224">
        <v>7.1627332418142562E-3</v>
      </c>
      <c r="T23" s="224">
        <v>0</v>
      </c>
      <c r="U23" s="224">
        <v>0</v>
      </c>
      <c r="V23" s="224">
        <v>7.4081781313958999E-3</v>
      </c>
      <c r="W23" s="224">
        <v>1.3411083445104643E-2</v>
      </c>
      <c r="X23" s="224">
        <v>1.014351192972187E-2</v>
      </c>
      <c r="Y23" s="224">
        <v>7.3464311644166596E-3</v>
      </c>
      <c r="Z23" s="224">
        <v>3.2806682107768451E-2</v>
      </c>
      <c r="AA23" s="224">
        <v>5.9573675881969656E-4</v>
      </c>
      <c r="AB23" s="224">
        <v>4.9148282602624969E-3</v>
      </c>
      <c r="AC23" s="224">
        <v>2.7833143786681759E-2</v>
      </c>
      <c r="AD23" s="224">
        <v>4.0384273186417395E-3</v>
      </c>
      <c r="AE23" s="224">
        <v>5.4131837494555673E-3</v>
      </c>
      <c r="AF23" s="224">
        <v>5.07668980259762E-3</v>
      </c>
      <c r="AG23" s="224">
        <v>1.7067745742087758E-2</v>
      </c>
      <c r="AH23" s="224">
        <v>4.4217661885749861E-3</v>
      </c>
      <c r="AI23" s="224">
        <v>6.697830238216497E-3</v>
      </c>
      <c r="AJ23" s="224">
        <v>2.2639849299652095E-2</v>
      </c>
      <c r="AK23" s="224">
        <v>7.6990060265250985E-3</v>
      </c>
      <c r="AL23" s="224">
        <v>4.1076740865503558E-3</v>
      </c>
      <c r="AM23" s="224">
        <v>3.7233547426231036E-4</v>
      </c>
      <c r="AN23" s="224">
        <v>2.1244564359105093E-2</v>
      </c>
      <c r="AO23" s="224">
        <v>1.2397428090420768E-2</v>
      </c>
      <c r="AP23" s="224">
        <v>4.3096914547168979E-3</v>
      </c>
      <c r="AQ23" s="224">
        <v>6.7976638112638866E-3</v>
      </c>
      <c r="AR23" s="224">
        <v>1.353197882773538E-2</v>
      </c>
      <c r="AS23" s="224">
        <v>1.9222942027274172E-2</v>
      </c>
      <c r="AT23" s="224">
        <v>4.4250184566448202E-3</v>
      </c>
      <c r="AU23" s="224">
        <v>2.126562589584379E-3</v>
      </c>
      <c r="AV23" s="224">
        <v>7.1611490222009775E-3</v>
      </c>
      <c r="AW23" s="224">
        <v>7.0332125055419178E-3</v>
      </c>
      <c r="AX23" s="224">
        <v>7.1585028941314856E-3</v>
      </c>
      <c r="AY23" s="224">
        <v>6.4542357915533142E-3</v>
      </c>
      <c r="AZ23" s="224">
        <v>5.6390726476726197E-3</v>
      </c>
      <c r="BA23" s="224">
        <v>8.4566596194503177E-4</v>
      </c>
      <c r="BB23" s="224">
        <v>7.446709485246207E-5</v>
      </c>
      <c r="BC23" s="224">
        <v>8.532041057041145E-3</v>
      </c>
      <c r="BD23" s="224">
        <v>3.1149336725673982E-2</v>
      </c>
      <c r="BE23" s="224">
        <v>3.9167664774892599E-2</v>
      </c>
      <c r="BF23" s="224">
        <v>8.6167928703965238E-3</v>
      </c>
      <c r="BG23" s="224">
        <v>3.7416788709403695E-2</v>
      </c>
      <c r="BH23" s="224">
        <v>3.0638255700317509E-2</v>
      </c>
      <c r="BI23" s="224">
        <v>1.5131821204044891E-2</v>
      </c>
      <c r="BJ23" s="224">
        <v>1.5988656821439334E-2</v>
      </c>
      <c r="BK23" s="224">
        <v>6.2671537917496755E-3</v>
      </c>
      <c r="BL23" s="224">
        <v>8.8060165546370202E-3</v>
      </c>
      <c r="BM23" s="224">
        <v>1.7041015471694575E-2</v>
      </c>
      <c r="BN23" s="224">
        <v>7.7168585885443548E-3</v>
      </c>
      <c r="BO23" s="224">
        <v>1.4718114303427805E-2</v>
      </c>
      <c r="BP23" s="224">
        <v>4.7619896174748693E-3</v>
      </c>
      <c r="BQ23" s="224">
        <v>4.2812213115211439E-3</v>
      </c>
      <c r="BR23" s="224">
        <v>1.0732273633641072E-2</v>
      </c>
      <c r="BS23" s="224">
        <v>8.2515592062264113E-3</v>
      </c>
      <c r="BT23" s="224">
        <v>0</v>
      </c>
      <c r="BU23" s="224">
        <v>1.8260025371155453E-2</v>
      </c>
      <c r="BV23" s="224">
        <v>8.3924017448702252E-3</v>
      </c>
      <c r="BW23" s="224">
        <v>7.4038311970895275E-3</v>
      </c>
      <c r="BX23" s="224">
        <v>2.1047384193158145E-2</v>
      </c>
      <c r="BY23" s="224">
        <v>1.3206938812281637E-2</v>
      </c>
      <c r="BZ23" s="224">
        <v>1.4226376263808817E-2</v>
      </c>
      <c r="CA23" s="224">
        <v>8.3339856603280842E-3</v>
      </c>
      <c r="CB23" s="224">
        <v>5.4505182293227653E-3</v>
      </c>
      <c r="CC23" s="224">
        <v>9.4312486951154684E-3</v>
      </c>
      <c r="CD23" s="224">
        <v>1.1463375195952781E-2</v>
      </c>
      <c r="CE23" s="224">
        <v>0</v>
      </c>
      <c r="CF23" s="224">
        <v>2.1648261789396959E-2</v>
      </c>
      <c r="CG23" s="224">
        <v>4.0263397828843358E-3</v>
      </c>
      <c r="CH23" s="224">
        <v>0</v>
      </c>
      <c r="CI23" s="224">
        <v>0</v>
      </c>
      <c r="CJ23" s="224">
        <v>0</v>
      </c>
      <c r="CK23" s="224">
        <v>0</v>
      </c>
      <c r="CL23" s="224">
        <v>0</v>
      </c>
      <c r="CM23" s="224">
        <v>0</v>
      </c>
      <c r="CN23" s="224">
        <v>0</v>
      </c>
      <c r="CO23" s="224">
        <v>0</v>
      </c>
      <c r="CP23" s="224">
        <v>0</v>
      </c>
      <c r="CQ23" s="224">
        <v>0</v>
      </c>
      <c r="CR23" s="224">
        <v>0</v>
      </c>
      <c r="CS23" s="224">
        <v>0</v>
      </c>
      <c r="CT23" s="224">
        <v>0</v>
      </c>
      <c r="CU23" s="224">
        <v>0</v>
      </c>
      <c r="CV23" s="224">
        <v>0</v>
      </c>
      <c r="CW23" s="224">
        <v>0</v>
      </c>
      <c r="CX23" s="224">
        <v>0</v>
      </c>
      <c r="CY23" s="224">
        <v>0</v>
      </c>
      <c r="CZ23" s="224">
        <v>0</v>
      </c>
      <c r="DA23" s="224">
        <v>0</v>
      </c>
      <c r="DB23" s="224">
        <v>0</v>
      </c>
      <c r="DC23" s="224">
        <v>0</v>
      </c>
      <c r="DD23" s="224">
        <v>0</v>
      </c>
      <c r="DE23" s="224">
        <v>0</v>
      </c>
      <c r="DF23" s="224">
        <v>0</v>
      </c>
      <c r="DG23" s="224">
        <v>0</v>
      </c>
      <c r="DH23" s="224">
        <v>0</v>
      </c>
      <c r="DI23" s="224">
        <v>0</v>
      </c>
      <c r="DJ23" s="224">
        <v>0</v>
      </c>
      <c r="DK23" s="224">
        <v>0</v>
      </c>
      <c r="DL23" s="224">
        <v>0</v>
      </c>
      <c r="DM23" s="224">
        <v>0</v>
      </c>
      <c r="DN23" s="224">
        <v>0</v>
      </c>
      <c r="DO23" s="224">
        <v>0</v>
      </c>
      <c r="DP23" s="224">
        <v>0</v>
      </c>
      <c r="DQ23" s="224">
        <f t="shared" si="0"/>
        <v>0.99999999999999978</v>
      </c>
    </row>
    <row r="24" spans="1:121" x14ac:dyDescent="0.3">
      <c r="A24" s="223" t="s">
        <v>1116</v>
      </c>
      <c r="B24" s="223" t="s">
        <v>1110</v>
      </c>
      <c r="C24" s="223" t="s">
        <v>1095</v>
      </c>
      <c r="D24" s="223" t="s">
        <v>1087</v>
      </c>
      <c r="E24" s="223" t="s">
        <v>1096</v>
      </c>
      <c r="F24" s="224">
        <v>6.8400132494203375E-2</v>
      </c>
      <c r="G24" s="224">
        <v>5.994602368894756E-2</v>
      </c>
      <c r="H24" s="224">
        <v>4.3582778265591572E-2</v>
      </c>
      <c r="I24" s="224">
        <v>3.5124692658939235E-3</v>
      </c>
      <c r="J24" s="224">
        <v>0</v>
      </c>
      <c r="K24" s="224">
        <v>1.2776096632329211E-2</v>
      </c>
      <c r="L24" s="224">
        <v>3.1813197055408686E-2</v>
      </c>
      <c r="M24" s="224">
        <v>7.2457622040855178E-3</v>
      </c>
      <c r="N24" s="224">
        <v>1.6561775422325273E-3</v>
      </c>
      <c r="O24" s="224">
        <v>2.8099754127151387E-3</v>
      </c>
      <c r="P24" s="224">
        <v>1.4471770834308499E-2</v>
      </c>
      <c r="Q24" s="224">
        <v>1.694041383742308E-2</v>
      </c>
      <c r="R24" s="224">
        <v>0</v>
      </c>
      <c r="S24" s="224">
        <v>4.6464276144205481E-3</v>
      </c>
      <c r="T24" s="224">
        <v>8.3695377033646424E-3</v>
      </c>
      <c r="U24" s="224">
        <v>0</v>
      </c>
      <c r="V24" s="224">
        <v>9.4838389141004946E-3</v>
      </c>
      <c r="W24" s="224">
        <v>1.0247065094433854E-2</v>
      </c>
      <c r="X24" s="224">
        <v>7.5073927334883264E-3</v>
      </c>
      <c r="Y24" s="224">
        <v>8.485175130266559E-3</v>
      </c>
      <c r="Z24" s="224">
        <v>2.1978819775423024E-3</v>
      </c>
      <c r="AA24" s="224">
        <v>1.0537407797681772E-2</v>
      </c>
      <c r="AB24" s="224">
        <v>0</v>
      </c>
      <c r="AC24" s="224">
        <v>7.4665858763831869E-3</v>
      </c>
      <c r="AD24" s="224">
        <v>4.4164734459534063E-4</v>
      </c>
      <c r="AE24" s="224">
        <v>1.3578121399683419E-2</v>
      </c>
      <c r="AF24" s="224">
        <v>6.2722389930757886E-3</v>
      </c>
      <c r="AG24" s="224">
        <v>2.0774118146681224E-2</v>
      </c>
      <c r="AH24" s="224">
        <v>2.8669960176809488E-2</v>
      </c>
      <c r="AI24" s="224">
        <v>8.4999609576563648E-3</v>
      </c>
      <c r="AJ24" s="224">
        <v>2.9604960332431981E-2</v>
      </c>
      <c r="AK24" s="224">
        <v>5.2790586442752856E-3</v>
      </c>
      <c r="AL24" s="224">
        <v>4.6566104636680487E-3</v>
      </c>
      <c r="AM24" s="224">
        <v>7.8835653626682985E-3</v>
      </c>
      <c r="AN24" s="224">
        <v>3.9452616459533969E-2</v>
      </c>
      <c r="AO24" s="224">
        <v>2.2229655330945869E-2</v>
      </c>
      <c r="AP24" s="224">
        <v>7.888919875561555E-3</v>
      </c>
      <c r="AQ24" s="224">
        <v>9.2829407118522611E-3</v>
      </c>
      <c r="AR24" s="224">
        <v>4.0654473135277626E-2</v>
      </c>
      <c r="AS24" s="224">
        <v>2.719766178110444E-2</v>
      </c>
      <c r="AT24" s="224">
        <v>1.7303067862524904E-2</v>
      </c>
      <c r="AU24" s="224">
        <v>3.1612223393045311E-3</v>
      </c>
      <c r="AV24" s="224">
        <v>5.6373924222433494E-3</v>
      </c>
      <c r="AW24" s="224">
        <v>4.4256039421228782E-3</v>
      </c>
      <c r="AX24" s="224">
        <v>1.8004509362625664E-2</v>
      </c>
      <c r="AY24" s="224">
        <v>2.1817847973388801E-2</v>
      </c>
      <c r="AZ24" s="224">
        <v>6.3853065986478894E-3</v>
      </c>
      <c r="BA24" s="224">
        <v>0</v>
      </c>
      <c r="BB24" s="224">
        <v>6.058942400602352E-3</v>
      </c>
      <c r="BC24" s="224">
        <v>3.7683993924340117E-2</v>
      </c>
      <c r="BD24" s="224">
        <v>5.7556900181865517E-2</v>
      </c>
      <c r="BE24" s="224">
        <v>4.8414479625459028E-2</v>
      </c>
      <c r="BF24" s="224">
        <v>1.4521536291396209E-2</v>
      </c>
      <c r="BG24" s="224">
        <v>3.0669764418338786E-2</v>
      </c>
      <c r="BH24" s="224">
        <v>1.0638162961122119E-2</v>
      </c>
      <c r="BI24" s="224">
        <v>1.3322586429946505E-2</v>
      </c>
      <c r="BJ24" s="224">
        <v>1.0166235401042943E-2</v>
      </c>
      <c r="BK24" s="224">
        <v>1.7665893783813625E-3</v>
      </c>
      <c r="BL24" s="224">
        <v>5.1189672991321907E-3</v>
      </c>
      <c r="BM24" s="224">
        <v>3.5124692658939234E-4</v>
      </c>
      <c r="BN24" s="224">
        <v>3.5124692658939234E-4</v>
      </c>
      <c r="BO24" s="224">
        <v>6.0926624063288208E-3</v>
      </c>
      <c r="BP24" s="224">
        <v>1.3249420337860219E-3</v>
      </c>
      <c r="BQ24" s="224">
        <v>1.0137179434824032E-3</v>
      </c>
      <c r="BR24" s="224">
        <v>3.5124692658939234E-4</v>
      </c>
      <c r="BS24" s="224">
        <v>3.5124692658939234E-4</v>
      </c>
      <c r="BT24" s="224">
        <v>0</v>
      </c>
      <c r="BU24" s="224">
        <v>3.1042848648990141E-2</v>
      </c>
      <c r="BV24" s="224">
        <v>2.9507963864879865E-3</v>
      </c>
      <c r="BW24" s="224">
        <v>6.1375565530155619E-3</v>
      </c>
      <c r="BX24" s="224">
        <v>1.721083107062156E-3</v>
      </c>
      <c r="BY24" s="224">
        <v>5.6959092084202219E-3</v>
      </c>
      <c r="BZ24" s="224">
        <v>1.721083107062156E-3</v>
      </c>
      <c r="CA24" s="224">
        <v>0</v>
      </c>
      <c r="CB24" s="224">
        <v>1.721083107062156E-3</v>
      </c>
      <c r="CC24" s="224">
        <v>1.721083107062156E-3</v>
      </c>
      <c r="CD24" s="224">
        <v>1.721083107062156E-3</v>
      </c>
      <c r="CE24" s="224">
        <v>0</v>
      </c>
      <c r="CF24" s="224">
        <v>1.72794523572927E-2</v>
      </c>
      <c r="CG24" s="224">
        <v>1.3359832174009052E-3</v>
      </c>
      <c r="CH24" s="224">
        <v>0</v>
      </c>
      <c r="CI24" s="224">
        <v>0</v>
      </c>
      <c r="CJ24" s="224">
        <v>0</v>
      </c>
      <c r="CK24" s="224">
        <v>0</v>
      </c>
      <c r="CL24" s="224">
        <v>0</v>
      </c>
      <c r="CM24" s="224">
        <v>0</v>
      </c>
      <c r="CN24" s="224">
        <v>0</v>
      </c>
      <c r="CO24" s="224">
        <v>0</v>
      </c>
      <c r="CP24" s="224">
        <v>0</v>
      </c>
      <c r="CQ24" s="224">
        <v>0</v>
      </c>
      <c r="CR24" s="224">
        <v>0</v>
      </c>
      <c r="CS24" s="224">
        <v>0</v>
      </c>
      <c r="CT24" s="224">
        <v>0</v>
      </c>
      <c r="CU24" s="224">
        <v>0</v>
      </c>
      <c r="CV24" s="224">
        <v>0</v>
      </c>
      <c r="CW24" s="224">
        <v>0</v>
      </c>
      <c r="CX24" s="224">
        <v>0</v>
      </c>
      <c r="CY24" s="224">
        <v>0</v>
      </c>
      <c r="CZ24" s="224">
        <v>0</v>
      </c>
      <c r="DA24" s="224">
        <v>0</v>
      </c>
      <c r="DB24" s="224">
        <v>0</v>
      </c>
      <c r="DC24" s="224">
        <v>0</v>
      </c>
      <c r="DD24" s="224">
        <v>0</v>
      </c>
      <c r="DE24" s="224">
        <v>0</v>
      </c>
      <c r="DF24" s="224">
        <v>0</v>
      </c>
      <c r="DG24" s="224">
        <v>0</v>
      </c>
      <c r="DH24" s="224">
        <v>0</v>
      </c>
      <c r="DI24" s="224">
        <v>0</v>
      </c>
      <c r="DJ24" s="224">
        <v>0</v>
      </c>
      <c r="DK24" s="224">
        <v>0</v>
      </c>
      <c r="DL24" s="224">
        <v>0</v>
      </c>
      <c r="DM24" s="224">
        <v>0</v>
      </c>
      <c r="DN24" s="224">
        <v>0</v>
      </c>
      <c r="DO24" s="224">
        <v>0</v>
      </c>
      <c r="DP24" s="224">
        <v>0</v>
      </c>
      <c r="DQ24" s="224">
        <f t="shared" si="0"/>
        <v>0.99999999999999967</v>
      </c>
    </row>
    <row r="25" spans="1:121" x14ac:dyDescent="0.3">
      <c r="A25" s="223" t="s">
        <v>1117</v>
      </c>
      <c r="B25" s="223" t="s">
        <v>1110</v>
      </c>
      <c r="C25" s="223" t="s">
        <v>1086</v>
      </c>
      <c r="D25" s="223" t="s">
        <v>21</v>
      </c>
      <c r="E25" s="223" t="s">
        <v>27</v>
      </c>
      <c r="F25" s="224">
        <v>0.15867768595041323</v>
      </c>
      <c r="G25" s="224">
        <v>1.382419233658903E-2</v>
      </c>
      <c r="H25" s="224">
        <v>1.1269722013523666E-2</v>
      </c>
      <c r="I25" s="224">
        <v>0</v>
      </c>
      <c r="J25" s="224">
        <v>0</v>
      </c>
      <c r="K25" s="224">
        <v>7.2126220886551467E-3</v>
      </c>
      <c r="L25" s="224">
        <v>9.6168294515401962E-3</v>
      </c>
      <c r="M25" s="224">
        <v>4.8084147257700981E-3</v>
      </c>
      <c r="N25" s="224">
        <v>4.8084147257700981E-3</v>
      </c>
      <c r="O25" s="224">
        <v>0</v>
      </c>
      <c r="P25" s="224">
        <v>8.414725770097671E-3</v>
      </c>
      <c r="Q25" s="224">
        <v>8.414725770097671E-3</v>
      </c>
      <c r="R25" s="224">
        <v>4.8084147257700981E-3</v>
      </c>
      <c r="S25" s="224">
        <v>9.6168294515401962E-3</v>
      </c>
      <c r="T25" s="224">
        <v>1.622839969947408E-2</v>
      </c>
      <c r="U25" s="224">
        <v>0</v>
      </c>
      <c r="V25" s="224">
        <v>4.8084147257700981E-3</v>
      </c>
      <c r="W25" s="224">
        <v>2.0435762584522916E-2</v>
      </c>
      <c r="X25" s="224">
        <v>9.6168294515401962E-3</v>
      </c>
      <c r="Y25" s="224">
        <v>4.8084147257700981E-3</v>
      </c>
      <c r="Z25" s="224">
        <v>2.4042073628850491E-3</v>
      </c>
      <c r="AA25" s="224">
        <v>0</v>
      </c>
      <c r="AB25" s="224">
        <v>0</v>
      </c>
      <c r="AC25" s="224">
        <v>0</v>
      </c>
      <c r="AD25" s="224">
        <v>0</v>
      </c>
      <c r="AE25" s="224">
        <v>4.8084147257700981E-3</v>
      </c>
      <c r="AF25" s="224">
        <v>4.8084147257700981E-3</v>
      </c>
      <c r="AG25" s="224">
        <v>9.6168294515401962E-3</v>
      </c>
      <c r="AH25" s="224">
        <v>1.4425244177310293E-2</v>
      </c>
      <c r="AI25" s="224">
        <v>1.5627347858752819E-2</v>
      </c>
      <c r="AJ25" s="224">
        <v>4.4177310293012771E-2</v>
      </c>
      <c r="AK25" s="224">
        <v>4.8084147257700981E-3</v>
      </c>
      <c r="AL25" s="224">
        <v>4.8084147257700981E-3</v>
      </c>
      <c r="AM25" s="224">
        <v>4.8084147257700981E-3</v>
      </c>
      <c r="AN25" s="224">
        <v>5.0788880540946657E-2</v>
      </c>
      <c r="AO25" s="224">
        <v>2.0435762584522916E-2</v>
      </c>
      <c r="AP25" s="224">
        <v>0</v>
      </c>
      <c r="AQ25" s="224">
        <v>3.6063110443275734E-3</v>
      </c>
      <c r="AR25" s="224">
        <v>3.1855747558226899E-2</v>
      </c>
      <c r="AS25" s="224">
        <v>1.382419233658903E-2</v>
      </c>
      <c r="AT25" s="224">
        <v>4.8084147257700981E-3</v>
      </c>
      <c r="AU25" s="224">
        <v>0</v>
      </c>
      <c r="AV25" s="224">
        <v>4.8084147257700981E-3</v>
      </c>
      <c r="AW25" s="224">
        <v>4.8084147257700981E-3</v>
      </c>
      <c r="AX25" s="224">
        <v>7.2126220886551467E-3</v>
      </c>
      <c r="AY25" s="224">
        <v>2.6446280991735537E-2</v>
      </c>
      <c r="AZ25" s="224">
        <v>1.081893313298272E-2</v>
      </c>
      <c r="BA25" s="224">
        <v>0</v>
      </c>
      <c r="BB25" s="224">
        <v>0</v>
      </c>
      <c r="BC25" s="224">
        <v>1.7430503380916604E-2</v>
      </c>
      <c r="BD25" s="224">
        <v>4.027047332832457E-2</v>
      </c>
      <c r="BE25" s="224">
        <v>0</v>
      </c>
      <c r="BF25" s="224">
        <v>9.6168294515401962E-3</v>
      </c>
      <c r="BG25" s="224">
        <v>0</v>
      </c>
      <c r="BH25" s="224">
        <v>1.5627347858752819E-2</v>
      </c>
      <c r="BI25" s="224">
        <v>0</v>
      </c>
      <c r="BJ25" s="224">
        <v>0</v>
      </c>
      <c r="BK25" s="224">
        <v>0</v>
      </c>
      <c r="BL25" s="224">
        <v>3.0052592036063112E-3</v>
      </c>
      <c r="BM25" s="224">
        <v>1.382419233658903E-2</v>
      </c>
      <c r="BN25" s="224">
        <v>4.8084147257700981E-3</v>
      </c>
      <c r="BO25" s="224">
        <v>2.1036814425244178E-2</v>
      </c>
      <c r="BP25" s="224">
        <v>4.8084147257700981E-3</v>
      </c>
      <c r="BQ25" s="224">
        <v>4.8084147257700981E-3</v>
      </c>
      <c r="BR25" s="224">
        <v>4.8084147257700981E-3</v>
      </c>
      <c r="BS25" s="224">
        <v>4.8084147257700981E-3</v>
      </c>
      <c r="BT25" s="224">
        <v>0</v>
      </c>
      <c r="BU25" s="224">
        <v>2.404207362885049E-2</v>
      </c>
      <c r="BV25" s="224">
        <v>0</v>
      </c>
      <c r="BW25" s="224">
        <v>6.6115702479338841E-3</v>
      </c>
      <c r="BX25" s="224">
        <v>2.404207362885049E-2</v>
      </c>
      <c r="BY25" s="224">
        <v>2.0435762584522916E-2</v>
      </c>
      <c r="BZ25" s="224">
        <v>4.0871525169045832E-2</v>
      </c>
      <c r="CA25" s="224">
        <v>2.0435762584522916E-2</v>
      </c>
      <c r="CB25" s="224">
        <v>2.0435762584522916E-2</v>
      </c>
      <c r="CC25" s="224">
        <v>2.0435762584522916E-2</v>
      </c>
      <c r="CD25" s="224">
        <v>2.0435762584522916E-2</v>
      </c>
      <c r="CE25" s="224">
        <v>0</v>
      </c>
      <c r="CF25" s="224">
        <v>7.0323065364387677E-2</v>
      </c>
      <c r="CG25" s="224">
        <v>0</v>
      </c>
      <c r="CH25" s="224">
        <v>0</v>
      </c>
      <c r="CI25" s="224">
        <v>0</v>
      </c>
      <c r="CJ25" s="224">
        <v>0</v>
      </c>
      <c r="CK25" s="224">
        <v>0</v>
      </c>
      <c r="CL25" s="224">
        <v>0</v>
      </c>
      <c r="CM25" s="224">
        <v>0</v>
      </c>
      <c r="CN25" s="224">
        <v>0</v>
      </c>
      <c r="CO25" s="224">
        <v>0</v>
      </c>
      <c r="CP25" s="224">
        <v>0</v>
      </c>
      <c r="CQ25" s="224">
        <v>0</v>
      </c>
      <c r="CR25" s="224">
        <v>0</v>
      </c>
      <c r="CS25" s="224">
        <v>0</v>
      </c>
      <c r="CT25" s="224">
        <v>0</v>
      </c>
      <c r="CU25" s="224">
        <v>0</v>
      </c>
      <c r="CV25" s="224">
        <v>0</v>
      </c>
      <c r="CW25" s="224">
        <v>0</v>
      </c>
      <c r="CX25" s="224">
        <v>0</v>
      </c>
      <c r="CY25" s="224">
        <v>0</v>
      </c>
      <c r="CZ25" s="224">
        <v>0</v>
      </c>
      <c r="DA25" s="224">
        <v>0</v>
      </c>
      <c r="DB25" s="224">
        <v>0</v>
      </c>
      <c r="DC25" s="224">
        <v>0</v>
      </c>
      <c r="DD25" s="224">
        <v>0</v>
      </c>
      <c r="DE25" s="224">
        <v>0</v>
      </c>
      <c r="DF25" s="224">
        <v>0</v>
      </c>
      <c r="DG25" s="224">
        <v>0</v>
      </c>
      <c r="DH25" s="224">
        <v>0</v>
      </c>
      <c r="DI25" s="224">
        <v>0</v>
      </c>
      <c r="DJ25" s="224">
        <v>0</v>
      </c>
      <c r="DK25" s="224">
        <v>0</v>
      </c>
      <c r="DL25" s="224">
        <v>0</v>
      </c>
      <c r="DM25" s="224">
        <v>0</v>
      </c>
      <c r="DN25" s="224">
        <v>0</v>
      </c>
      <c r="DO25" s="224">
        <v>0</v>
      </c>
      <c r="DP25" s="224">
        <v>0</v>
      </c>
      <c r="DQ25" s="224">
        <f t="shared" si="0"/>
        <v>1</v>
      </c>
    </row>
    <row r="26" spans="1:121" x14ac:dyDescent="0.3">
      <c r="A26" s="223" t="s">
        <v>1118</v>
      </c>
      <c r="B26" s="223" t="s">
        <v>1110</v>
      </c>
      <c r="C26" s="223" t="s">
        <v>1086</v>
      </c>
      <c r="D26" s="223" t="s">
        <v>1087</v>
      </c>
      <c r="E26" s="223" t="s">
        <v>1096</v>
      </c>
      <c r="F26" s="224">
        <v>0.27736333047923561</v>
      </c>
      <c r="G26" s="224">
        <v>4.5127859479695089E-2</v>
      </c>
      <c r="H26" s="224">
        <v>1.9033719610528053E-2</v>
      </c>
      <c r="I26" s="224">
        <v>4.9245921822099106E-3</v>
      </c>
      <c r="J26" s="224">
        <v>6.001846722068329E-2</v>
      </c>
      <c r="K26" s="224">
        <v>4.3769022530988242E-3</v>
      </c>
      <c r="L26" s="224">
        <v>2.2805615219882901E-2</v>
      </c>
      <c r="M26" s="224">
        <v>6.142915768954549E-3</v>
      </c>
      <c r="N26" s="224">
        <v>1.9069970247255565E-2</v>
      </c>
      <c r="O26" s="224">
        <v>1.7851646660510926E-2</v>
      </c>
      <c r="P26" s="224">
        <v>8.9456157033912208E-3</v>
      </c>
      <c r="Q26" s="224">
        <v>1.1083341849673066E-2</v>
      </c>
      <c r="R26" s="224">
        <v>3.2456994482310937E-4</v>
      </c>
      <c r="S26" s="224">
        <v>0</v>
      </c>
      <c r="T26" s="224">
        <v>0</v>
      </c>
      <c r="U26" s="224">
        <v>0</v>
      </c>
      <c r="V26" s="224">
        <v>1.1025794119959414E-2</v>
      </c>
      <c r="W26" s="224">
        <v>8.4628004282445175E-3</v>
      </c>
      <c r="X26" s="224">
        <v>9.0112427172807982E-3</v>
      </c>
      <c r="Y26" s="224">
        <v>4.3761498931736316E-3</v>
      </c>
      <c r="Z26" s="224">
        <v>1.7527829075613007E-2</v>
      </c>
      <c r="AA26" s="224">
        <v>6.1557402277623882E-4</v>
      </c>
      <c r="AB26" s="224">
        <v>0</v>
      </c>
      <c r="AC26" s="224">
        <v>7.3868882733148658E-3</v>
      </c>
      <c r="AD26" s="224">
        <v>2.5597619780445266E-2</v>
      </c>
      <c r="AE26" s="224">
        <v>6.1300913101467111E-3</v>
      </c>
      <c r="AF26" s="224">
        <v>0</v>
      </c>
      <c r="AG26" s="224">
        <v>1.2487226739128979E-2</v>
      </c>
      <c r="AH26" s="224">
        <v>6.9263191260806886E-3</v>
      </c>
      <c r="AI26" s="224">
        <v>5.5609076130482922E-3</v>
      </c>
      <c r="AJ26" s="224">
        <v>3.4002085778971368E-2</v>
      </c>
      <c r="AK26" s="224">
        <v>0</v>
      </c>
      <c r="AL26" s="224">
        <v>0</v>
      </c>
      <c r="AM26" s="224">
        <v>4.7510686383017108E-3</v>
      </c>
      <c r="AN26" s="224">
        <v>1.0539807070190324E-2</v>
      </c>
      <c r="AO26" s="224">
        <v>3.0857870631354977E-3</v>
      </c>
      <c r="AP26" s="224">
        <v>2.4366471734892786E-3</v>
      </c>
      <c r="AQ26" s="224">
        <v>4.9788994571420319E-3</v>
      </c>
      <c r="AR26" s="224">
        <v>4.9572901816143163E-2</v>
      </c>
      <c r="AS26" s="224">
        <v>2.1462449834763031E-2</v>
      </c>
      <c r="AT26" s="224">
        <v>5.5224342366247759E-3</v>
      </c>
      <c r="AU26" s="224">
        <v>2.7572586436852369E-3</v>
      </c>
      <c r="AV26" s="224">
        <v>3.6677952190417563E-3</v>
      </c>
      <c r="AW26" s="224">
        <v>9.7722376115727903E-3</v>
      </c>
      <c r="AX26" s="224">
        <v>1.0349500592847132E-2</v>
      </c>
      <c r="AY26" s="224">
        <v>1.4666435701535108E-2</v>
      </c>
      <c r="AZ26" s="224">
        <v>3.7141855447195746E-3</v>
      </c>
      <c r="BA26" s="224">
        <v>2.4366471734892786E-3</v>
      </c>
      <c r="BB26" s="224">
        <v>2.4366471734892786E-3</v>
      </c>
      <c r="BC26" s="224">
        <v>2.0297484488024129E-2</v>
      </c>
      <c r="BD26" s="224">
        <v>3.5782462813564883E-2</v>
      </c>
      <c r="BE26" s="224">
        <v>3.5782462813564883E-2</v>
      </c>
      <c r="BF26" s="224">
        <v>6.8799288004028703E-3</v>
      </c>
      <c r="BG26" s="224">
        <v>2.5340737254286112E-2</v>
      </c>
      <c r="BH26" s="224">
        <v>3.9060479398499666E-2</v>
      </c>
      <c r="BI26" s="224">
        <v>3.760575870397393E-3</v>
      </c>
      <c r="BJ26" s="224">
        <v>6.8063848372589908E-3</v>
      </c>
      <c r="BK26" s="224">
        <v>3.1617847810561442E-4</v>
      </c>
      <c r="BL26" s="224">
        <v>3.1617847810561442E-4</v>
      </c>
      <c r="BM26" s="224">
        <v>1.2814968458574475E-3</v>
      </c>
      <c r="BN26" s="224">
        <v>8.0303339534027851E-4</v>
      </c>
      <c r="BO26" s="224">
        <v>1.1276033401633877E-3</v>
      </c>
      <c r="BP26" s="224">
        <v>1.538935056940597E-4</v>
      </c>
      <c r="BQ26" s="224">
        <v>1.538935056940597E-4</v>
      </c>
      <c r="BR26" s="224">
        <v>8.0303339534027851E-4</v>
      </c>
      <c r="BS26" s="224">
        <v>8.0303339534027851E-4</v>
      </c>
      <c r="BT26" s="224">
        <v>1.538935056940597E-4</v>
      </c>
      <c r="BU26" s="224">
        <v>1.538935056940597E-4</v>
      </c>
      <c r="BV26" s="224">
        <v>6.407796411828811E-3</v>
      </c>
      <c r="BW26" s="224">
        <v>3.1617847810561442E-4</v>
      </c>
      <c r="BX26" s="224">
        <v>2.4998204326020868E-3</v>
      </c>
      <c r="BY26" s="224">
        <v>2.6704968717311366E-3</v>
      </c>
      <c r="BZ26" s="224">
        <v>3.3196367613773556E-3</v>
      </c>
      <c r="CA26" s="224">
        <v>1.538935056940597E-4</v>
      </c>
      <c r="CB26" s="224">
        <v>1.3722170924386991E-3</v>
      </c>
      <c r="CC26" s="224">
        <v>2.3459269269080272E-3</v>
      </c>
      <c r="CD26" s="224">
        <v>2.3459269269080272E-3</v>
      </c>
      <c r="CE26" s="224">
        <v>1.538935056940597E-4</v>
      </c>
      <c r="CF26" s="224">
        <v>1.538935056940597E-4</v>
      </c>
      <c r="CG26" s="224">
        <v>1.538935056940597E-4</v>
      </c>
      <c r="CH26" s="224">
        <v>0</v>
      </c>
      <c r="CI26" s="224">
        <v>0</v>
      </c>
      <c r="CJ26" s="224">
        <v>0</v>
      </c>
      <c r="CK26" s="224">
        <v>0</v>
      </c>
      <c r="CL26" s="224">
        <v>0</v>
      </c>
      <c r="CM26" s="224">
        <v>0</v>
      </c>
      <c r="CN26" s="224">
        <v>0</v>
      </c>
      <c r="CO26" s="224">
        <v>0</v>
      </c>
      <c r="CP26" s="224">
        <v>0</v>
      </c>
      <c r="CQ26" s="224">
        <v>0</v>
      </c>
      <c r="CR26" s="224">
        <v>0</v>
      </c>
      <c r="CS26" s="224">
        <v>0</v>
      </c>
      <c r="CT26" s="224">
        <v>0</v>
      </c>
      <c r="CU26" s="224">
        <v>0</v>
      </c>
      <c r="CV26" s="224">
        <v>0</v>
      </c>
      <c r="CW26" s="224">
        <v>0</v>
      </c>
      <c r="CX26" s="224">
        <v>0</v>
      </c>
      <c r="CY26" s="224">
        <v>0</v>
      </c>
      <c r="CZ26" s="224">
        <v>0</v>
      </c>
      <c r="DA26" s="224">
        <v>0</v>
      </c>
      <c r="DB26" s="224">
        <v>0</v>
      </c>
      <c r="DC26" s="224">
        <v>0</v>
      </c>
      <c r="DD26" s="224">
        <v>0</v>
      </c>
      <c r="DE26" s="224">
        <v>0</v>
      </c>
      <c r="DF26" s="224">
        <v>0</v>
      </c>
      <c r="DG26" s="224">
        <v>0</v>
      </c>
      <c r="DH26" s="224">
        <v>0</v>
      </c>
      <c r="DI26" s="224">
        <v>0</v>
      </c>
      <c r="DJ26" s="224">
        <v>0</v>
      </c>
      <c r="DK26" s="224">
        <v>0</v>
      </c>
      <c r="DL26" s="224">
        <v>0</v>
      </c>
      <c r="DM26" s="224">
        <v>0</v>
      </c>
      <c r="DN26" s="224">
        <v>0</v>
      </c>
      <c r="DO26" s="224">
        <v>0</v>
      </c>
      <c r="DP26" s="224">
        <v>0</v>
      </c>
      <c r="DQ26" s="224">
        <f t="shared" si="0"/>
        <v>0.99999999999999978</v>
      </c>
    </row>
    <row r="27" spans="1:121" x14ac:dyDescent="0.3">
      <c r="A27" s="223" t="s">
        <v>1119</v>
      </c>
      <c r="B27" s="223" t="s">
        <v>1110</v>
      </c>
      <c r="C27" s="223" t="s">
        <v>1089</v>
      </c>
      <c r="D27" s="223" t="s">
        <v>21</v>
      </c>
      <c r="E27" s="223" t="s">
        <v>1096</v>
      </c>
      <c r="F27" s="224">
        <v>3.2323232323232323E-2</v>
      </c>
      <c r="G27" s="224">
        <v>7.7868529037847009E-2</v>
      </c>
      <c r="H27" s="224">
        <v>2.7252868643102068E-2</v>
      </c>
      <c r="I27" s="224">
        <v>0</v>
      </c>
      <c r="J27" s="224">
        <v>0</v>
      </c>
      <c r="K27" s="224">
        <v>1.5258664165881489E-2</v>
      </c>
      <c r="L27" s="224">
        <v>5.6061059371777744E-2</v>
      </c>
      <c r="M27" s="224">
        <v>5.572406621024352E-3</v>
      </c>
      <c r="N27" s="224">
        <v>2.0336828725770573E-2</v>
      </c>
      <c r="O27" s="224">
        <v>0</v>
      </c>
      <c r="P27" s="224">
        <v>1.6774900682140687E-2</v>
      </c>
      <c r="Q27" s="224">
        <v>2.0416318230752874E-2</v>
      </c>
      <c r="R27" s="224">
        <v>0</v>
      </c>
      <c r="S27" s="224">
        <v>7.251302968502152E-3</v>
      </c>
      <c r="T27" s="224">
        <v>5.4384772263766151E-3</v>
      </c>
      <c r="U27" s="224">
        <v>0</v>
      </c>
      <c r="V27" s="224">
        <v>8.7098586656937198E-3</v>
      </c>
      <c r="W27" s="224">
        <v>1.5606891589261901E-2</v>
      </c>
      <c r="X27" s="224">
        <v>5.0842071814426433E-3</v>
      </c>
      <c r="Y27" s="224">
        <v>1.812825742125538E-3</v>
      </c>
      <c r="Z27" s="224">
        <v>0</v>
      </c>
      <c r="AA27" s="224">
        <v>0</v>
      </c>
      <c r="AB27" s="224">
        <v>0</v>
      </c>
      <c r="AC27" s="224">
        <v>2.5421035907213219E-2</v>
      </c>
      <c r="AD27" s="224">
        <v>2.5421035907213217E-3</v>
      </c>
      <c r="AE27" s="224">
        <v>6.1677550749723977E-3</v>
      </c>
      <c r="AF27" s="224">
        <v>5.0842071814426433E-3</v>
      </c>
      <c r="AG27" s="224">
        <v>1.4877613740666118E-2</v>
      </c>
      <c r="AH27" s="224">
        <v>3.2303373693607113E-2</v>
      </c>
      <c r="AI27" s="224">
        <v>1.1429097278882028E-2</v>
      </c>
      <c r="AJ27" s="224">
        <v>5.6639982578187947E-2</v>
      </c>
      <c r="AK27" s="224">
        <v>0</v>
      </c>
      <c r="AL27" s="224">
        <v>0</v>
      </c>
      <c r="AM27" s="224">
        <v>2.1774646664234301E-2</v>
      </c>
      <c r="AN27" s="224">
        <v>4.0926821103662338E-2</v>
      </c>
      <c r="AO27" s="224">
        <v>2.8979283129589112E-2</v>
      </c>
      <c r="AP27" s="224">
        <v>2.5421035907213217E-3</v>
      </c>
      <c r="AQ27" s="224">
        <v>6.1677550749723977E-3</v>
      </c>
      <c r="AR27" s="224">
        <v>4.9421530104761489E-2</v>
      </c>
      <c r="AS27" s="224">
        <v>4.6926944653049411E-2</v>
      </c>
      <c r="AT27" s="224">
        <v>8.7098586656937198E-3</v>
      </c>
      <c r="AU27" s="224">
        <v>5.0842071814426433E-3</v>
      </c>
      <c r="AV27" s="224">
        <v>1.341905804347455E-2</v>
      </c>
      <c r="AW27" s="224">
        <v>1.8396116210550855E-2</v>
      </c>
      <c r="AX27" s="224">
        <v>1.1532785417920266E-2</v>
      </c>
      <c r="AY27" s="224">
        <v>2.4353034132118673E-2</v>
      </c>
      <c r="AZ27" s="224">
        <v>1.4636535331652045E-2</v>
      </c>
      <c r="BA27" s="224">
        <v>1.087695445275323E-2</v>
      </c>
      <c r="BB27" s="224">
        <v>0</v>
      </c>
      <c r="BC27" s="224">
        <v>4.7424647589512779E-2</v>
      </c>
      <c r="BD27" s="224">
        <v>7.6296781704735542E-2</v>
      </c>
      <c r="BE27" s="224">
        <v>0</v>
      </c>
      <c r="BF27" s="224">
        <v>1.3241923021007565E-2</v>
      </c>
      <c r="BG27" s="224">
        <v>0</v>
      </c>
      <c r="BH27" s="224">
        <v>1.6161616161616162E-2</v>
      </c>
      <c r="BI27" s="224">
        <v>0</v>
      </c>
      <c r="BJ27" s="224">
        <v>0</v>
      </c>
      <c r="BK27" s="224">
        <v>0</v>
      </c>
      <c r="BL27" s="224">
        <v>2.859866539561487E-3</v>
      </c>
      <c r="BM27" s="224">
        <v>8.6027096513273827E-3</v>
      </c>
      <c r="BN27" s="224">
        <v>2.5421035907213217E-3</v>
      </c>
      <c r="BO27" s="224">
        <v>6.5825076311253616E-3</v>
      </c>
      <c r="BP27" s="224">
        <v>0</v>
      </c>
      <c r="BQ27" s="224">
        <v>4.5623056109233423E-3</v>
      </c>
      <c r="BR27" s="224">
        <v>2.5421035907213217E-3</v>
      </c>
      <c r="BS27" s="224">
        <v>2.5421035907213217E-3</v>
      </c>
      <c r="BT27" s="224">
        <v>0</v>
      </c>
      <c r="BU27" s="224">
        <v>0</v>
      </c>
      <c r="BV27" s="224">
        <v>5.0842071814426433E-3</v>
      </c>
      <c r="BW27" s="224">
        <v>0</v>
      </c>
      <c r="BX27" s="224">
        <v>5.0842071814426433E-3</v>
      </c>
      <c r="BY27" s="224">
        <v>5.0842071814426433E-3</v>
      </c>
      <c r="BZ27" s="224">
        <v>1.0134712231947694E-2</v>
      </c>
      <c r="CA27" s="224">
        <v>0</v>
      </c>
      <c r="CB27" s="224">
        <v>7.1044092016446644E-3</v>
      </c>
      <c r="CC27" s="224">
        <v>5.0842071814426433E-3</v>
      </c>
      <c r="CD27" s="224">
        <v>5.0842071814426433E-3</v>
      </c>
      <c r="CE27" s="224">
        <v>0</v>
      </c>
      <c r="CF27" s="224">
        <v>0</v>
      </c>
      <c r="CG27" s="224">
        <v>0</v>
      </c>
      <c r="CH27" s="224">
        <v>0</v>
      </c>
      <c r="CI27" s="224">
        <v>0</v>
      </c>
      <c r="CJ27" s="224">
        <v>0</v>
      </c>
      <c r="CK27" s="224">
        <v>0</v>
      </c>
      <c r="CL27" s="224">
        <v>0</v>
      </c>
      <c r="CM27" s="224">
        <v>0</v>
      </c>
      <c r="CN27" s="224">
        <v>0</v>
      </c>
      <c r="CO27" s="224">
        <v>0</v>
      </c>
      <c r="CP27" s="224">
        <v>0</v>
      </c>
      <c r="CQ27" s="224">
        <v>0</v>
      </c>
      <c r="CR27" s="224">
        <v>0</v>
      </c>
      <c r="CS27" s="224">
        <v>0</v>
      </c>
      <c r="CT27" s="224">
        <v>0</v>
      </c>
      <c r="CU27" s="224">
        <v>0</v>
      </c>
      <c r="CV27" s="224">
        <v>0</v>
      </c>
      <c r="CW27" s="224">
        <v>0</v>
      </c>
      <c r="CX27" s="224">
        <v>0</v>
      </c>
      <c r="CY27" s="224">
        <v>0</v>
      </c>
      <c r="CZ27" s="224">
        <v>0</v>
      </c>
      <c r="DA27" s="224">
        <v>0</v>
      </c>
      <c r="DB27" s="224">
        <v>0</v>
      </c>
      <c r="DC27" s="224">
        <v>0</v>
      </c>
      <c r="DD27" s="224">
        <v>0</v>
      </c>
      <c r="DE27" s="224">
        <v>0</v>
      </c>
      <c r="DF27" s="224">
        <v>0</v>
      </c>
      <c r="DG27" s="224">
        <v>0</v>
      </c>
      <c r="DH27" s="224">
        <v>0</v>
      </c>
      <c r="DI27" s="224">
        <v>0</v>
      </c>
      <c r="DJ27" s="224">
        <v>0</v>
      </c>
      <c r="DK27" s="224">
        <v>0</v>
      </c>
      <c r="DL27" s="224">
        <v>0</v>
      </c>
      <c r="DM27" s="224">
        <v>0</v>
      </c>
      <c r="DN27" s="224">
        <v>0</v>
      </c>
      <c r="DO27" s="224">
        <v>0</v>
      </c>
      <c r="DP27" s="224">
        <v>0</v>
      </c>
      <c r="DQ27" s="224">
        <f t="shared" si="0"/>
        <v>0.99999999999999956</v>
      </c>
    </row>
    <row r="28" spans="1:121" x14ac:dyDescent="0.3">
      <c r="A28" s="223" t="s">
        <v>1120</v>
      </c>
      <c r="B28" s="223" t="s">
        <v>1110</v>
      </c>
      <c r="C28" s="223" t="s">
        <v>1095</v>
      </c>
      <c r="D28" s="223" t="s">
        <v>21</v>
      </c>
      <c r="E28" s="223" t="s">
        <v>1090</v>
      </c>
      <c r="F28" s="224">
        <v>0.11928104575163399</v>
      </c>
      <c r="G28" s="224">
        <v>4.3917235402448268E-2</v>
      </c>
      <c r="H28" s="224">
        <v>3.776947242985592E-2</v>
      </c>
      <c r="I28" s="224">
        <v>0</v>
      </c>
      <c r="J28" s="224">
        <v>0</v>
      </c>
      <c r="K28" s="224">
        <v>1.4223811071389883E-2</v>
      </c>
      <c r="L28" s="224">
        <v>4.0049832087531143E-2</v>
      </c>
      <c r="M28" s="224">
        <v>1.0379879391904092E-2</v>
      </c>
      <c r="N28" s="224">
        <v>3.2679738562091504E-3</v>
      </c>
      <c r="O28" s="224">
        <v>0</v>
      </c>
      <c r="P28" s="224">
        <v>1.4223811071389883E-2</v>
      </c>
      <c r="Q28" s="224">
        <v>0</v>
      </c>
      <c r="R28" s="224">
        <v>0</v>
      </c>
      <c r="S28" s="224">
        <v>4.4198895027624313E-3</v>
      </c>
      <c r="T28" s="224">
        <v>0</v>
      </c>
      <c r="U28" s="224">
        <v>0</v>
      </c>
      <c r="V28" s="224">
        <v>1.5281840176217818E-2</v>
      </c>
      <c r="W28" s="224">
        <v>3.1856425811576931E-2</v>
      </c>
      <c r="X28" s="224">
        <v>3.3349582927093488E-2</v>
      </c>
      <c r="Y28" s="224">
        <v>0</v>
      </c>
      <c r="Z28" s="224">
        <v>0</v>
      </c>
      <c r="AA28" s="224">
        <v>0</v>
      </c>
      <c r="AB28" s="224">
        <v>0</v>
      </c>
      <c r="AC28" s="224">
        <v>0</v>
      </c>
      <c r="AD28" s="224">
        <v>1.3071895424836602E-2</v>
      </c>
      <c r="AE28" s="224">
        <v>2.2099447513812156E-3</v>
      </c>
      <c r="AF28" s="224">
        <v>0</v>
      </c>
      <c r="AG28" s="224">
        <v>1.4223811071389883E-2</v>
      </c>
      <c r="AH28" s="224">
        <v>1.4223811071389883E-2</v>
      </c>
      <c r="AI28" s="224">
        <v>2.7436536308814503E-2</v>
      </c>
      <c r="AJ28" s="224">
        <v>1.2107752861734013E-2</v>
      </c>
      <c r="AK28" s="224">
        <v>2.5226591557433287E-2</v>
      </c>
      <c r="AL28" s="224">
        <v>1.6386812551908426E-2</v>
      </c>
      <c r="AM28" s="224">
        <v>0</v>
      </c>
      <c r="AN28" s="224">
        <v>6.7403314917127075E-2</v>
      </c>
      <c r="AO28" s="224">
        <v>3.6464088397790057E-2</v>
      </c>
      <c r="AP28" s="224">
        <v>1.3071895424836602E-2</v>
      </c>
      <c r="AQ28" s="224">
        <v>1.0955837215180732E-2</v>
      </c>
      <c r="AR28" s="224">
        <v>7.1635431336438807E-2</v>
      </c>
      <c r="AS28" s="224">
        <v>5.1652042032282526E-2</v>
      </c>
      <c r="AT28" s="224">
        <v>1.5281840176217818E-2</v>
      </c>
      <c r="AU28" s="224">
        <v>6.5359477124183009E-3</v>
      </c>
      <c r="AV28" s="224">
        <v>1.5375726717943163E-2</v>
      </c>
      <c r="AW28" s="224">
        <v>1.5375726717943163E-2</v>
      </c>
      <c r="AX28" s="224">
        <v>2.7483479579677176E-2</v>
      </c>
      <c r="AY28" s="224">
        <v>3.535911602209945E-2</v>
      </c>
      <c r="AZ28" s="224">
        <v>9.8508648394901241E-3</v>
      </c>
      <c r="BA28" s="224">
        <v>2.2099447513812156E-3</v>
      </c>
      <c r="BB28" s="224">
        <v>1.417686780052721E-2</v>
      </c>
      <c r="BC28" s="224">
        <v>2.7436536308814503E-2</v>
      </c>
      <c r="BD28" s="224">
        <v>5.6071931535044958E-2</v>
      </c>
      <c r="BE28" s="224">
        <v>0</v>
      </c>
      <c r="BF28" s="224">
        <v>3.0751453435886325E-2</v>
      </c>
      <c r="BG28" s="224">
        <v>0</v>
      </c>
      <c r="BH28" s="224">
        <v>0</v>
      </c>
      <c r="BI28" s="224">
        <v>0</v>
      </c>
      <c r="BJ28" s="224">
        <v>0</v>
      </c>
      <c r="BK28" s="224">
        <v>0</v>
      </c>
      <c r="BL28" s="224">
        <v>0</v>
      </c>
      <c r="BM28" s="224">
        <v>0</v>
      </c>
      <c r="BN28" s="224">
        <v>0</v>
      </c>
      <c r="BO28" s="224">
        <v>0</v>
      </c>
      <c r="BP28" s="224">
        <v>0</v>
      </c>
      <c r="BQ28" s="224">
        <v>0</v>
      </c>
      <c r="BR28" s="224">
        <v>0</v>
      </c>
      <c r="BS28" s="224">
        <v>0</v>
      </c>
      <c r="BT28" s="224">
        <v>0</v>
      </c>
      <c r="BU28" s="224">
        <v>0</v>
      </c>
      <c r="BV28" s="224">
        <v>0</v>
      </c>
      <c r="BW28" s="224">
        <v>0</v>
      </c>
      <c r="BX28" s="224">
        <v>0</v>
      </c>
      <c r="BY28" s="224">
        <v>0</v>
      </c>
      <c r="BZ28" s="224">
        <v>0</v>
      </c>
      <c r="CA28" s="224">
        <v>0</v>
      </c>
      <c r="CB28" s="224">
        <v>0</v>
      </c>
      <c r="CC28" s="224">
        <v>0</v>
      </c>
      <c r="CD28" s="224">
        <v>0</v>
      </c>
      <c r="CE28" s="224">
        <v>0</v>
      </c>
      <c r="CF28" s="224">
        <v>0</v>
      </c>
      <c r="CG28" s="224">
        <v>0</v>
      </c>
      <c r="CH28" s="224">
        <v>0</v>
      </c>
      <c r="CI28" s="224">
        <v>0</v>
      </c>
      <c r="CJ28" s="224">
        <v>0</v>
      </c>
      <c r="CK28" s="224">
        <v>0</v>
      </c>
      <c r="CL28" s="224">
        <v>0</v>
      </c>
      <c r="CM28" s="224">
        <v>0</v>
      </c>
      <c r="CN28" s="224">
        <v>0</v>
      </c>
      <c r="CO28" s="224">
        <v>0</v>
      </c>
      <c r="CP28" s="224">
        <v>0</v>
      </c>
      <c r="CQ28" s="224">
        <v>0</v>
      </c>
      <c r="CR28" s="224">
        <v>0</v>
      </c>
      <c r="CS28" s="224">
        <v>0</v>
      </c>
      <c r="CT28" s="224">
        <v>0</v>
      </c>
      <c r="CU28" s="224">
        <v>0</v>
      </c>
      <c r="CV28" s="224">
        <v>0</v>
      </c>
      <c r="CW28" s="224">
        <v>0</v>
      </c>
      <c r="CX28" s="224">
        <v>0</v>
      </c>
      <c r="CY28" s="224">
        <v>0</v>
      </c>
      <c r="CZ28" s="224">
        <v>0</v>
      </c>
      <c r="DA28" s="224">
        <v>0</v>
      </c>
      <c r="DB28" s="224">
        <v>0</v>
      </c>
      <c r="DC28" s="224">
        <v>0</v>
      </c>
      <c r="DD28" s="224">
        <v>0</v>
      </c>
      <c r="DE28" s="224">
        <v>0</v>
      </c>
      <c r="DF28" s="224">
        <v>0</v>
      </c>
      <c r="DG28" s="224">
        <v>0</v>
      </c>
      <c r="DH28" s="224">
        <v>0</v>
      </c>
      <c r="DI28" s="224">
        <v>0</v>
      </c>
      <c r="DJ28" s="224">
        <v>0</v>
      </c>
      <c r="DK28" s="224">
        <v>0</v>
      </c>
      <c r="DL28" s="224">
        <v>0</v>
      </c>
      <c r="DM28" s="224">
        <v>0</v>
      </c>
      <c r="DN28" s="224">
        <v>0</v>
      </c>
      <c r="DO28" s="224">
        <v>0</v>
      </c>
      <c r="DP28" s="224">
        <v>0</v>
      </c>
      <c r="DQ28" s="224">
        <f t="shared" si="0"/>
        <v>1</v>
      </c>
    </row>
    <row r="29" spans="1:121" x14ac:dyDescent="0.3">
      <c r="A29" s="223" t="s">
        <v>1121</v>
      </c>
      <c r="B29" s="223" t="s">
        <v>1110</v>
      </c>
      <c r="C29" s="223" t="s">
        <v>1092</v>
      </c>
      <c r="D29" s="223" t="s">
        <v>1087</v>
      </c>
      <c r="E29" s="223" t="s">
        <v>1093</v>
      </c>
      <c r="F29" s="224">
        <v>0.25003778011414624</v>
      </c>
      <c r="G29" s="224">
        <v>2.5446822591251927E-2</v>
      </c>
      <c r="H29" s="224">
        <v>8.8857943586345862E-3</v>
      </c>
      <c r="I29" s="224">
        <v>6.672004270082732E-4</v>
      </c>
      <c r="J29" s="224">
        <v>0</v>
      </c>
      <c r="K29" s="224">
        <v>4.8435834185289591E-3</v>
      </c>
      <c r="L29" s="224">
        <v>1.2012526339487385E-2</v>
      </c>
      <c r="M29" s="224">
        <v>4.2657224120923641E-3</v>
      </c>
      <c r="N29" s="224">
        <v>4.2970001587515488E-3</v>
      </c>
      <c r="O29" s="224">
        <v>2.0671969370292336E-3</v>
      </c>
      <c r="P29" s="224">
        <v>4.2991768774619131E-3</v>
      </c>
      <c r="Q29" s="224">
        <v>5.392261820968032E-3</v>
      </c>
      <c r="R29" s="224">
        <v>2.5326384308568708E-3</v>
      </c>
      <c r="S29" s="224">
        <v>2.5117178878624621E-3</v>
      </c>
      <c r="T29" s="224">
        <v>2.4679434642730356E-3</v>
      </c>
      <c r="U29" s="224">
        <v>3.4408935129713746E-3</v>
      </c>
      <c r="V29" s="224">
        <v>1.0769167420765237E-2</v>
      </c>
      <c r="W29" s="224">
        <v>9.7379486999616682E-3</v>
      </c>
      <c r="X29" s="224">
        <v>3.9590681594689073E-3</v>
      </c>
      <c r="Y29" s="224">
        <v>4.2776306237816229E-3</v>
      </c>
      <c r="Z29" s="224">
        <v>5.1203148538053016E-3</v>
      </c>
      <c r="AA29" s="224">
        <v>1.2732709242220929E-3</v>
      </c>
      <c r="AB29" s="224">
        <v>1.9895488757850329E-3</v>
      </c>
      <c r="AC29" s="224">
        <v>1.5988963858505869E-2</v>
      </c>
      <c r="AD29" s="224">
        <v>7.0207863954915512E-3</v>
      </c>
      <c r="AE29" s="224">
        <v>3.9728839380111644E-3</v>
      </c>
      <c r="AF29" s="224">
        <v>2.5007421124501393E-3</v>
      </c>
      <c r="AG29" s="224">
        <v>6.690916645767285E-3</v>
      </c>
      <c r="AH29" s="224">
        <v>5.7383162485141756E-3</v>
      </c>
      <c r="AI29" s="224">
        <v>9.9095438472267244E-3</v>
      </c>
      <c r="AJ29" s="224">
        <v>1.5341479145688702E-2</v>
      </c>
      <c r="AK29" s="224">
        <v>3.3981181418269624E-3</v>
      </c>
      <c r="AL29" s="224">
        <v>4.2820939003936085E-3</v>
      </c>
      <c r="AM29" s="224">
        <v>0</v>
      </c>
      <c r="AN29" s="224">
        <v>1.6535697279688632E-2</v>
      </c>
      <c r="AO29" s="224">
        <v>1.4676027093669955E-2</v>
      </c>
      <c r="AP29" s="224">
        <v>6.1145031014706924E-3</v>
      </c>
      <c r="AQ29" s="224">
        <v>4.2237292433248029E-3</v>
      </c>
      <c r="AR29" s="224">
        <v>2.0310108946766384E-2</v>
      </c>
      <c r="AS29" s="224">
        <v>1.6278674860827323E-2</v>
      </c>
      <c r="AT29" s="224">
        <v>5.9079396501686629E-3</v>
      </c>
      <c r="AU29" s="224">
        <v>1.468801108512878E-3</v>
      </c>
      <c r="AV29" s="224">
        <v>5.9855964660385031E-3</v>
      </c>
      <c r="AW29" s="224">
        <v>4.5106988067175743E-3</v>
      </c>
      <c r="AX29" s="224">
        <v>3.8928355918916233E-3</v>
      </c>
      <c r="AY29" s="224">
        <v>1.2720151699937491E-2</v>
      </c>
      <c r="AZ29" s="224">
        <v>2.9505571638224135E-3</v>
      </c>
      <c r="BA29" s="224">
        <v>0</v>
      </c>
      <c r="BB29" s="224">
        <v>1.6191612468634084E-3</v>
      </c>
      <c r="BC29" s="224">
        <v>1.6361099522314147E-2</v>
      </c>
      <c r="BD29" s="224">
        <v>1.7556240038808211E-2</v>
      </c>
      <c r="BE29" s="224">
        <v>1.305945211770501E-2</v>
      </c>
      <c r="BF29" s="224">
        <v>5.7169327011467458E-3</v>
      </c>
      <c r="BG29" s="224">
        <v>1.9555886710451924E-2</v>
      </c>
      <c r="BH29" s="224">
        <v>4.0683583543018619E-2</v>
      </c>
      <c r="BI29" s="224">
        <v>4.3761481524741295E-3</v>
      </c>
      <c r="BJ29" s="224">
        <v>3.8873791079402993E-3</v>
      </c>
      <c r="BK29" s="224">
        <v>1.236304149066131E-2</v>
      </c>
      <c r="BL29" s="224">
        <v>6.0522914030675624E-3</v>
      </c>
      <c r="BM29" s="224">
        <v>1.2177375271608998E-2</v>
      </c>
      <c r="BN29" s="224">
        <v>1.0426240584415228E-2</v>
      </c>
      <c r="BO29" s="224">
        <v>2.291405569179002E-2</v>
      </c>
      <c r="BP29" s="224">
        <v>4.6251920151281671E-3</v>
      </c>
      <c r="BQ29" s="224">
        <v>8.0088245818243937E-3</v>
      </c>
      <c r="BR29" s="224">
        <v>8.7255916688303518E-3</v>
      </c>
      <c r="BS29" s="224">
        <v>8.7819469962035178E-3</v>
      </c>
      <c r="BT29" s="224">
        <v>2.0075282820665074E-2</v>
      </c>
      <c r="BU29" s="224">
        <v>2.1454840252195694E-2</v>
      </c>
      <c r="BV29" s="224">
        <v>4.2033206970480295E-3</v>
      </c>
      <c r="BW29" s="224">
        <v>6.2139239142113452E-3</v>
      </c>
      <c r="BX29" s="224">
        <v>1.8459914951062108E-2</v>
      </c>
      <c r="BY29" s="224">
        <v>6.7281030699949075E-3</v>
      </c>
      <c r="BZ29" s="224">
        <v>3.2727871230186389E-2</v>
      </c>
      <c r="CA29" s="224">
        <v>1.1994412935042052E-2</v>
      </c>
      <c r="CB29" s="224">
        <v>1.2115020800460938E-2</v>
      </c>
      <c r="CC29" s="224">
        <v>1.7067262685096035E-2</v>
      </c>
      <c r="CD29" s="224">
        <v>1.8724909853018664E-2</v>
      </c>
      <c r="CE29" s="224">
        <v>1.1655775371364781E-2</v>
      </c>
      <c r="CF29" s="224">
        <v>3.6763719144093952E-2</v>
      </c>
      <c r="CG29" s="224">
        <v>4.2108258754808168E-3</v>
      </c>
      <c r="CH29" s="224">
        <v>0</v>
      </c>
      <c r="CI29" s="224">
        <v>0</v>
      </c>
      <c r="CJ29" s="224">
        <v>0</v>
      </c>
      <c r="CK29" s="224">
        <v>0</v>
      </c>
      <c r="CL29" s="224">
        <v>0</v>
      </c>
      <c r="CM29" s="224">
        <v>0</v>
      </c>
      <c r="CN29" s="224">
        <v>0</v>
      </c>
      <c r="CO29" s="224">
        <v>0</v>
      </c>
      <c r="CP29" s="224">
        <v>0</v>
      </c>
      <c r="CQ29" s="224">
        <v>0</v>
      </c>
      <c r="CR29" s="224">
        <v>0</v>
      </c>
      <c r="CS29" s="224">
        <v>0</v>
      </c>
      <c r="CT29" s="224">
        <v>0</v>
      </c>
      <c r="CU29" s="224">
        <v>0</v>
      </c>
      <c r="CV29" s="224">
        <v>0</v>
      </c>
      <c r="CW29" s="224">
        <v>0</v>
      </c>
      <c r="CX29" s="224">
        <v>0</v>
      </c>
      <c r="CY29" s="224">
        <v>0</v>
      </c>
      <c r="CZ29" s="224">
        <v>0</v>
      </c>
      <c r="DA29" s="224">
        <v>0</v>
      </c>
      <c r="DB29" s="224">
        <v>0</v>
      </c>
      <c r="DC29" s="224">
        <v>0</v>
      </c>
      <c r="DD29" s="224">
        <v>0</v>
      </c>
      <c r="DE29" s="224">
        <v>0</v>
      </c>
      <c r="DF29" s="224">
        <v>0</v>
      </c>
      <c r="DG29" s="224">
        <v>0</v>
      </c>
      <c r="DH29" s="224">
        <v>0</v>
      </c>
      <c r="DI29" s="224">
        <v>0</v>
      </c>
      <c r="DJ29" s="224">
        <v>0</v>
      </c>
      <c r="DK29" s="224">
        <v>0</v>
      </c>
      <c r="DL29" s="224">
        <v>0</v>
      </c>
      <c r="DM29" s="224">
        <v>0</v>
      </c>
      <c r="DN29" s="224">
        <v>0</v>
      </c>
      <c r="DO29" s="224">
        <v>0</v>
      </c>
      <c r="DP29" s="224">
        <v>0</v>
      </c>
      <c r="DQ29" s="224">
        <f t="shared" si="0"/>
        <v>0.99999999999999978</v>
      </c>
    </row>
    <row r="30" spans="1:121" x14ac:dyDescent="0.3">
      <c r="A30" s="223" t="s">
        <v>1122</v>
      </c>
      <c r="B30" s="223" t="s">
        <v>1110</v>
      </c>
      <c r="C30" s="223" t="s">
        <v>1089</v>
      </c>
      <c r="D30" s="223" t="s">
        <v>1087</v>
      </c>
      <c r="E30" s="223" t="s">
        <v>1096</v>
      </c>
      <c r="F30" s="224">
        <v>0</v>
      </c>
      <c r="G30" s="224">
        <v>3.1281533804238142E-2</v>
      </c>
      <c r="H30" s="224">
        <v>4.843592330978809E-2</v>
      </c>
      <c r="I30" s="224">
        <v>2.4217961654894045E-2</v>
      </c>
      <c r="J30" s="224">
        <v>0</v>
      </c>
      <c r="K30" s="224">
        <v>2.4217961654894045E-2</v>
      </c>
      <c r="L30" s="224">
        <v>8.0726538849646822E-3</v>
      </c>
      <c r="M30" s="224">
        <v>0</v>
      </c>
      <c r="N30" s="224">
        <v>0</v>
      </c>
      <c r="O30" s="224">
        <v>0</v>
      </c>
      <c r="P30" s="224">
        <v>2.4217961654894045E-2</v>
      </c>
      <c r="Q30" s="224">
        <v>8.0726538849646822E-3</v>
      </c>
      <c r="R30" s="224">
        <v>1.6145307769929364E-2</v>
      </c>
      <c r="S30" s="224">
        <v>0</v>
      </c>
      <c r="T30" s="224">
        <v>0</v>
      </c>
      <c r="U30" s="224">
        <v>0</v>
      </c>
      <c r="V30" s="224">
        <v>1.6145307769929364E-2</v>
      </c>
      <c r="W30" s="224">
        <v>2.4217961654894045E-2</v>
      </c>
      <c r="X30" s="224">
        <v>1.6145307769929364E-2</v>
      </c>
      <c r="Y30" s="224">
        <v>2.4217961654894045E-2</v>
      </c>
      <c r="Z30" s="224">
        <v>1.2108980827447022E-2</v>
      </c>
      <c r="AA30" s="224">
        <v>0</v>
      </c>
      <c r="AB30" s="224">
        <v>0</v>
      </c>
      <c r="AC30" s="224">
        <v>0</v>
      </c>
      <c r="AD30" s="224">
        <v>1.6145307769929364E-2</v>
      </c>
      <c r="AE30" s="224">
        <v>2.4217961654894045E-2</v>
      </c>
      <c r="AF30" s="224">
        <v>8.0726538849646822E-3</v>
      </c>
      <c r="AG30" s="224">
        <v>2.4217961654894045E-2</v>
      </c>
      <c r="AH30" s="224">
        <v>4.0363269424823411E-3</v>
      </c>
      <c r="AI30" s="224">
        <v>4.0363269424823411E-3</v>
      </c>
      <c r="AJ30" s="224">
        <v>1.6145307769929364E-2</v>
      </c>
      <c r="AK30" s="224">
        <v>0</v>
      </c>
      <c r="AL30" s="224">
        <v>0</v>
      </c>
      <c r="AM30" s="224">
        <v>0</v>
      </c>
      <c r="AN30" s="224">
        <v>1.6145307769929364E-2</v>
      </c>
      <c r="AO30" s="224">
        <v>1.6145307769929364E-2</v>
      </c>
      <c r="AP30" s="224">
        <v>8.0726538849646822E-3</v>
      </c>
      <c r="AQ30" s="224">
        <v>1.6145307769929364E-2</v>
      </c>
      <c r="AR30" s="224">
        <v>3.6326942482341071E-2</v>
      </c>
      <c r="AS30" s="224">
        <v>3.6326942482341071E-2</v>
      </c>
      <c r="AT30" s="224">
        <v>3.6326942482341071E-2</v>
      </c>
      <c r="AU30" s="224">
        <v>8.0726538849646822E-3</v>
      </c>
      <c r="AV30" s="224">
        <v>8.0726538849646822E-3</v>
      </c>
      <c r="AW30" s="224">
        <v>1.6145307769929364E-2</v>
      </c>
      <c r="AX30" s="224">
        <v>1.6145307769929364E-2</v>
      </c>
      <c r="AY30" s="224">
        <v>2.4217961654894045E-2</v>
      </c>
      <c r="AZ30" s="224">
        <v>8.0726538849646822E-3</v>
      </c>
      <c r="BA30" s="224">
        <v>0</v>
      </c>
      <c r="BB30" s="224">
        <v>8.0726538849646822E-3</v>
      </c>
      <c r="BC30" s="224">
        <v>1.2108980827447022E-2</v>
      </c>
      <c r="BD30" s="224">
        <v>8.0726538849646826E-2</v>
      </c>
      <c r="BE30" s="224">
        <v>4.0363269424823413E-2</v>
      </c>
      <c r="BF30" s="224">
        <v>3.2290615539858729E-2</v>
      </c>
      <c r="BG30" s="224">
        <v>1.6145307769929364E-2</v>
      </c>
      <c r="BH30" s="224">
        <v>8.0726538849646822E-3</v>
      </c>
      <c r="BI30" s="224">
        <v>8.0726538849646822E-3</v>
      </c>
      <c r="BJ30" s="224">
        <v>2.4217961654894045E-2</v>
      </c>
      <c r="BK30" s="224">
        <v>0</v>
      </c>
      <c r="BL30" s="224">
        <v>6.0544904137235112E-3</v>
      </c>
      <c r="BM30" s="224">
        <v>6.0544904137235112E-3</v>
      </c>
      <c r="BN30" s="224">
        <v>6.0544904137235112E-3</v>
      </c>
      <c r="BO30" s="224">
        <v>6.0544904137235112E-3</v>
      </c>
      <c r="BP30" s="224">
        <v>0</v>
      </c>
      <c r="BQ30" s="224">
        <v>6.0544904137235112E-3</v>
      </c>
      <c r="BR30" s="224">
        <v>6.0544904137235112E-3</v>
      </c>
      <c r="BS30" s="224">
        <v>6.0544904137235112E-3</v>
      </c>
      <c r="BT30" s="224">
        <v>0</v>
      </c>
      <c r="BU30" s="224">
        <v>6.0544904137235112E-3</v>
      </c>
      <c r="BV30" s="224">
        <v>4.0363269424823411E-3</v>
      </c>
      <c r="BW30" s="224">
        <v>1.2108980827447022E-2</v>
      </c>
      <c r="BX30" s="224">
        <v>1.2108980827447022E-2</v>
      </c>
      <c r="BY30" s="224">
        <v>1.2108980827447022E-2</v>
      </c>
      <c r="BZ30" s="224">
        <v>1.2108980827447022E-2</v>
      </c>
      <c r="CA30" s="224">
        <v>0</v>
      </c>
      <c r="CB30" s="224">
        <v>1.2108980827447022E-2</v>
      </c>
      <c r="CC30" s="224">
        <v>1.2108980827447022E-2</v>
      </c>
      <c r="CD30" s="224">
        <v>1.2108980827447022E-2</v>
      </c>
      <c r="CE30" s="224">
        <v>0</v>
      </c>
      <c r="CF30" s="224">
        <v>1.2108980827447022E-2</v>
      </c>
      <c r="CG30" s="224">
        <v>0</v>
      </c>
      <c r="CH30" s="224">
        <v>0</v>
      </c>
      <c r="CI30" s="224">
        <v>0</v>
      </c>
      <c r="CJ30" s="224">
        <v>0</v>
      </c>
      <c r="CK30" s="224">
        <v>0</v>
      </c>
      <c r="CL30" s="224">
        <v>0</v>
      </c>
      <c r="CM30" s="224">
        <v>0</v>
      </c>
      <c r="CN30" s="224">
        <v>0</v>
      </c>
      <c r="CO30" s="224">
        <v>0</v>
      </c>
      <c r="CP30" s="224">
        <v>0</v>
      </c>
      <c r="CQ30" s="224">
        <v>0</v>
      </c>
      <c r="CR30" s="224">
        <v>0</v>
      </c>
      <c r="CS30" s="224">
        <v>0</v>
      </c>
      <c r="CT30" s="224">
        <v>0</v>
      </c>
      <c r="CU30" s="224">
        <v>0</v>
      </c>
      <c r="CV30" s="224">
        <v>0</v>
      </c>
      <c r="CW30" s="224">
        <v>0</v>
      </c>
      <c r="CX30" s="224">
        <v>0</v>
      </c>
      <c r="CY30" s="224">
        <v>0</v>
      </c>
      <c r="CZ30" s="224">
        <v>0</v>
      </c>
      <c r="DA30" s="224">
        <v>0</v>
      </c>
      <c r="DB30" s="224">
        <v>0</v>
      </c>
      <c r="DC30" s="224">
        <v>0</v>
      </c>
      <c r="DD30" s="224">
        <v>0</v>
      </c>
      <c r="DE30" s="224">
        <v>0</v>
      </c>
      <c r="DF30" s="224">
        <v>0</v>
      </c>
      <c r="DG30" s="224">
        <v>0</v>
      </c>
      <c r="DH30" s="224">
        <v>0</v>
      </c>
      <c r="DI30" s="224">
        <v>0</v>
      </c>
      <c r="DJ30" s="224">
        <v>0</v>
      </c>
      <c r="DK30" s="224">
        <v>0</v>
      </c>
      <c r="DL30" s="224">
        <v>0</v>
      </c>
      <c r="DM30" s="224">
        <v>0</v>
      </c>
      <c r="DN30" s="224">
        <v>0</v>
      </c>
      <c r="DO30" s="224">
        <v>0</v>
      </c>
      <c r="DP30" s="224">
        <v>0</v>
      </c>
      <c r="DQ30" s="224">
        <f t="shared" si="0"/>
        <v>1.0000000000000004</v>
      </c>
    </row>
    <row r="31" spans="1:121" x14ac:dyDescent="0.3">
      <c r="A31" s="223" t="s">
        <v>1123</v>
      </c>
      <c r="B31" s="223" t="s">
        <v>1124</v>
      </c>
      <c r="C31" s="223" t="s">
        <v>1092</v>
      </c>
      <c r="D31" s="223" t="s">
        <v>1087</v>
      </c>
      <c r="E31" s="223" t="s">
        <v>27</v>
      </c>
      <c r="F31" s="224">
        <v>0.31385585279815198</v>
      </c>
      <c r="G31" s="224">
        <v>3.5263519144488581E-2</v>
      </c>
      <c r="H31" s="224">
        <v>9.0546679058900598E-3</v>
      </c>
      <c r="I31" s="224">
        <v>0</v>
      </c>
      <c r="J31" s="224">
        <v>0</v>
      </c>
      <c r="K31" s="224">
        <v>1.0077734299717096E-2</v>
      </c>
      <c r="L31" s="224">
        <v>1.6290624196297194E-2</v>
      </c>
      <c r="M31" s="224">
        <v>3.3277818230133781E-3</v>
      </c>
      <c r="N31" s="224">
        <v>1.9285578504867765E-3</v>
      </c>
      <c r="O31" s="224">
        <v>0</v>
      </c>
      <c r="P31" s="224">
        <v>1.3667140912986653E-2</v>
      </c>
      <c r="Q31" s="224">
        <v>6.284092620766726E-3</v>
      </c>
      <c r="R31" s="224">
        <v>0</v>
      </c>
      <c r="S31" s="224">
        <v>4.7424631998668684E-3</v>
      </c>
      <c r="T31" s="224">
        <v>7.0270346712867863E-3</v>
      </c>
      <c r="U31" s="224">
        <v>4.5443617637753425E-2</v>
      </c>
      <c r="V31" s="224">
        <v>7.9123821701801017E-3</v>
      </c>
      <c r="W31" s="224">
        <v>7.8628444781218519E-3</v>
      </c>
      <c r="X31" s="224">
        <v>2.4780356862133769E-3</v>
      </c>
      <c r="Y31" s="224">
        <v>3.3664746659720704E-2</v>
      </c>
      <c r="Z31" s="224">
        <v>8.5283761766537947E-3</v>
      </c>
      <c r="AA31" s="224">
        <v>0</v>
      </c>
      <c r="AB31" s="224">
        <v>0</v>
      </c>
      <c r="AC31" s="224">
        <v>1.0850070084528981E-2</v>
      </c>
      <c r="AD31" s="224">
        <v>1.5493581230633024E-2</v>
      </c>
      <c r="AE31" s="224">
        <v>1.0339359089973275E-2</v>
      </c>
      <c r="AF31" s="224">
        <v>2.5848397724933187E-3</v>
      </c>
      <c r="AG31" s="224">
        <v>1.2382449728903438E-2</v>
      </c>
      <c r="AH31" s="224">
        <v>8.0547876185533586E-3</v>
      </c>
      <c r="AI31" s="224">
        <v>1.4084984151227352E-2</v>
      </c>
      <c r="AJ31" s="224">
        <v>1.6275166791970306E-2</v>
      </c>
      <c r="AK31" s="224">
        <v>1.4858841010401188E-3</v>
      </c>
      <c r="AL31" s="224">
        <v>1.8573551263001485E-3</v>
      </c>
      <c r="AM31" s="224">
        <v>0</v>
      </c>
      <c r="AN31" s="224">
        <v>2.5764656414789908E-2</v>
      </c>
      <c r="AO31" s="224">
        <v>1.4176330833180404E-2</v>
      </c>
      <c r="AP31" s="224">
        <v>1.4280092770736436E-2</v>
      </c>
      <c r="AQ31" s="224">
        <v>4.9839440323566223E-3</v>
      </c>
      <c r="AR31" s="224">
        <v>6.0929346835869341E-2</v>
      </c>
      <c r="AS31" s="224">
        <v>9.6196031459435498E-3</v>
      </c>
      <c r="AT31" s="224">
        <v>3.3277818230133781E-3</v>
      </c>
      <c r="AU31" s="224">
        <v>1.4858841010401188E-3</v>
      </c>
      <c r="AV31" s="224">
        <v>1.2026436107970297E-2</v>
      </c>
      <c r="AW31" s="224">
        <v>6.6401062416998674E-3</v>
      </c>
      <c r="AX31" s="224">
        <v>3.7627268702965914E-3</v>
      </c>
      <c r="AY31" s="224">
        <v>1.4061798044737017E-2</v>
      </c>
      <c r="AZ31" s="224">
        <v>7.5687838048499418E-3</v>
      </c>
      <c r="BA31" s="224">
        <v>0</v>
      </c>
      <c r="BB31" s="224">
        <v>1.1066843736166445E-3</v>
      </c>
      <c r="BC31" s="224">
        <v>7.5486398470835173E-3</v>
      </c>
      <c r="BD31" s="224">
        <v>8.706382987120365E-3</v>
      </c>
      <c r="BE31" s="224">
        <v>9.6350605502704394E-3</v>
      </c>
      <c r="BF31" s="224">
        <v>4.0707238735334375E-3</v>
      </c>
      <c r="BG31" s="224">
        <v>5.3429998020136718E-3</v>
      </c>
      <c r="BH31" s="224">
        <v>5.3429998020136718E-3</v>
      </c>
      <c r="BI31" s="224">
        <v>2.9563107977533484E-3</v>
      </c>
      <c r="BJ31" s="224">
        <v>3.3277818230133781E-3</v>
      </c>
      <c r="BK31" s="224">
        <v>2.213368747233289E-3</v>
      </c>
      <c r="BL31" s="224">
        <v>5.4575325904570593E-3</v>
      </c>
      <c r="BM31" s="224">
        <v>6.4574128777937613E-3</v>
      </c>
      <c r="BN31" s="224">
        <v>4.0707238735334375E-3</v>
      </c>
      <c r="BO31" s="224">
        <v>2.2201601387088266E-2</v>
      </c>
      <c r="BP31" s="224">
        <v>4.5288550273069848E-3</v>
      </c>
      <c r="BQ31" s="224">
        <v>1.7706949977866313E-3</v>
      </c>
      <c r="BR31" s="224">
        <v>4.9715287767536425E-3</v>
      </c>
      <c r="BS31" s="224">
        <v>1.9285578504867765E-3</v>
      </c>
      <c r="BT31" s="224">
        <v>4.4267374944665782E-4</v>
      </c>
      <c r="BU31" s="224">
        <v>2.5934872857916198E-2</v>
      </c>
      <c r="BV31" s="224">
        <v>2.2133687472332891E-4</v>
      </c>
      <c r="BW31" s="224">
        <v>4.4267374944665782E-4</v>
      </c>
      <c r="BX31" s="224">
        <v>4.2285867262335831E-3</v>
      </c>
      <c r="BY31" s="224">
        <v>7.9278395745069914E-3</v>
      </c>
      <c r="BZ31" s="224">
        <v>7.8504292225188739E-3</v>
      </c>
      <c r="CA31" s="224">
        <v>5.3429998020136718E-3</v>
      </c>
      <c r="CB31" s="224">
        <v>8.8534749889331564E-4</v>
      </c>
      <c r="CC31" s="224">
        <v>4.6279304114234827E-3</v>
      </c>
      <c r="CD31" s="224">
        <v>1.4518346458971773E-2</v>
      </c>
      <c r="CE31" s="224">
        <v>0</v>
      </c>
      <c r="CF31" s="224">
        <v>2.2288261515601784E-2</v>
      </c>
      <c r="CG31" s="224">
        <v>4.2054006197432495E-3</v>
      </c>
      <c r="CH31" s="224">
        <v>0</v>
      </c>
      <c r="CI31" s="224">
        <v>0</v>
      </c>
      <c r="CJ31" s="224">
        <v>0</v>
      </c>
      <c r="CK31" s="224">
        <v>0</v>
      </c>
      <c r="CL31" s="224">
        <v>0</v>
      </c>
      <c r="CM31" s="224">
        <v>0</v>
      </c>
      <c r="CN31" s="224">
        <v>0</v>
      </c>
      <c r="CO31" s="224">
        <v>0</v>
      </c>
      <c r="CP31" s="224">
        <v>0</v>
      </c>
      <c r="CQ31" s="224">
        <v>0</v>
      </c>
      <c r="CR31" s="224">
        <v>0</v>
      </c>
      <c r="CS31" s="224">
        <v>0</v>
      </c>
      <c r="CT31" s="224">
        <v>0</v>
      </c>
      <c r="CU31" s="224">
        <v>0</v>
      </c>
      <c r="CV31" s="224">
        <v>0</v>
      </c>
      <c r="CW31" s="224">
        <v>0</v>
      </c>
      <c r="CX31" s="224">
        <v>0</v>
      </c>
      <c r="CY31" s="224">
        <v>0</v>
      </c>
      <c r="CZ31" s="224">
        <v>0</v>
      </c>
      <c r="DA31" s="224">
        <v>0</v>
      </c>
      <c r="DB31" s="224">
        <v>0</v>
      </c>
      <c r="DC31" s="224">
        <v>0</v>
      </c>
      <c r="DD31" s="224">
        <v>0</v>
      </c>
      <c r="DE31" s="224">
        <v>0</v>
      </c>
      <c r="DF31" s="224">
        <v>0</v>
      </c>
      <c r="DG31" s="224">
        <v>0</v>
      </c>
      <c r="DH31" s="224">
        <v>0</v>
      </c>
      <c r="DI31" s="224">
        <v>0</v>
      </c>
      <c r="DJ31" s="224">
        <v>0</v>
      </c>
      <c r="DK31" s="224">
        <v>0</v>
      </c>
      <c r="DL31" s="224">
        <v>0</v>
      </c>
      <c r="DM31" s="224">
        <v>0</v>
      </c>
      <c r="DN31" s="224">
        <v>0</v>
      </c>
      <c r="DO31" s="224">
        <v>0</v>
      </c>
      <c r="DP31" s="224">
        <v>0</v>
      </c>
      <c r="DQ31" s="224">
        <f t="shared" si="0"/>
        <v>1</v>
      </c>
    </row>
    <row r="32" spans="1:121" x14ac:dyDescent="0.3">
      <c r="A32" s="223" t="s">
        <v>1125</v>
      </c>
      <c r="B32" s="223" t="s">
        <v>1124</v>
      </c>
      <c r="C32" s="223" t="s">
        <v>1086</v>
      </c>
      <c r="D32" s="223" t="s">
        <v>1087</v>
      </c>
      <c r="E32" s="223" t="s">
        <v>27</v>
      </c>
      <c r="F32" s="224">
        <v>0.17875814742729246</v>
      </c>
      <c r="G32" s="224">
        <v>4.2636655236608756E-2</v>
      </c>
      <c r="H32" s="224">
        <v>1.352869068813739E-2</v>
      </c>
      <c r="I32" s="224">
        <v>3.5770176615247039E-4</v>
      </c>
      <c r="J32" s="224">
        <v>2.5039123630672924E-3</v>
      </c>
      <c r="K32" s="224">
        <v>1.3920436025743171E-2</v>
      </c>
      <c r="L32" s="224">
        <v>1.7074321485784909E-2</v>
      </c>
      <c r="M32" s="224">
        <v>1.2870205736106305E-2</v>
      </c>
      <c r="N32" s="224">
        <v>1.8184333156331663E-2</v>
      </c>
      <c r="O32" s="224">
        <v>0</v>
      </c>
      <c r="P32" s="224">
        <v>1.7037029685296995E-2</v>
      </c>
      <c r="Q32" s="224">
        <v>1.1769101989998048E-2</v>
      </c>
      <c r="R32" s="224">
        <v>0</v>
      </c>
      <c r="S32" s="224">
        <v>2.8616141292197631E-3</v>
      </c>
      <c r="T32" s="224">
        <v>0</v>
      </c>
      <c r="U32" s="224">
        <v>5.170358047519822E-2</v>
      </c>
      <c r="V32" s="224">
        <v>2.0001018576089095E-2</v>
      </c>
      <c r="W32" s="224">
        <v>1.104300473308549E-2</v>
      </c>
      <c r="X32" s="224">
        <v>6.8243057620373188E-3</v>
      </c>
      <c r="Y32" s="224">
        <v>4.5882083046570312E-3</v>
      </c>
      <c r="Z32" s="224">
        <v>1.9737396214320801E-2</v>
      </c>
      <c r="AA32" s="224">
        <v>1.895016107636915E-3</v>
      </c>
      <c r="AB32" s="224">
        <v>0</v>
      </c>
      <c r="AC32" s="224">
        <v>0</v>
      </c>
      <c r="AD32" s="224">
        <v>5.6253155371366421E-3</v>
      </c>
      <c r="AE32" s="224">
        <v>5.6199273245753122E-3</v>
      </c>
      <c r="AF32" s="224">
        <v>3.2660903864726938E-3</v>
      </c>
      <c r="AG32" s="224">
        <v>9.6068094559142777E-3</v>
      </c>
      <c r="AH32" s="224">
        <v>9.4649319616914654E-3</v>
      </c>
      <c r="AI32" s="224">
        <v>1.1671503193009941E-2</v>
      </c>
      <c r="AJ32" s="224">
        <v>4.256786953261147E-2</v>
      </c>
      <c r="AK32" s="224">
        <v>7.9140314769038291E-3</v>
      </c>
      <c r="AL32" s="224">
        <v>1.8896278950755845E-3</v>
      </c>
      <c r="AM32" s="224">
        <v>0</v>
      </c>
      <c r="AN32" s="224">
        <v>1.0322212988219217E-2</v>
      </c>
      <c r="AO32" s="224">
        <v>2.0903881245175809E-2</v>
      </c>
      <c r="AP32" s="224">
        <v>4.5882083046570312E-4</v>
      </c>
      <c r="AQ32" s="224">
        <v>6.4717045266418673E-3</v>
      </c>
      <c r="AR32" s="224">
        <v>2.8616141292197631E-3</v>
      </c>
      <c r="AS32" s="224">
        <v>1.7470116638177876E-2</v>
      </c>
      <c r="AT32" s="224">
        <v>9.734588570104211E-3</v>
      </c>
      <c r="AU32" s="224">
        <v>5.1664947066709394E-3</v>
      </c>
      <c r="AV32" s="224">
        <v>1.3045271578126386E-2</v>
      </c>
      <c r="AW32" s="224">
        <v>1.8025411780924903E-2</v>
      </c>
      <c r="AX32" s="224">
        <v>3.2660903864726938E-3</v>
      </c>
      <c r="AY32" s="224">
        <v>8.1505293555788477E-3</v>
      </c>
      <c r="AZ32" s="224">
        <v>9.7818752979343566E-3</v>
      </c>
      <c r="BA32" s="224">
        <v>0</v>
      </c>
      <c r="BB32" s="224">
        <v>9.1764166093140625E-4</v>
      </c>
      <c r="BC32" s="224">
        <v>1.6621545779121671E-2</v>
      </c>
      <c r="BD32" s="224">
        <v>2.5267207400010844E-2</v>
      </c>
      <c r="BE32" s="224">
        <v>1.5465320449339926E-2</v>
      </c>
      <c r="BF32" s="224">
        <v>8.9511387093834383E-3</v>
      </c>
      <c r="BG32" s="224">
        <v>3.1283003366680016E-2</v>
      </c>
      <c r="BH32" s="224">
        <v>5.5058499655884384E-3</v>
      </c>
      <c r="BI32" s="224">
        <v>3.7302994294997273E-3</v>
      </c>
      <c r="BJ32" s="224">
        <v>6.3407190694415834E-3</v>
      </c>
      <c r="BK32" s="224">
        <v>6.3492063492063501E-3</v>
      </c>
      <c r="BL32" s="224">
        <v>9.8905644443599006E-3</v>
      </c>
      <c r="BM32" s="224">
        <v>1.8767756376036494E-2</v>
      </c>
      <c r="BN32" s="224">
        <v>8.0552811224970881E-3</v>
      </c>
      <c r="BO32" s="224">
        <v>1.9222169040310922E-2</v>
      </c>
      <c r="BP32" s="224">
        <v>1.32083052977647E-2</v>
      </c>
      <c r="BQ32" s="224">
        <v>4.0086662053840207E-3</v>
      </c>
      <c r="BR32" s="224">
        <v>9.7473250879669873E-3</v>
      </c>
      <c r="BS32" s="224">
        <v>1.0868904128405694E-2</v>
      </c>
      <c r="BT32" s="224">
        <v>0</v>
      </c>
      <c r="BU32" s="224">
        <v>2.8314443450606342E-2</v>
      </c>
      <c r="BV32" s="224">
        <v>6.8823124569855479E-4</v>
      </c>
      <c r="BW32" s="224">
        <v>1.1289062404672473E-2</v>
      </c>
      <c r="BX32" s="224">
        <v>1.0903454338373067E-2</v>
      </c>
      <c r="BY32" s="224">
        <v>6.1330927282537877E-3</v>
      </c>
      <c r="BZ32" s="224">
        <v>1.4949335241945583E-2</v>
      </c>
      <c r="CA32" s="224">
        <v>6.9963898159724211E-3</v>
      </c>
      <c r="CB32" s="224">
        <v>4.8619208815205463E-3</v>
      </c>
      <c r="CC32" s="224">
        <v>5.320741711986249E-3</v>
      </c>
      <c r="CD32" s="224">
        <v>4.6968974510825752E-3</v>
      </c>
      <c r="CE32" s="224">
        <v>0</v>
      </c>
      <c r="CF32" s="224">
        <v>1.863375617825451E-2</v>
      </c>
      <c r="CG32" s="224">
        <v>2.4323720098367984E-3</v>
      </c>
      <c r="CH32" s="224">
        <v>0</v>
      </c>
      <c r="CI32" s="224">
        <v>0</v>
      </c>
      <c r="CJ32" s="224">
        <v>0</v>
      </c>
      <c r="CK32" s="224">
        <v>0</v>
      </c>
      <c r="CL32" s="224">
        <v>0</v>
      </c>
      <c r="CM32" s="224">
        <v>0</v>
      </c>
      <c r="CN32" s="224">
        <v>0</v>
      </c>
      <c r="CO32" s="224">
        <v>0</v>
      </c>
      <c r="CP32" s="224">
        <v>0</v>
      </c>
      <c r="CQ32" s="224">
        <v>0</v>
      </c>
      <c r="CR32" s="224">
        <v>0</v>
      </c>
      <c r="CS32" s="224">
        <v>0</v>
      </c>
      <c r="CT32" s="224">
        <v>0</v>
      </c>
      <c r="CU32" s="224">
        <v>0</v>
      </c>
      <c r="CV32" s="224">
        <v>0</v>
      </c>
      <c r="CW32" s="224">
        <v>0</v>
      </c>
      <c r="CX32" s="224">
        <v>0</v>
      </c>
      <c r="CY32" s="224">
        <v>0</v>
      </c>
      <c r="CZ32" s="224">
        <v>0</v>
      </c>
      <c r="DA32" s="224">
        <v>0</v>
      </c>
      <c r="DB32" s="224">
        <v>0</v>
      </c>
      <c r="DC32" s="224">
        <v>0</v>
      </c>
      <c r="DD32" s="224">
        <v>0</v>
      </c>
      <c r="DE32" s="224">
        <v>0</v>
      </c>
      <c r="DF32" s="224">
        <v>0</v>
      </c>
      <c r="DG32" s="224">
        <v>0</v>
      </c>
      <c r="DH32" s="224">
        <v>0</v>
      </c>
      <c r="DI32" s="224">
        <v>0</v>
      </c>
      <c r="DJ32" s="224">
        <v>0</v>
      </c>
      <c r="DK32" s="224">
        <v>0</v>
      </c>
      <c r="DL32" s="224">
        <v>0</v>
      </c>
      <c r="DM32" s="224">
        <v>0</v>
      </c>
      <c r="DN32" s="224">
        <v>0</v>
      </c>
      <c r="DO32" s="224">
        <v>0</v>
      </c>
      <c r="DP32" s="224">
        <v>0</v>
      </c>
      <c r="DQ32" s="224">
        <f t="shared" si="0"/>
        <v>1</v>
      </c>
    </row>
    <row r="33" spans="1:121" x14ac:dyDescent="0.3">
      <c r="A33" s="223" t="s">
        <v>1126</v>
      </c>
      <c r="B33" s="223" t="s">
        <v>1124</v>
      </c>
      <c r="C33" s="223" t="s">
        <v>1089</v>
      </c>
      <c r="D33" s="223" t="s">
        <v>1087</v>
      </c>
      <c r="E33" s="223" t="s">
        <v>1096</v>
      </c>
      <c r="F33" s="224">
        <v>0</v>
      </c>
      <c r="G33" s="224">
        <v>3.5592917188338402E-2</v>
      </c>
      <c r="H33" s="224">
        <v>0</v>
      </c>
      <c r="I33" s="224">
        <v>0</v>
      </c>
      <c r="J33" s="224">
        <v>0</v>
      </c>
      <c r="K33" s="224">
        <v>8.5852262564836343E-3</v>
      </c>
      <c r="L33" s="224">
        <v>1.7885888034340904E-2</v>
      </c>
      <c r="M33" s="224">
        <v>7.1543552137363622E-3</v>
      </c>
      <c r="N33" s="224">
        <v>0</v>
      </c>
      <c r="O33" s="224">
        <v>0</v>
      </c>
      <c r="P33" s="224">
        <v>2.1463065641209086E-2</v>
      </c>
      <c r="Q33" s="224">
        <v>1.4308710427472724E-2</v>
      </c>
      <c r="R33" s="224">
        <v>0</v>
      </c>
      <c r="S33" s="224">
        <v>3.5771776068681811E-3</v>
      </c>
      <c r="T33" s="224">
        <v>0</v>
      </c>
      <c r="U33" s="224">
        <v>0.18601323555714541</v>
      </c>
      <c r="V33" s="224">
        <v>1.1446968341978178E-2</v>
      </c>
      <c r="W33" s="224">
        <v>2.1463065641209086E-2</v>
      </c>
      <c r="X33" s="224">
        <v>0</v>
      </c>
      <c r="Y33" s="224">
        <v>1.4308710427472724E-2</v>
      </c>
      <c r="Z33" s="224">
        <v>0</v>
      </c>
      <c r="AA33" s="224">
        <v>0</v>
      </c>
      <c r="AB33" s="224">
        <v>0</v>
      </c>
      <c r="AC33" s="224">
        <v>0</v>
      </c>
      <c r="AD33" s="224">
        <v>0</v>
      </c>
      <c r="AE33" s="224">
        <v>0</v>
      </c>
      <c r="AF33" s="224">
        <v>1.4308710427472724E-2</v>
      </c>
      <c r="AG33" s="224">
        <v>1.0731532820604543E-2</v>
      </c>
      <c r="AH33" s="224">
        <v>7.1543552137363622E-3</v>
      </c>
      <c r="AI33" s="224">
        <v>2.8617420854945449E-2</v>
      </c>
      <c r="AJ33" s="224">
        <v>4.2926131282418171E-2</v>
      </c>
      <c r="AK33" s="224">
        <v>1.0731532820604543E-2</v>
      </c>
      <c r="AL33" s="224">
        <v>3.5771776068681811E-3</v>
      </c>
      <c r="AM33" s="224">
        <v>0</v>
      </c>
      <c r="AN33" s="224">
        <v>2.8617420854945449E-2</v>
      </c>
      <c r="AO33" s="224">
        <v>3.5771776068681808E-2</v>
      </c>
      <c r="AP33" s="224">
        <v>0</v>
      </c>
      <c r="AQ33" s="224">
        <v>3.5771776068681811E-3</v>
      </c>
      <c r="AR33" s="224">
        <v>0</v>
      </c>
      <c r="AS33" s="224">
        <v>0</v>
      </c>
      <c r="AT33" s="224">
        <v>0</v>
      </c>
      <c r="AU33" s="224">
        <v>0</v>
      </c>
      <c r="AV33" s="224">
        <v>0</v>
      </c>
      <c r="AW33" s="224">
        <v>0</v>
      </c>
      <c r="AX33" s="224">
        <v>1.4308710427472724E-2</v>
      </c>
      <c r="AY33" s="224">
        <v>3.5771776068681808E-2</v>
      </c>
      <c r="AZ33" s="224">
        <v>1.4308710427472724E-2</v>
      </c>
      <c r="BA33" s="224">
        <v>0</v>
      </c>
      <c r="BB33" s="224">
        <v>0</v>
      </c>
      <c r="BC33" s="224">
        <v>2.1463065641209086E-2</v>
      </c>
      <c r="BD33" s="224">
        <v>8.5852262564836343E-2</v>
      </c>
      <c r="BE33" s="224">
        <v>8.5852262564836343E-2</v>
      </c>
      <c r="BF33" s="224">
        <v>1.4308710427472724E-2</v>
      </c>
      <c r="BG33" s="224">
        <v>2.8617420854945449E-2</v>
      </c>
      <c r="BH33" s="224">
        <v>3.5771776068681808E-2</v>
      </c>
      <c r="BI33" s="224">
        <v>2.1463065641209086E-2</v>
      </c>
      <c r="BJ33" s="224">
        <v>1.4308710427472724E-2</v>
      </c>
      <c r="BK33" s="224">
        <v>0</v>
      </c>
      <c r="BL33" s="224">
        <v>0</v>
      </c>
      <c r="BM33" s="224">
        <v>0</v>
      </c>
      <c r="BN33" s="224">
        <v>0</v>
      </c>
      <c r="BO33" s="224">
        <v>0</v>
      </c>
      <c r="BP33" s="224">
        <v>0</v>
      </c>
      <c r="BQ33" s="224">
        <v>0</v>
      </c>
      <c r="BR33" s="224">
        <v>0</v>
      </c>
      <c r="BS33" s="224">
        <v>0</v>
      </c>
      <c r="BT33" s="224">
        <v>0</v>
      </c>
      <c r="BU33" s="224">
        <v>5.0080486496154535E-2</v>
      </c>
      <c r="BV33" s="224">
        <v>0</v>
      </c>
      <c r="BW33" s="224">
        <v>0</v>
      </c>
      <c r="BX33" s="224">
        <v>0</v>
      </c>
      <c r="BY33" s="224">
        <v>0</v>
      </c>
      <c r="BZ33" s="224">
        <v>0</v>
      </c>
      <c r="CA33" s="224">
        <v>0</v>
      </c>
      <c r="CB33" s="224">
        <v>0</v>
      </c>
      <c r="CC33" s="224">
        <v>0</v>
      </c>
      <c r="CD33" s="224">
        <v>0</v>
      </c>
      <c r="CE33" s="224">
        <v>0</v>
      </c>
      <c r="CF33" s="224">
        <v>5.0080486496154535E-2</v>
      </c>
      <c r="CG33" s="224">
        <v>0</v>
      </c>
      <c r="CH33" s="224">
        <v>0</v>
      </c>
      <c r="CI33" s="224">
        <v>0</v>
      </c>
      <c r="CJ33" s="224">
        <v>0</v>
      </c>
      <c r="CK33" s="224">
        <v>0</v>
      </c>
      <c r="CL33" s="224">
        <v>0</v>
      </c>
      <c r="CM33" s="224">
        <v>0</v>
      </c>
      <c r="CN33" s="224">
        <v>0</v>
      </c>
      <c r="CO33" s="224">
        <v>0</v>
      </c>
      <c r="CP33" s="224">
        <v>0</v>
      </c>
      <c r="CQ33" s="224">
        <v>0</v>
      </c>
      <c r="CR33" s="224">
        <v>0</v>
      </c>
      <c r="CS33" s="224">
        <v>0</v>
      </c>
      <c r="CT33" s="224">
        <v>0</v>
      </c>
      <c r="CU33" s="224">
        <v>0</v>
      </c>
      <c r="CV33" s="224">
        <v>0</v>
      </c>
      <c r="CW33" s="224">
        <v>0</v>
      </c>
      <c r="CX33" s="224">
        <v>0</v>
      </c>
      <c r="CY33" s="224">
        <v>0</v>
      </c>
      <c r="CZ33" s="224">
        <v>0</v>
      </c>
      <c r="DA33" s="224">
        <v>0</v>
      </c>
      <c r="DB33" s="224">
        <v>0</v>
      </c>
      <c r="DC33" s="224">
        <v>0</v>
      </c>
      <c r="DD33" s="224">
        <v>0</v>
      </c>
      <c r="DE33" s="224">
        <v>0</v>
      </c>
      <c r="DF33" s="224">
        <v>0</v>
      </c>
      <c r="DG33" s="224">
        <v>0</v>
      </c>
      <c r="DH33" s="224">
        <v>0</v>
      </c>
      <c r="DI33" s="224">
        <v>0</v>
      </c>
      <c r="DJ33" s="224">
        <v>0</v>
      </c>
      <c r="DK33" s="224">
        <v>0</v>
      </c>
      <c r="DL33" s="224">
        <v>0</v>
      </c>
      <c r="DM33" s="224">
        <v>0</v>
      </c>
      <c r="DN33" s="224">
        <v>0</v>
      </c>
      <c r="DO33" s="224">
        <v>0</v>
      </c>
      <c r="DP33" s="224">
        <v>0</v>
      </c>
      <c r="DQ33" s="224">
        <f t="shared" si="0"/>
        <v>0.99999999999999967</v>
      </c>
    </row>
    <row r="34" spans="1:121" x14ac:dyDescent="0.3">
      <c r="A34" s="223" t="s">
        <v>1127</v>
      </c>
      <c r="B34" s="223" t="s">
        <v>1124</v>
      </c>
      <c r="C34" s="223" t="s">
        <v>1092</v>
      </c>
      <c r="D34" s="223" t="s">
        <v>1087</v>
      </c>
      <c r="E34" s="223" t="s">
        <v>1093</v>
      </c>
      <c r="F34" s="224">
        <v>0.34058249556475456</v>
      </c>
      <c r="G34" s="224">
        <v>2.1289178001182733E-2</v>
      </c>
      <c r="H34" s="224">
        <v>3.7551744529863984E-3</v>
      </c>
      <c r="I34" s="224">
        <v>5.9136605558840927E-4</v>
      </c>
      <c r="J34" s="224">
        <v>0</v>
      </c>
      <c r="K34" s="224">
        <v>2.0697811945594322E-2</v>
      </c>
      <c r="L34" s="224">
        <v>5.0059136605558843E-2</v>
      </c>
      <c r="M34" s="224">
        <v>1.1827321111768185E-3</v>
      </c>
      <c r="N34" s="224">
        <v>4.7900650502661147E-3</v>
      </c>
      <c r="O34" s="224">
        <v>2.3654642223536371E-3</v>
      </c>
      <c r="P34" s="224">
        <v>4.1986989946777055E-3</v>
      </c>
      <c r="Q34" s="224">
        <v>3.5481963335304554E-3</v>
      </c>
      <c r="R34" s="224">
        <v>2.3654642223536371E-3</v>
      </c>
      <c r="S34" s="224">
        <v>2.3654642223536371E-3</v>
      </c>
      <c r="T34" s="224">
        <v>0</v>
      </c>
      <c r="U34" s="224">
        <v>1.2418687167356593E-2</v>
      </c>
      <c r="V34" s="224">
        <v>2.3654642223536371E-3</v>
      </c>
      <c r="W34" s="224">
        <v>3.9621525724423418E-3</v>
      </c>
      <c r="X34" s="224">
        <v>2.3654642223536371E-3</v>
      </c>
      <c r="Y34" s="224">
        <v>5.9136605558840927E-4</v>
      </c>
      <c r="Z34" s="224">
        <v>1.1827321111768185E-3</v>
      </c>
      <c r="AA34" s="224">
        <v>0</v>
      </c>
      <c r="AB34" s="224">
        <v>0</v>
      </c>
      <c r="AC34" s="224">
        <v>2.3654642223536369E-4</v>
      </c>
      <c r="AD34" s="224">
        <v>5.9136605558840927E-4</v>
      </c>
      <c r="AE34" s="224">
        <v>5.9136605558840927E-4</v>
      </c>
      <c r="AF34" s="224">
        <v>1.7740981667652277E-3</v>
      </c>
      <c r="AG34" s="224">
        <v>1.1827321111768185E-3</v>
      </c>
      <c r="AH34" s="224">
        <v>1.7740981667652277E-3</v>
      </c>
      <c r="AI34" s="224">
        <v>1.4429331756357185E-2</v>
      </c>
      <c r="AJ34" s="224">
        <v>5.9136605558840925E-3</v>
      </c>
      <c r="AK34" s="224">
        <v>2.4837374334713189E-3</v>
      </c>
      <c r="AL34" s="224">
        <v>2.9568302779420462E-3</v>
      </c>
      <c r="AM34" s="224">
        <v>0</v>
      </c>
      <c r="AN34" s="224">
        <v>4.4943820224719105E-3</v>
      </c>
      <c r="AO34" s="224">
        <v>1.1797752808988765E-2</v>
      </c>
      <c r="AP34" s="224">
        <v>1.1827321111768185E-3</v>
      </c>
      <c r="AQ34" s="224">
        <v>1.1827321111768185E-3</v>
      </c>
      <c r="AR34" s="224">
        <v>9.7575399172087525E-3</v>
      </c>
      <c r="AS34" s="224">
        <v>4.3169722057953873E-3</v>
      </c>
      <c r="AT34" s="224">
        <v>2.5724423418095801E-3</v>
      </c>
      <c r="AU34" s="224">
        <v>5.9136605558840927E-4</v>
      </c>
      <c r="AV34" s="224">
        <v>1.7740981667652277E-3</v>
      </c>
      <c r="AW34" s="224">
        <v>1.0053222945002957E-2</v>
      </c>
      <c r="AX34" s="224">
        <v>2.3654642223536371E-3</v>
      </c>
      <c r="AY34" s="224">
        <v>2.9568302779420462E-3</v>
      </c>
      <c r="AZ34" s="224">
        <v>1.3542282672974571E-2</v>
      </c>
      <c r="BA34" s="224">
        <v>0</v>
      </c>
      <c r="BB34" s="224">
        <v>0</v>
      </c>
      <c r="BC34" s="224">
        <v>2.9479597871082199E-2</v>
      </c>
      <c r="BD34" s="224">
        <v>1.6026020106445889E-2</v>
      </c>
      <c r="BE34" s="224">
        <v>1.8391484328799525E-2</v>
      </c>
      <c r="BF34" s="224">
        <v>8.6339444115907747E-3</v>
      </c>
      <c r="BG34" s="224">
        <v>6.6232998225901835E-3</v>
      </c>
      <c r="BH34" s="224">
        <v>1.1827321111768185E-3</v>
      </c>
      <c r="BI34" s="224">
        <v>1.1827321111768185E-3</v>
      </c>
      <c r="BJ34" s="224">
        <v>3.5481963335304554E-3</v>
      </c>
      <c r="BK34" s="224">
        <v>1.4192785334121822E-2</v>
      </c>
      <c r="BL34" s="224">
        <v>1.0526315789473684E-2</v>
      </c>
      <c r="BM34" s="224">
        <v>8.27912477823773E-3</v>
      </c>
      <c r="BN34" s="224">
        <v>5.6179775280898875E-2</v>
      </c>
      <c r="BO34" s="224">
        <v>2.0106445890005913E-2</v>
      </c>
      <c r="BP34" s="224">
        <v>2.1289178001182733E-2</v>
      </c>
      <c r="BQ34" s="224">
        <v>1.0644589000591367E-2</v>
      </c>
      <c r="BR34" s="224">
        <v>6.5050266114725017E-3</v>
      </c>
      <c r="BS34" s="224">
        <v>2.9568302779420462E-3</v>
      </c>
      <c r="BT34" s="224">
        <v>1.4399763453577765E-2</v>
      </c>
      <c r="BU34" s="224">
        <v>1.6913069189828503E-2</v>
      </c>
      <c r="BV34" s="224">
        <v>8.5748078060319342E-3</v>
      </c>
      <c r="BW34" s="224">
        <v>1.1827321111768185E-3</v>
      </c>
      <c r="BX34" s="224">
        <v>6.4458900059136612E-3</v>
      </c>
      <c r="BY34" s="224">
        <v>4.5150798344175042E-2</v>
      </c>
      <c r="BZ34" s="224">
        <v>1.8923713778829097E-2</v>
      </c>
      <c r="CA34" s="224">
        <v>1.5774689532820817E-2</v>
      </c>
      <c r="CB34" s="224">
        <v>9.0774689532820817E-3</v>
      </c>
      <c r="CC34" s="224">
        <v>5.9136605558840925E-3</v>
      </c>
      <c r="CD34" s="224">
        <v>1.8923713778829095E-3</v>
      </c>
      <c r="CE34" s="224">
        <v>5.3222945002956833E-3</v>
      </c>
      <c r="CF34" s="224">
        <v>2.3211117681845063E-2</v>
      </c>
      <c r="CG34" s="224">
        <v>1.2270845653459492E-2</v>
      </c>
      <c r="CH34" s="224">
        <v>0</v>
      </c>
      <c r="CI34" s="224">
        <v>0</v>
      </c>
      <c r="CJ34" s="224">
        <v>0</v>
      </c>
      <c r="CK34" s="224">
        <v>0</v>
      </c>
      <c r="CL34" s="224">
        <v>0</v>
      </c>
      <c r="CM34" s="224">
        <v>0</v>
      </c>
      <c r="CN34" s="224">
        <v>0</v>
      </c>
      <c r="CO34" s="224">
        <v>0</v>
      </c>
      <c r="CP34" s="224">
        <v>0</v>
      </c>
      <c r="CQ34" s="224">
        <v>0</v>
      </c>
      <c r="CR34" s="224">
        <v>0</v>
      </c>
      <c r="CS34" s="224">
        <v>0</v>
      </c>
      <c r="CT34" s="224">
        <v>0</v>
      </c>
      <c r="CU34" s="224">
        <v>0</v>
      </c>
      <c r="CV34" s="224">
        <v>0</v>
      </c>
      <c r="CW34" s="224">
        <v>0</v>
      </c>
      <c r="CX34" s="224">
        <v>0</v>
      </c>
      <c r="CY34" s="224">
        <v>0</v>
      </c>
      <c r="CZ34" s="224">
        <v>0</v>
      </c>
      <c r="DA34" s="224">
        <v>0</v>
      </c>
      <c r="DB34" s="224">
        <v>0</v>
      </c>
      <c r="DC34" s="224">
        <v>0</v>
      </c>
      <c r="DD34" s="224">
        <v>0</v>
      </c>
      <c r="DE34" s="224">
        <v>0</v>
      </c>
      <c r="DF34" s="224">
        <v>0</v>
      </c>
      <c r="DG34" s="224">
        <v>0</v>
      </c>
      <c r="DH34" s="224">
        <v>0</v>
      </c>
      <c r="DI34" s="224">
        <v>0</v>
      </c>
      <c r="DJ34" s="224">
        <v>0</v>
      </c>
      <c r="DK34" s="224">
        <v>0</v>
      </c>
      <c r="DL34" s="224">
        <v>0</v>
      </c>
      <c r="DM34" s="224">
        <v>0</v>
      </c>
      <c r="DN34" s="224">
        <v>0</v>
      </c>
      <c r="DO34" s="224">
        <v>0</v>
      </c>
      <c r="DP34" s="224">
        <v>0</v>
      </c>
      <c r="DQ34" s="224">
        <f t="shared" si="0"/>
        <v>0.99999999999999944</v>
      </c>
    </row>
    <row r="35" spans="1:121" x14ac:dyDescent="0.3">
      <c r="A35" s="223" t="s">
        <v>1128</v>
      </c>
      <c r="B35" s="223" t="s">
        <v>1124</v>
      </c>
      <c r="C35" s="223" t="s">
        <v>1089</v>
      </c>
      <c r="D35" s="223" t="s">
        <v>1087</v>
      </c>
      <c r="E35" s="223" t="s">
        <v>1090</v>
      </c>
      <c r="F35" s="224">
        <v>0</v>
      </c>
      <c r="G35" s="224">
        <v>7.508325764456554E-2</v>
      </c>
      <c r="H35" s="224">
        <v>1.5743263699666971E-2</v>
      </c>
      <c r="I35" s="224">
        <v>0</v>
      </c>
      <c r="J35" s="224">
        <v>0</v>
      </c>
      <c r="K35" s="224">
        <v>4.8440811383590673E-3</v>
      </c>
      <c r="L35" s="224">
        <v>6.0551014229488342E-3</v>
      </c>
      <c r="M35" s="224">
        <v>9.6881622767181347E-3</v>
      </c>
      <c r="N35" s="224">
        <v>0</v>
      </c>
      <c r="O35" s="224">
        <v>2.4220405691795337E-3</v>
      </c>
      <c r="P35" s="224">
        <v>4.8440811383590673E-3</v>
      </c>
      <c r="Q35" s="224">
        <v>9.6881622767181347E-3</v>
      </c>
      <c r="R35" s="224">
        <v>0</v>
      </c>
      <c r="S35" s="224">
        <v>0</v>
      </c>
      <c r="T35" s="224">
        <v>0</v>
      </c>
      <c r="U35" s="224">
        <v>9.7184377838328798E-2</v>
      </c>
      <c r="V35" s="224">
        <v>4.8440811383590673E-2</v>
      </c>
      <c r="W35" s="224">
        <v>1.9376324553436269E-2</v>
      </c>
      <c r="X35" s="224">
        <v>3.754162882228277E-2</v>
      </c>
      <c r="Y35" s="224">
        <v>9.6881622767181347E-3</v>
      </c>
      <c r="Z35" s="224">
        <v>0</v>
      </c>
      <c r="AA35" s="224">
        <v>0</v>
      </c>
      <c r="AB35" s="224">
        <v>0</v>
      </c>
      <c r="AC35" s="224">
        <v>0</v>
      </c>
      <c r="AD35" s="224">
        <v>0</v>
      </c>
      <c r="AE35" s="224">
        <v>4.8440811383590673E-3</v>
      </c>
      <c r="AF35" s="224">
        <v>1.8165304268846503E-3</v>
      </c>
      <c r="AG35" s="224">
        <v>1.9376324553436269E-2</v>
      </c>
      <c r="AH35" s="224">
        <v>4.8440811383590673E-2</v>
      </c>
      <c r="AI35" s="224">
        <v>2.9064486830154404E-2</v>
      </c>
      <c r="AJ35" s="224">
        <v>1.4532243415077202E-2</v>
      </c>
      <c r="AK35" s="224">
        <v>1.9376324553436269E-2</v>
      </c>
      <c r="AL35" s="224">
        <v>1.9376324553436269E-2</v>
      </c>
      <c r="AM35" s="224">
        <v>0</v>
      </c>
      <c r="AN35" s="224">
        <v>0</v>
      </c>
      <c r="AO35" s="224">
        <v>2.9064486830154404E-2</v>
      </c>
      <c r="AP35" s="224">
        <v>0</v>
      </c>
      <c r="AQ35" s="224">
        <v>4.8440811383590673E-3</v>
      </c>
      <c r="AR35" s="224">
        <v>9.6881622767181347E-3</v>
      </c>
      <c r="AS35" s="224">
        <v>1.2110202845897668E-2</v>
      </c>
      <c r="AT35" s="224">
        <v>9.6881622767181347E-3</v>
      </c>
      <c r="AU35" s="224">
        <v>0</v>
      </c>
      <c r="AV35" s="224">
        <v>4.8440811383590673E-3</v>
      </c>
      <c r="AW35" s="224">
        <v>1.4532243415077202E-2</v>
      </c>
      <c r="AX35" s="224">
        <v>9.6881622767181347E-3</v>
      </c>
      <c r="AY35" s="224">
        <v>4.8440811383590673E-2</v>
      </c>
      <c r="AZ35" s="224">
        <v>2.4220405691795337E-3</v>
      </c>
      <c r="BA35" s="224">
        <v>0</v>
      </c>
      <c r="BB35" s="224">
        <v>0</v>
      </c>
      <c r="BC35" s="224">
        <v>1.9376324553436269E-2</v>
      </c>
      <c r="BD35" s="224">
        <v>3.1486527399333941E-2</v>
      </c>
      <c r="BE35" s="224">
        <v>3.2697547683923703E-2</v>
      </c>
      <c r="BF35" s="224">
        <v>1.9376324553436269E-2</v>
      </c>
      <c r="BG35" s="224">
        <v>9.445958219800181E-2</v>
      </c>
      <c r="BH35" s="224">
        <v>0.12957917045110506</v>
      </c>
      <c r="BI35" s="224">
        <v>1.9376324553436269E-2</v>
      </c>
      <c r="BJ35" s="224">
        <v>1.0899182561307902E-2</v>
      </c>
      <c r="BK35" s="224">
        <v>0</v>
      </c>
      <c r="BL35" s="224">
        <v>0</v>
      </c>
      <c r="BM35" s="224">
        <v>0</v>
      </c>
      <c r="BN35" s="224">
        <v>0</v>
      </c>
      <c r="BO35" s="224">
        <v>0</v>
      </c>
      <c r="BP35" s="224">
        <v>0</v>
      </c>
      <c r="BQ35" s="224">
        <v>0</v>
      </c>
      <c r="BR35" s="224">
        <v>0</v>
      </c>
      <c r="BS35" s="224">
        <v>0</v>
      </c>
      <c r="BT35" s="224">
        <v>0</v>
      </c>
      <c r="BU35" s="224">
        <v>0</v>
      </c>
      <c r="BV35" s="224">
        <v>0</v>
      </c>
      <c r="BW35" s="224">
        <v>0</v>
      </c>
      <c r="BX35" s="224">
        <v>0</v>
      </c>
      <c r="BY35" s="224">
        <v>0</v>
      </c>
      <c r="BZ35" s="224">
        <v>0</v>
      </c>
      <c r="CA35" s="224">
        <v>0</v>
      </c>
      <c r="CB35" s="224">
        <v>0</v>
      </c>
      <c r="CC35" s="224">
        <v>0</v>
      </c>
      <c r="CD35" s="224">
        <v>0</v>
      </c>
      <c r="CE35" s="224">
        <v>0</v>
      </c>
      <c r="CF35" s="224">
        <v>0</v>
      </c>
      <c r="CG35" s="224">
        <v>0</v>
      </c>
      <c r="CH35" s="224">
        <v>0</v>
      </c>
      <c r="CI35" s="224">
        <v>0</v>
      </c>
      <c r="CJ35" s="224">
        <v>0</v>
      </c>
      <c r="CK35" s="224">
        <v>0</v>
      </c>
      <c r="CL35" s="224">
        <v>0</v>
      </c>
      <c r="CM35" s="224">
        <v>0</v>
      </c>
      <c r="CN35" s="224">
        <v>0</v>
      </c>
      <c r="CO35" s="224">
        <v>0</v>
      </c>
      <c r="CP35" s="224">
        <v>0</v>
      </c>
      <c r="CQ35" s="224">
        <v>0</v>
      </c>
      <c r="CR35" s="224">
        <v>0</v>
      </c>
      <c r="CS35" s="224">
        <v>0</v>
      </c>
      <c r="CT35" s="224">
        <v>0</v>
      </c>
      <c r="CU35" s="224">
        <v>0</v>
      </c>
      <c r="CV35" s="224">
        <v>0</v>
      </c>
      <c r="CW35" s="224">
        <v>0</v>
      </c>
      <c r="CX35" s="224">
        <v>0</v>
      </c>
      <c r="CY35" s="224">
        <v>0</v>
      </c>
      <c r="CZ35" s="224">
        <v>0</v>
      </c>
      <c r="DA35" s="224">
        <v>0</v>
      </c>
      <c r="DB35" s="224">
        <v>0</v>
      </c>
      <c r="DC35" s="224">
        <v>0</v>
      </c>
      <c r="DD35" s="224">
        <v>0</v>
      </c>
      <c r="DE35" s="224">
        <v>0</v>
      </c>
      <c r="DF35" s="224">
        <v>0</v>
      </c>
      <c r="DG35" s="224">
        <v>0</v>
      </c>
      <c r="DH35" s="224">
        <v>0</v>
      </c>
      <c r="DI35" s="224">
        <v>0</v>
      </c>
      <c r="DJ35" s="224">
        <v>0</v>
      </c>
      <c r="DK35" s="224">
        <v>0</v>
      </c>
      <c r="DL35" s="224">
        <v>0</v>
      </c>
      <c r="DM35" s="224">
        <v>0</v>
      </c>
      <c r="DN35" s="224">
        <v>0</v>
      </c>
      <c r="DO35" s="224">
        <v>0</v>
      </c>
      <c r="DP35" s="224">
        <v>0</v>
      </c>
      <c r="DQ35" s="224">
        <f t="shared" si="0"/>
        <v>1.0000000000000002</v>
      </c>
    </row>
    <row r="36" spans="1:121" x14ac:dyDescent="0.3">
      <c r="A36" s="223" t="s">
        <v>1129</v>
      </c>
      <c r="B36" s="223" t="s">
        <v>1130</v>
      </c>
      <c r="C36" s="223" t="s">
        <v>1092</v>
      </c>
      <c r="D36" s="223" t="s">
        <v>1087</v>
      </c>
      <c r="E36" s="223" t="s">
        <v>1093</v>
      </c>
      <c r="F36" s="224">
        <v>0.31285570234145993</v>
      </c>
      <c r="G36" s="224">
        <v>2.9625918883726288E-2</v>
      </c>
      <c r="H36" s="224">
        <v>1.0511647231534495E-2</v>
      </c>
      <c r="I36" s="224">
        <v>7.971764029443757E-4</v>
      </c>
      <c r="J36" s="224">
        <v>1.9005047740679926E-3</v>
      </c>
      <c r="K36" s="224">
        <v>9.5072643743918071E-3</v>
      </c>
      <c r="L36" s="224">
        <v>2.3841546338494089E-2</v>
      </c>
      <c r="M36" s="224">
        <v>2.4531963555712737E-2</v>
      </c>
      <c r="N36" s="224">
        <v>1.6572475798676281E-2</v>
      </c>
      <c r="O36" s="224">
        <v>2.363216737206069E-2</v>
      </c>
      <c r="P36" s="224">
        <v>3.9107189566432954E-4</v>
      </c>
      <c r="Q36" s="224">
        <v>1.2539100620907043E-3</v>
      </c>
      <c r="R36" s="224">
        <v>0</v>
      </c>
      <c r="S36" s="224">
        <v>0</v>
      </c>
      <c r="T36" s="224">
        <v>0</v>
      </c>
      <c r="U36" s="224">
        <v>0</v>
      </c>
      <c r="V36" s="224">
        <v>2.7477357985730847E-3</v>
      </c>
      <c r="W36" s="224">
        <v>2.6710996760953925E-3</v>
      </c>
      <c r="X36" s="224">
        <v>8.2858187298154426E-4</v>
      </c>
      <c r="Y36" s="224">
        <v>4.4011129891415816E-3</v>
      </c>
      <c r="Z36" s="224">
        <v>1.2320142376545114E-2</v>
      </c>
      <c r="AA36" s="224">
        <v>1.3242108700059364E-3</v>
      </c>
      <c r="AB36" s="224">
        <v>2.6117782850973732E-3</v>
      </c>
      <c r="AC36" s="224">
        <v>7.2233727406726712E-3</v>
      </c>
      <c r="AD36" s="224">
        <v>2.8416154091111417E-3</v>
      </c>
      <c r="AE36" s="224">
        <v>1.387351604561528E-3</v>
      </c>
      <c r="AF36" s="224">
        <v>8.3841623173824635E-5</v>
      </c>
      <c r="AG36" s="224">
        <v>5.020291764297611E-3</v>
      </c>
      <c r="AH36" s="224">
        <v>4.3162757108477535E-3</v>
      </c>
      <c r="AI36" s="224">
        <v>5.4789241205296692E-3</v>
      </c>
      <c r="AJ36" s="224">
        <v>1.4189718311834267E-2</v>
      </c>
      <c r="AK36" s="224">
        <v>5.2349257372346922E-3</v>
      </c>
      <c r="AL36" s="224">
        <v>1.291819487030258E-3</v>
      </c>
      <c r="AM36" s="224">
        <v>3.6523426353934831E-4</v>
      </c>
      <c r="AN36" s="224">
        <v>3.2038893808070961E-3</v>
      </c>
      <c r="AO36" s="224">
        <v>7.5813991622325832E-3</v>
      </c>
      <c r="AP36" s="224">
        <v>3.6922469230755515E-3</v>
      </c>
      <c r="AQ36" s="224">
        <v>3.4181536198490958E-3</v>
      </c>
      <c r="AR36" s="224">
        <v>5.5986571060727755E-3</v>
      </c>
      <c r="AS36" s="224">
        <v>4.0120283708369201E-3</v>
      </c>
      <c r="AT36" s="224">
        <v>2.0210425770805776E-3</v>
      </c>
      <c r="AU36" s="224">
        <v>1.5787543871083267E-3</v>
      </c>
      <c r="AV36" s="224">
        <v>4.2187417602699998E-4</v>
      </c>
      <c r="AW36" s="224">
        <v>0</v>
      </c>
      <c r="AX36" s="224">
        <v>6.1820916499163592E-3</v>
      </c>
      <c r="AY36" s="224">
        <v>8.1422100391964972E-3</v>
      </c>
      <c r="AZ36" s="224">
        <v>1.1045868631370036E-3</v>
      </c>
      <c r="BA36" s="224">
        <v>5.2818705533617749E-3</v>
      </c>
      <c r="BB36" s="224">
        <v>4.5497028675550868E-4</v>
      </c>
      <c r="BC36" s="224">
        <v>1.0351197323337682E-2</v>
      </c>
      <c r="BD36" s="224">
        <v>1.9227176649708962E-2</v>
      </c>
      <c r="BE36" s="224">
        <v>3.3761393769097987E-2</v>
      </c>
      <c r="BF36" s="224">
        <v>3.3622394778375863E-3</v>
      </c>
      <c r="BG36" s="224">
        <v>2.2656546824787131E-2</v>
      </c>
      <c r="BH36" s="224">
        <v>2.5333715754974243E-2</v>
      </c>
      <c r="BI36" s="224">
        <v>5.0739509307852794E-3</v>
      </c>
      <c r="BJ36" s="224">
        <v>5.6220701090136322E-3</v>
      </c>
      <c r="BK36" s="224">
        <v>6.3898679598544377E-3</v>
      </c>
      <c r="BL36" s="224">
        <v>6.9827616543628257E-3</v>
      </c>
      <c r="BM36" s="224">
        <v>1.022908427923926E-2</v>
      </c>
      <c r="BN36" s="224">
        <v>5.5331759391478554E-3</v>
      </c>
      <c r="BO36" s="224">
        <v>5.8846311510435271E-3</v>
      </c>
      <c r="BP36" s="224">
        <v>0</v>
      </c>
      <c r="BQ36" s="224">
        <v>4.4715532359373148E-4</v>
      </c>
      <c r="BR36" s="224">
        <v>3.8025319413002795E-3</v>
      </c>
      <c r="BS36" s="224">
        <v>2.6131805840413176E-3</v>
      </c>
      <c r="BT36" s="224">
        <v>1.377698983109505E-2</v>
      </c>
      <c r="BU36" s="224">
        <v>3.2415673664156035E-2</v>
      </c>
      <c r="BV36" s="224">
        <v>4.6134362769330532E-3</v>
      </c>
      <c r="BW36" s="224">
        <v>4.4577635767403014E-3</v>
      </c>
      <c r="BX36" s="224">
        <v>1.3203254782683633E-2</v>
      </c>
      <c r="BY36" s="224">
        <v>7.4555282991283162E-3</v>
      </c>
      <c r="BZ36" s="224">
        <v>6.4009364403953021E-3</v>
      </c>
      <c r="CA36" s="224">
        <v>0</v>
      </c>
      <c r="CB36" s="224">
        <v>1.1178883089843287E-4</v>
      </c>
      <c r="CC36" s="224">
        <v>5.8216173558889748E-3</v>
      </c>
      <c r="CD36" s="224">
        <v>2.3653700227089704E-3</v>
      </c>
      <c r="CE36" s="224">
        <v>1.0154706741545137E-2</v>
      </c>
      <c r="CF36" s="224">
        <v>5.3587865861994925E-2</v>
      </c>
      <c r="CG36" s="224">
        <v>8.6232044036253508E-3</v>
      </c>
      <c r="CH36" s="224">
        <v>6.0818620382642203E-3</v>
      </c>
      <c r="CI36" s="224">
        <v>2.4834106036669967E-3</v>
      </c>
      <c r="CJ36" s="224">
        <v>9.600544661284148E-3</v>
      </c>
      <c r="CK36" s="224">
        <v>6.7913199420542754E-3</v>
      </c>
      <c r="CL36" s="224">
        <v>2.4525781137684009E-3</v>
      </c>
      <c r="CM36" s="224">
        <v>0</v>
      </c>
      <c r="CN36" s="224">
        <v>0</v>
      </c>
      <c r="CO36" s="224">
        <v>3.6445826895494704E-3</v>
      </c>
      <c r="CP36" s="224">
        <v>0</v>
      </c>
      <c r="CQ36" s="224">
        <v>0</v>
      </c>
      <c r="CR36" s="224">
        <v>8.4359900210782286E-3</v>
      </c>
      <c r="CS36" s="224">
        <v>6.4967425543102676E-3</v>
      </c>
      <c r="CT36" s="224">
        <v>3.7986005009709636E-3</v>
      </c>
      <c r="CU36" s="224">
        <v>2.613942604473546E-3</v>
      </c>
      <c r="CV36" s="224">
        <v>5.4344359245706055E-3</v>
      </c>
      <c r="CW36" s="224">
        <v>2.6672017797953816E-3</v>
      </c>
      <c r="CX36" s="224">
        <v>0</v>
      </c>
      <c r="CY36" s="224">
        <v>0</v>
      </c>
      <c r="CZ36" s="224">
        <v>0</v>
      </c>
      <c r="DA36" s="224">
        <v>8.0781957943917987E-3</v>
      </c>
      <c r="DB36" s="224">
        <v>5.8995314062092021E-3</v>
      </c>
      <c r="DC36" s="224">
        <v>3.4583788666481779E-3</v>
      </c>
      <c r="DD36" s="224">
        <v>4.6307331529202309E-3</v>
      </c>
      <c r="DE36" s="224">
        <v>3.4092311048731713E-3</v>
      </c>
      <c r="DF36" s="224">
        <v>0</v>
      </c>
      <c r="DG36" s="224">
        <v>0</v>
      </c>
      <c r="DH36" s="224">
        <v>0</v>
      </c>
      <c r="DI36" s="224">
        <v>0</v>
      </c>
      <c r="DJ36" s="224">
        <v>1.3107457136981126E-3</v>
      </c>
      <c r="DK36" s="224">
        <v>0</v>
      </c>
      <c r="DL36" s="224">
        <v>0</v>
      </c>
      <c r="DM36" s="224">
        <v>0</v>
      </c>
      <c r="DN36" s="224">
        <v>0</v>
      </c>
      <c r="DO36" s="224">
        <v>0</v>
      </c>
      <c r="DP36" s="224">
        <v>0</v>
      </c>
      <c r="DQ36" s="224">
        <f t="shared" si="0"/>
        <v>1</v>
      </c>
    </row>
    <row r="37" spans="1:121" x14ac:dyDescent="0.3">
      <c r="A37" s="223" t="s">
        <v>1131</v>
      </c>
      <c r="B37" s="223" t="s">
        <v>1130</v>
      </c>
      <c r="C37" s="223" t="s">
        <v>1095</v>
      </c>
      <c r="D37" s="223" t="s">
        <v>1087</v>
      </c>
      <c r="E37" s="223" t="s">
        <v>1096</v>
      </c>
      <c r="F37" s="224">
        <v>0.23013758449634614</v>
      </c>
      <c r="G37" s="224">
        <v>3.1004920894554699E-2</v>
      </c>
      <c r="H37" s="224">
        <v>2.8897825753493096E-2</v>
      </c>
      <c r="I37" s="224">
        <v>2.0378019125268636E-3</v>
      </c>
      <c r="J37" s="224">
        <v>0</v>
      </c>
      <c r="K37" s="224">
        <v>8.8081413147115522E-3</v>
      </c>
      <c r="L37" s="224">
        <v>2.1190202199600678E-2</v>
      </c>
      <c r="M37" s="224">
        <v>1.2243511013866639E-2</v>
      </c>
      <c r="N37" s="224">
        <v>1.4633977757929961E-2</v>
      </c>
      <c r="O37" s="224">
        <v>8.8779533627022685E-3</v>
      </c>
      <c r="P37" s="224">
        <v>8.8111805184903143E-4</v>
      </c>
      <c r="Q37" s="224">
        <v>1.7622361036980629E-3</v>
      </c>
      <c r="R37" s="224">
        <v>0</v>
      </c>
      <c r="S37" s="224">
        <v>0</v>
      </c>
      <c r="T37" s="224">
        <v>0</v>
      </c>
      <c r="U37" s="224">
        <v>0</v>
      </c>
      <c r="V37" s="224">
        <v>7.0252605922208238E-3</v>
      </c>
      <c r="W37" s="224">
        <v>6.1718154338896046E-3</v>
      </c>
      <c r="X37" s="224">
        <v>6.113657828208427E-3</v>
      </c>
      <c r="Y37" s="224">
        <v>4.4152390729704461E-3</v>
      </c>
      <c r="Z37" s="224">
        <v>6.563117406168586E-3</v>
      </c>
      <c r="AA37" s="224">
        <v>1.666776185638579E-3</v>
      </c>
      <c r="AB37" s="224">
        <v>6.0163178712214067E-5</v>
      </c>
      <c r="AC37" s="224">
        <v>2.7372760225523453E-3</v>
      </c>
      <c r="AD37" s="224">
        <v>4.3845628822350565E-3</v>
      </c>
      <c r="AE37" s="224">
        <v>6.0163178712214067E-5</v>
      </c>
      <c r="AF37" s="224">
        <v>2.4065271484885627E-4</v>
      </c>
      <c r="AG37" s="224">
        <v>1.2397440232074328E-2</v>
      </c>
      <c r="AH37" s="224">
        <v>5.127054454510142E-3</v>
      </c>
      <c r="AI37" s="224">
        <v>7.337090308489883E-3</v>
      </c>
      <c r="AJ37" s="224">
        <v>1.6497366248353601E-2</v>
      </c>
      <c r="AK37" s="224">
        <v>6.9769244238454048E-3</v>
      </c>
      <c r="AL37" s="224">
        <v>6.6863738135531378E-3</v>
      </c>
      <c r="AM37" s="224">
        <v>1.2618946679743013E-3</v>
      </c>
      <c r="AN37" s="224">
        <v>6.421716981620933E-3</v>
      </c>
      <c r="AO37" s="224">
        <v>1.0551343827978996E-2</v>
      </c>
      <c r="AP37" s="224">
        <v>4.8409099361154811E-3</v>
      </c>
      <c r="AQ37" s="224">
        <v>5.8323633747314101E-3</v>
      </c>
      <c r="AR37" s="224">
        <v>2.375316420274368E-3</v>
      </c>
      <c r="AS37" s="224">
        <v>4.8381810396848201E-3</v>
      </c>
      <c r="AT37" s="224">
        <v>7.334066740007334E-4</v>
      </c>
      <c r="AU37" s="224">
        <v>9.262515719751948E-3</v>
      </c>
      <c r="AV37" s="224">
        <v>4.1047743656840861E-4</v>
      </c>
      <c r="AW37" s="224">
        <v>8.2095487313681723E-4</v>
      </c>
      <c r="AX37" s="224">
        <v>1.1654655844707595E-2</v>
      </c>
      <c r="AY37" s="224">
        <v>8.5272072751411514E-3</v>
      </c>
      <c r="AZ37" s="224">
        <v>6.2552477621960045E-3</v>
      </c>
      <c r="BA37" s="224">
        <v>1.2362000142214689E-2</v>
      </c>
      <c r="BB37" s="224">
        <v>3.1196333100614194E-3</v>
      </c>
      <c r="BC37" s="224">
        <v>2.3333786580176333E-2</v>
      </c>
      <c r="BD37" s="224">
        <v>3.7769616391609015E-2</v>
      </c>
      <c r="BE37" s="224">
        <v>3.2416495508859902E-2</v>
      </c>
      <c r="BF37" s="224">
        <v>1.2404864444570998E-2</v>
      </c>
      <c r="BG37" s="224">
        <v>1.2278436815960851E-2</v>
      </c>
      <c r="BH37" s="224">
        <v>1.1957047095348767E-2</v>
      </c>
      <c r="BI37" s="224">
        <v>4.691979619700656E-3</v>
      </c>
      <c r="BJ37" s="224">
        <v>6.7164000650207084E-3</v>
      </c>
      <c r="BK37" s="224">
        <v>5.6094529004530524E-3</v>
      </c>
      <c r="BL37" s="224">
        <v>4.7239896374096898E-3</v>
      </c>
      <c r="BM37" s="224">
        <v>8.0708785381911445E-3</v>
      </c>
      <c r="BN37" s="224">
        <v>5.0666518105346387E-3</v>
      </c>
      <c r="BO37" s="224">
        <v>2.375316420274368E-3</v>
      </c>
      <c r="BP37" s="224">
        <v>0</v>
      </c>
      <c r="BQ37" s="224">
        <v>0</v>
      </c>
      <c r="BR37" s="224">
        <v>3.548879935071162E-3</v>
      </c>
      <c r="BS37" s="224">
        <v>3.6348856615471253E-3</v>
      </c>
      <c r="BT37" s="224">
        <v>2.589919067902167E-3</v>
      </c>
      <c r="BU37" s="224">
        <v>2.8559230771159256E-2</v>
      </c>
      <c r="BV37" s="224">
        <v>6.7174723795841128E-3</v>
      </c>
      <c r="BW37" s="224">
        <v>5.3615672088729131E-3</v>
      </c>
      <c r="BX37" s="224">
        <v>1.1523565775657194E-2</v>
      </c>
      <c r="BY37" s="224">
        <v>6.117116336738458E-3</v>
      </c>
      <c r="BZ37" s="224">
        <v>2.375316420274368E-3</v>
      </c>
      <c r="CA37" s="224">
        <v>0</v>
      </c>
      <c r="CB37" s="224">
        <v>0</v>
      </c>
      <c r="CC37" s="224">
        <v>4.6001394186970393E-3</v>
      </c>
      <c r="CD37" s="224">
        <v>4.8667282331878621E-3</v>
      </c>
      <c r="CE37" s="224">
        <v>4.2367043986321594E-3</v>
      </c>
      <c r="CF37" s="224">
        <v>4.3039174325341982E-2</v>
      </c>
      <c r="CG37" s="224">
        <v>7.2489731984197552E-3</v>
      </c>
      <c r="CH37" s="224">
        <v>1.1928532676092712E-2</v>
      </c>
      <c r="CI37" s="224">
        <v>1.0406255598302478E-2</v>
      </c>
      <c r="CJ37" s="224">
        <v>1.5355370135911314E-2</v>
      </c>
      <c r="CK37" s="224">
        <v>2.2550106401887624E-2</v>
      </c>
      <c r="CL37" s="224">
        <v>1.425530473802082E-2</v>
      </c>
      <c r="CM37" s="224">
        <v>0</v>
      </c>
      <c r="CN37" s="224">
        <v>0</v>
      </c>
      <c r="CO37" s="224">
        <v>7.143828748604461E-3</v>
      </c>
      <c r="CP37" s="224">
        <v>0</v>
      </c>
      <c r="CQ37" s="224">
        <v>0</v>
      </c>
      <c r="CR37" s="224">
        <v>2.0568850511638259E-2</v>
      </c>
      <c r="CS37" s="224">
        <v>4.1340278485196037E-3</v>
      </c>
      <c r="CT37" s="224">
        <v>2.6745260244563371E-3</v>
      </c>
      <c r="CU37" s="224">
        <v>5.5562208981178689E-3</v>
      </c>
      <c r="CV37" s="224">
        <v>7.9574184508389989E-3</v>
      </c>
      <c r="CW37" s="224">
        <v>1.8988383885616485E-3</v>
      </c>
      <c r="CX37" s="224">
        <v>0</v>
      </c>
      <c r="CY37" s="224">
        <v>0</v>
      </c>
      <c r="CZ37" s="224">
        <v>0</v>
      </c>
      <c r="DA37" s="224">
        <v>5.7571090300282202E-3</v>
      </c>
      <c r="DB37" s="224">
        <v>3.2929926086178924E-3</v>
      </c>
      <c r="DC37" s="224">
        <v>7.2316427461787723E-3</v>
      </c>
      <c r="DD37" s="224">
        <v>9.2501645932108606E-3</v>
      </c>
      <c r="DE37" s="224">
        <v>2.2191047329709387E-3</v>
      </c>
      <c r="DF37" s="224">
        <v>0</v>
      </c>
      <c r="DG37" s="224">
        <v>0</v>
      </c>
      <c r="DH37" s="224">
        <v>0</v>
      </c>
      <c r="DI37" s="224">
        <v>0</v>
      </c>
      <c r="DJ37" s="224">
        <v>1.7810847844237608E-3</v>
      </c>
      <c r="DK37" s="224">
        <v>0</v>
      </c>
      <c r="DL37" s="224">
        <v>0</v>
      </c>
      <c r="DM37" s="224">
        <v>0</v>
      </c>
      <c r="DN37" s="224">
        <v>0</v>
      </c>
      <c r="DO37" s="224">
        <v>0</v>
      </c>
      <c r="DP37" s="224">
        <v>0</v>
      </c>
      <c r="DQ37" s="224">
        <f t="shared" si="0"/>
        <v>0.99999999999999978</v>
      </c>
    </row>
    <row r="38" spans="1:121" x14ac:dyDescent="0.3">
      <c r="A38" s="223" t="s">
        <v>1132</v>
      </c>
      <c r="B38" s="223" t="s">
        <v>1130</v>
      </c>
      <c r="C38" s="223" t="s">
        <v>1089</v>
      </c>
      <c r="D38" s="223" t="s">
        <v>1087</v>
      </c>
      <c r="E38" s="223" t="s">
        <v>1090</v>
      </c>
      <c r="F38" s="224">
        <v>0.21279212792127922</v>
      </c>
      <c r="G38" s="224">
        <v>4.9200492004920049E-2</v>
      </c>
      <c r="H38" s="224">
        <v>3.9360393603936041E-2</v>
      </c>
      <c r="I38" s="224">
        <v>0</v>
      </c>
      <c r="J38" s="224">
        <v>0</v>
      </c>
      <c r="K38" s="224">
        <v>3.2800328003280033E-2</v>
      </c>
      <c r="L38" s="224">
        <v>6.5600656006560065E-2</v>
      </c>
      <c r="M38" s="224">
        <v>2.6240262402624025E-2</v>
      </c>
      <c r="N38" s="224">
        <v>9.8400984009840101E-3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2.6240262402624025E-2</v>
      </c>
      <c r="W38" s="224">
        <v>1.968019680196802E-2</v>
      </c>
      <c r="X38" s="224">
        <v>6.5600656006560062E-3</v>
      </c>
      <c r="Y38" s="224">
        <v>6.5600656006560062E-3</v>
      </c>
      <c r="Z38" s="224">
        <v>0</v>
      </c>
      <c r="AA38" s="224">
        <v>0</v>
      </c>
      <c r="AB38" s="224">
        <v>0</v>
      </c>
      <c r="AC38" s="224">
        <v>0</v>
      </c>
      <c r="AD38" s="224">
        <v>0</v>
      </c>
      <c r="AE38" s="224">
        <v>0</v>
      </c>
      <c r="AF38" s="224">
        <v>0</v>
      </c>
      <c r="AG38" s="224">
        <v>2.6240262402624025E-2</v>
      </c>
      <c r="AH38" s="224">
        <v>1.968019680196802E-2</v>
      </c>
      <c r="AI38" s="224">
        <v>1.968019680196802E-2</v>
      </c>
      <c r="AJ38" s="224">
        <v>2.6240262402624025E-2</v>
      </c>
      <c r="AK38" s="224">
        <v>2.6240262402624025E-2</v>
      </c>
      <c r="AL38" s="224">
        <v>1.3120131201312012E-2</v>
      </c>
      <c r="AM38" s="224">
        <v>0</v>
      </c>
      <c r="AN38" s="224">
        <v>1.3120131201312012E-2</v>
      </c>
      <c r="AO38" s="224">
        <v>0</v>
      </c>
      <c r="AP38" s="224">
        <v>0</v>
      </c>
      <c r="AQ38" s="224">
        <v>1.3120131201312012E-2</v>
      </c>
      <c r="AR38" s="224">
        <v>0</v>
      </c>
      <c r="AS38" s="224">
        <v>0</v>
      </c>
      <c r="AT38" s="224">
        <v>0</v>
      </c>
      <c r="AU38" s="224">
        <v>1.968019680196802E-2</v>
      </c>
      <c r="AV38" s="224">
        <v>0</v>
      </c>
      <c r="AW38" s="224">
        <v>0</v>
      </c>
      <c r="AX38" s="224">
        <v>1.968019680196802E-2</v>
      </c>
      <c r="AY38" s="224">
        <v>3.9360393603936041E-2</v>
      </c>
      <c r="AZ38" s="224">
        <v>1.3120131201312012E-2</v>
      </c>
      <c r="BA38" s="224">
        <v>0</v>
      </c>
      <c r="BB38" s="224">
        <v>0</v>
      </c>
      <c r="BC38" s="224">
        <v>1.968019680196802E-2</v>
      </c>
      <c r="BD38" s="224">
        <v>3.9360393603936041E-2</v>
      </c>
      <c r="BE38" s="224">
        <v>3.9360393603936041E-2</v>
      </c>
      <c r="BF38" s="224">
        <v>1.968019680196802E-2</v>
      </c>
      <c r="BG38" s="224">
        <v>1.968019680196802E-2</v>
      </c>
      <c r="BH38" s="224">
        <v>6.5600656006560062E-3</v>
      </c>
      <c r="BI38" s="224">
        <v>1.3120131201312012E-2</v>
      </c>
      <c r="BJ38" s="224">
        <v>1.968019680196802E-2</v>
      </c>
      <c r="BK38" s="224">
        <v>0</v>
      </c>
      <c r="BL38" s="224">
        <v>0</v>
      </c>
      <c r="BM38" s="224">
        <v>0</v>
      </c>
      <c r="BN38" s="224">
        <v>0</v>
      </c>
      <c r="BO38" s="224">
        <v>0</v>
      </c>
      <c r="BP38" s="224">
        <v>0</v>
      </c>
      <c r="BQ38" s="224">
        <v>0</v>
      </c>
      <c r="BR38" s="224">
        <v>0</v>
      </c>
      <c r="BS38" s="224">
        <v>0</v>
      </c>
      <c r="BT38" s="224">
        <v>0</v>
      </c>
      <c r="BU38" s="224">
        <v>0</v>
      </c>
      <c r="BV38" s="224">
        <v>0</v>
      </c>
      <c r="BW38" s="224">
        <v>0</v>
      </c>
      <c r="BX38" s="224">
        <v>0</v>
      </c>
      <c r="BY38" s="224">
        <v>0</v>
      </c>
      <c r="BZ38" s="224">
        <v>0</v>
      </c>
      <c r="CA38" s="224">
        <v>0</v>
      </c>
      <c r="CB38" s="224">
        <v>0</v>
      </c>
      <c r="CC38" s="224">
        <v>0</v>
      </c>
      <c r="CD38" s="224">
        <v>0</v>
      </c>
      <c r="CE38" s="224">
        <v>0</v>
      </c>
      <c r="CF38" s="224">
        <v>0</v>
      </c>
      <c r="CG38" s="224">
        <v>0</v>
      </c>
      <c r="CH38" s="224">
        <v>0</v>
      </c>
      <c r="CI38" s="224">
        <v>0</v>
      </c>
      <c r="CJ38" s="224">
        <v>0</v>
      </c>
      <c r="CK38" s="224">
        <v>0</v>
      </c>
      <c r="CL38" s="224">
        <v>0</v>
      </c>
      <c r="CM38" s="224">
        <v>0</v>
      </c>
      <c r="CN38" s="224">
        <v>0</v>
      </c>
      <c r="CO38" s="224">
        <v>0</v>
      </c>
      <c r="CP38" s="224">
        <v>0</v>
      </c>
      <c r="CQ38" s="224">
        <v>0</v>
      </c>
      <c r="CR38" s="224">
        <v>6.5600656006560065E-2</v>
      </c>
      <c r="CS38" s="224">
        <v>0</v>
      </c>
      <c r="CT38" s="224">
        <v>0</v>
      </c>
      <c r="CU38" s="224">
        <v>0</v>
      </c>
      <c r="CV38" s="224">
        <v>0</v>
      </c>
      <c r="CW38" s="224">
        <v>0</v>
      </c>
      <c r="CX38" s="224">
        <v>0</v>
      </c>
      <c r="CY38" s="224">
        <v>0</v>
      </c>
      <c r="CZ38" s="224">
        <v>0</v>
      </c>
      <c r="DA38" s="224">
        <v>0</v>
      </c>
      <c r="DB38" s="224">
        <v>0</v>
      </c>
      <c r="DC38" s="224">
        <v>0</v>
      </c>
      <c r="DD38" s="224">
        <v>0</v>
      </c>
      <c r="DE38" s="224">
        <v>0</v>
      </c>
      <c r="DF38" s="224">
        <v>0</v>
      </c>
      <c r="DG38" s="224">
        <v>0</v>
      </c>
      <c r="DH38" s="224">
        <v>0</v>
      </c>
      <c r="DI38" s="224">
        <v>1.3120131201312012E-2</v>
      </c>
      <c r="DJ38" s="224">
        <v>0</v>
      </c>
      <c r="DK38" s="224">
        <v>0</v>
      </c>
      <c r="DL38" s="224">
        <v>0</v>
      </c>
      <c r="DM38" s="224">
        <v>0</v>
      </c>
      <c r="DN38" s="224">
        <v>0</v>
      </c>
      <c r="DO38" s="224">
        <v>0</v>
      </c>
      <c r="DP38" s="224">
        <v>0</v>
      </c>
      <c r="DQ38" s="224">
        <f t="shared" si="0"/>
        <v>1</v>
      </c>
    </row>
    <row r="39" spans="1:121" x14ac:dyDescent="0.3">
      <c r="A39" s="223" t="s">
        <v>1133</v>
      </c>
      <c r="B39" s="223" t="s">
        <v>1130</v>
      </c>
      <c r="C39" s="223" t="s">
        <v>1092</v>
      </c>
      <c r="D39" s="223" t="s">
        <v>1087</v>
      </c>
      <c r="E39" s="223" t="s">
        <v>1096</v>
      </c>
      <c r="F39" s="224">
        <v>0.38214063443288049</v>
      </c>
      <c r="G39" s="224">
        <v>3.8941215891811702E-2</v>
      </c>
      <c r="H39" s="224">
        <v>8.100520078047074E-3</v>
      </c>
      <c r="I39" s="224">
        <v>5.9383304383972448E-4</v>
      </c>
      <c r="J39" s="224">
        <v>0</v>
      </c>
      <c r="K39" s="224">
        <v>4.8888859870869295E-3</v>
      </c>
      <c r="L39" s="224">
        <v>1.1348452602446111E-2</v>
      </c>
      <c r="M39" s="224">
        <v>1.0403255386528183E-2</v>
      </c>
      <c r="N39" s="224">
        <v>2.820430250694703E-2</v>
      </c>
      <c r="O39" s="224">
        <v>1.0403255386528183E-2</v>
      </c>
      <c r="P39" s="224">
        <v>0</v>
      </c>
      <c r="Q39" s="224">
        <v>0</v>
      </c>
      <c r="R39" s="224">
        <v>0</v>
      </c>
      <c r="S39" s="224">
        <v>0</v>
      </c>
      <c r="T39" s="224">
        <v>0</v>
      </c>
      <c r="U39" s="224">
        <v>0</v>
      </c>
      <c r="V39" s="224">
        <v>4.0162856380467904E-3</v>
      </c>
      <c r="W39" s="224">
        <v>2.2347865065276166E-3</v>
      </c>
      <c r="X39" s="224">
        <v>2.2347865065276166E-3</v>
      </c>
      <c r="Y39" s="224">
        <v>2.2347865065276166E-3</v>
      </c>
      <c r="Z39" s="224">
        <v>1.640953462687892E-3</v>
      </c>
      <c r="AA39" s="224">
        <v>5.9383304383972448E-4</v>
      </c>
      <c r="AB39" s="224">
        <v>0</v>
      </c>
      <c r="AC39" s="224">
        <v>2.9691652191986225E-3</v>
      </c>
      <c r="AD39" s="224">
        <v>5.0634060568949578E-3</v>
      </c>
      <c r="AE39" s="224">
        <v>0</v>
      </c>
      <c r="AF39" s="224">
        <v>0</v>
      </c>
      <c r="AG39" s="224">
        <v>4.0162856380467904E-3</v>
      </c>
      <c r="AH39" s="224">
        <v>2.8286195503673412E-3</v>
      </c>
      <c r="AI39" s="224">
        <v>5.4124461965110136E-3</v>
      </c>
      <c r="AJ39" s="224">
        <v>7.5066870342073485E-3</v>
      </c>
      <c r="AK39" s="224">
        <v>3.2218707155509409E-3</v>
      </c>
      <c r="AL39" s="224">
        <v>5.0634060568949578E-3</v>
      </c>
      <c r="AM39" s="224">
        <v>0</v>
      </c>
      <c r="AN39" s="224">
        <v>7.3298429319371729E-3</v>
      </c>
      <c r="AO39" s="224">
        <v>1.0475852253405971E-2</v>
      </c>
      <c r="AP39" s="224">
        <v>7.1576468945912936E-3</v>
      </c>
      <c r="AQ39" s="224">
        <v>3.177659689983397E-3</v>
      </c>
      <c r="AR39" s="224">
        <v>0</v>
      </c>
      <c r="AS39" s="224">
        <v>0</v>
      </c>
      <c r="AT39" s="224">
        <v>0</v>
      </c>
      <c r="AU39" s="224">
        <v>4.0162856380467904E-3</v>
      </c>
      <c r="AV39" s="224">
        <v>0</v>
      </c>
      <c r="AW39" s="224">
        <v>0</v>
      </c>
      <c r="AX39" s="224">
        <v>2.2347865065276166E-3</v>
      </c>
      <c r="AY39" s="224">
        <v>4.0162856380467904E-3</v>
      </c>
      <c r="AZ39" s="224">
        <v>2.2347865065276166E-3</v>
      </c>
      <c r="BA39" s="224">
        <v>1.3961605584642235E-3</v>
      </c>
      <c r="BB39" s="224">
        <v>3.6672454984307342E-3</v>
      </c>
      <c r="BC39" s="224">
        <v>5.0634060568949578E-3</v>
      </c>
      <c r="BD39" s="224">
        <v>1.4668981993722937E-2</v>
      </c>
      <c r="BE39" s="224">
        <v>1.4668981993722937E-2</v>
      </c>
      <c r="BF39" s="224">
        <v>2.4093065763356445E-3</v>
      </c>
      <c r="BG39" s="224">
        <v>3.0734124545910096E-3</v>
      </c>
      <c r="BH39" s="224">
        <v>4.557995064190321E-3</v>
      </c>
      <c r="BI39" s="224">
        <v>1.8857463669115608E-3</v>
      </c>
      <c r="BJ39" s="224">
        <v>1.8857463669115608E-3</v>
      </c>
      <c r="BK39" s="224">
        <v>5.4124461965110136E-3</v>
      </c>
      <c r="BL39" s="224">
        <v>5.4124461965110136E-3</v>
      </c>
      <c r="BM39" s="224">
        <v>1.0231059349182302E-2</v>
      </c>
      <c r="BN39" s="224">
        <v>5.4124461965110136E-3</v>
      </c>
      <c r="BO39" s="224">
        <v>2.4432809773123911E-3</v>
      </c>
      <c r="BP39" s="224">
        <v>0</v>
      </c>
      <c r="BQ39" s="224">
        <v>0</v>
      </c>
      <c r="BR39" s="224">
        <v>4.818613152671289E-3</v>
      </c>
      <c r="BS39" s="224">
        <v>4.818613152671289E-3</v>
      </c>
      <c r="BT39" s="224">
        <v>4.818613152671289E-3</v>
      </c>
      <c r="BU39" s="224">
        <v>3.3039308249794466E-2</v>
      </c>
      <c r="BV39" s="224">
        <v>5.4124461965110136E-3</v>
      </c>
      <c r="BW39" s="224">
        <v>5.0634060568949578E-3</v>
      </c>
      <c r="BX39" s="224">
        <v>8.9391460261104665E-3</v>
      </c>
      <c r="BY39" s="224">
        <v>5.0634060568949578E-3</v>
      </c>
      <c r="BZ39" s="224">
        <v>0</v>
      </c>
      <c r="CA39" s="224">
        <v>0</v>
      </c>
      <c r="CB39" s="224">
        <v>0</v>
      </c>
      <c r="CC39" s="224">
        <v>4.4695730130552332E-3</v>
      </c>
      <c r="CD39" s="224">
        <v>4.4695730130552332E-3</v>
      </c>
      <c r="CE39" s="224">
        <v>4.4695730130552332E-3</v>
      </c>
      <c r="CF39" s="224">
        <v>6.9870256029873221E-2</v>
      </c>
      <c r="CG39" s="224">
        <v>5.0634060568949578E-3</v>
      </c>
      <c r="CH39" s="224">
        <v>3.5257702166145939E-2</v>
      </c>
      <c r="CI39" s="224">
        <v>1.0475852253405971E-2</v>
      </c>
      <c r="CJ39" s="224">
        <v>1.3270497402796566E-2</v>
      </c>
      <c r="CK39" s="224">
        <v>1.1176256565100231E-2</v>
      </c>
      <c r="CL39" s="224">
        <v>9.777771974173859E-3</v>
      </c>
      <c r="CM39" s="224">
        <v>0</v>
      </c>
      <c r="CN39" s="224">
        <v>0</v>
      </c>
      <c r="CO39" s="224">
        <v>2.3753321753588979E-3</v>
      </c>
      <c r="CP39" s="224">
        <v>0</v>
      </c>
      <c r="CQ39" s="224">
        <v>0</v>
      </c>
      <c r="CR39" s="224">
        <v>1.0471204188481676E-3</v>
      </c>
      <c r="CS39" s="224">
        <v>4.818613152671289E-3</v>
      </c>
      <c r="CT39" s="224">
        <v>4.818613152671289E-3</v>
      </c>
      <c r="CU39" s="224">
        <v>1.7289107073305502E-2</v>
      </c>
      <c r="CV39" s="224">
        <v>1.4319941854106882E-2</v>
      </c>
      <c r="CW39" s="224">
        <v>2.3753321753588979E-3</v>
      </c>
      <c r="CX39" s="224">
        <v>0</v>
      </c>
      <c r="CY39" s="224">
        <v>0</v>
      </c>
      <c r="CZ39" s="224">
        <v>0</v>
      </c>
      <c r="DA39" s="224">
        <v>4.4695730130552332E-3</v>
      </c>
      <c r="DB39" s="224">
        <v>4.4695730130552332E-3</v>
      </c>
      <c r="DC39" s="224">
        <v>1.6940066933689449E-2</v>
      </c>
      <c r="DD39" s="224">
        <v>1.6940066933689449E-2</v>
      </c>
      <c r="DE39" s="224">
        <v>2.3753321753588979E-3</v>
      </c>
      <c r="DF39" s="224">
        <v>0</v>
      </c>
      <c r="DG39" s="224">
        <v>0</v>
      </c>
      <c r="DH39" s="224">
        <v>0</v>
      </c>
      <c r="DI39" s="224">
        <v>5.9383304383972448E-4</v>
      </c>
      <c r="DJ39" s="224">
        <v>0</v>
      </c>
      <c r="DK39" s="224">
        <v>0</v>
      </c>
      <c r="DL39" s="224">
        <v>0</v>
      </c>
      <c r="DM39" s="224">
        <v>0</v>
      </c>
      <c r="DN39" s="224">
        <v>0</v>
      </c>
      <c r="DO39" s="224">
        <v>0</v>
      </c>
      <c r="DP39" s="224">
        <v>0</v>
      </c>
      <c r="DQ39" s="224">
        <f t="shared" si="0"/>
        <v>1.0000000000000004</v>
      </c>
    </row>
    <row r="40" spans="1:121" x14ac:dyDescent="0.3">
      <c r="A40" s="223" t="s">
        <v>1134</v>
      </c>
      <c r="B40" s="223" t="s">
        <v>1130</v>
      </c>
      <c r="C40" s="223" t="s">
        <v>1095</v>
      </c>
      <c r="D40" s="223" t="s">
        <v>21</v>
      </c>
      <c r="E40" s="223" t="s">
        <v>1090</v>
      </c>
      <c r="F40" s="224">
        <v>0.21259443065894679</v>
      </c>
      <c r="G40" s="224">
        <v>0.12364514131888421</v>
      </c>
      <c r="H40" s="224">
        <v>3.1693159368681188E-2</v>
      </c>
      <c r="I40" s="224">
        <v>0</v>
      </c>
      <c r="J40" s="224">
        <v>0</v>
      </c>
      <c r="K40" s="224">
        <v>2.4377091384918708E-2</v>
      </c>
      <c r="L40" s="224">
        <v>4.071833031213961E-2</v>
      </c>
      <c r="M40" s="224">
        <v>4.9219551528612251E-2</v>
      </c>
      <c r="N40" s="224">
        <v>5.5854284988535459E-2</v>
      </c>
      <c r="O40" s="224">
        <v>3.6070006658241949E-2</v>
      </c>
      <c r="P40" s="224">
        <v>0</v>
      </c>
      <c r="Q40" s="224">
        <v>0</v>
      </c>
      <c r="R40" s="224">
        <v>0</v>
      </c>
      <c r="S40" s="224">
        <v>0</v>
      </c>
      <c r="T40" s="224">
        <v>0</v>
      </c>
      <c r="U40" s="224">
        <v>0</v>
      </c>
      <c r="V40" s="224">
        <v>1.838235294117647E-3</v>
      </c>
      <c r="W40" s="224">
        <v>3.4188034188034188E-3</v>
      </c>
      <c r="X40" s="224">
        <v>8.547008547008547E-4</v>
      </c>
      <c r="Y40" s="224">
        <v>0</v>
      </c>
      <c r="Z40" s="224">
        <v>0</v>
      </c>
      <c r="AA40" s="224">
        <v>0</v>
      </c>
      <c r="AB40" s="224">
        <v>0</v>
      </c>
      <c r="AC40" s="224">
        <v>0</v>
      </c>
      <c r="AD40" s="224">
        <v>7.0967741935483875E-3</v>
      </c>
      <c r="AE40" s="224">
        <v>0</v>
      </c>
      <c r="AF40" s="224">
        <v>0</v>
      </c>
      <c r="AG40" s="224">
        <v>1.6057719155442116E-2</v>
      </c>
      <c r="AH40" s="224">
        <v>2.1901269975273772E-2</v>
      </c>
      <c r="AI40" s="224">
        <v>1.2574498944280728E-2</v>
      </c>
      <c r="AJ40" s="224">
        <v>2.0105512752571577E-2</v>
      </c>
      <c r="AK40" s="224">
        <v>1.8945416004239532E-2</v>
      </c>
      <c r="AL40" s="224">
        <v>7.3529411764705881E-3</v>
      </c>
      <c r="AM40" s="224">
        <v>0</v>
      </c>
      <c r="AN40" s="224">
        <v>4.2735042735042739E-3</v>
      </c>
      <c r="AO40" s="224">
        <v>0</v>
      </c>
      <c r="AP40" s="224">
        <v>0</v>
      </c>
      <c r="AQ40" s="224">
        <v>1.5865979101273221E-2</v>
      </c>
      <c r="AR40" s="224">
        <v>0</v>
      </c>
      <c r="AS40" s="224">
        <v>0</v>
      </c>
      <c r="AT40" s="224">
        <v>0</v>
      </c>
      <c r="AU40" s="224">
        <v>6.1030255551128417E-3</v>
      </c>
      <c r="AV40" s="224">
        <v>0</v>
      </c>
      <c r="AW40" s="224">
        <v>0</v>
      </c>
      <c r="AX40" s="224">
        <v>2.4980443331961359E-2</v>
      </c>
      <c r="AY40" s="224">
        <v>8.5130379248026314E-3</v>
      </c>
      <c r="AZ40" s="224">
        <v>6.3987852982160384E-3</v>
      </c>
      <c r="BA40" s="224">
        <v>0</v>
      </c>
      <c r="BB40" s="224">
        <v>0</v>
      </c>
      <c r="BC40" s="224">
        <v>4.5327335162486965E-2</v>
      </c>
      <c r="BD40" s="224">
        <v>8.7888475981455105E-2</v>
      </c>
      <c r="BE40" s="224">
        <v>0</v>
      </c>
      <c r="BF40" s="224">
        <v>1.5421643362819832E-2</v>
      </c>
      <c r="BG40" s="224">
        <v>0</v>
      </c>
      <c r="BH40" s="224">
        <v>0</v>
      </c>
      <c r="BI40" s="224">
        <v>0</v>
      </c>
      <c r="BJ40" s="224">
        <v>0</v>
      </c>
      <c r="BK40" s="224">
        <v>0</v>
      </c>
      <c r="BL40" s="224">
        <v>0</v>
      </c>
      <c r="BM40" s="224">
        <v>0</v>
      </c>
      <c r="BN40" s="224">
        <v>0</v>
      </c>
      <c r="BO40" s="224">
        <v>0</v>
      </c>
      <c r="BP40" s="224">
        <v>0</v>
      </c>
      <c r="BQ40" s="224">
        <v>0</v>
      </c>
      <c r="BR40" s="224">
        <v>0</v>
      </c>
      <c r="BS40" s="224">
        <v>0</v>
      </c>
      <c r="BT40" s="224">
        <v>0</v>
      </c>
      <c r="BU40" s="224">
        <v>0</v>
      </c>
      <c r="BV40" s="224">
        <v>0</v>
      </c>
      <c r="BW40" s="224">
        <v>0</v>
      </c>
      <c r="BX40" s="224">
        <v>1.2903225806451613E-3</v>
      </c>
      <c r="BY40" s="224">
        <v>0</v>
      </c>
      <c r="BZ40" s="224">
        <v>0</v>
      </c>
      <c r="CA40" s="224">
        <v>0</v>
      </c>
      <c r="CB40" s="224">
        <v>0</v>
      </c>
      <c r="CC40" s="224">
        <v>0</v>
      </c>
      <c r="CD40" s="224">
        <v>0</v>
      </c>
      <c r="CE40" s="224">
        <v>0</v>
      </c>
      <c r="CF40" s="224">
        <v>8.6021505376344086E-4</v>
      </c>
      <c r="CG40" s="224">
        <v>3.8709677419354839E-3</v>
      </c>
      <c r="CH40" s="224">
        <v>1.3110415918765064E-2</v>
      </c>
      <c r="CI40" s="224">
        <v>1.3271791715814487E-2</v>
      </c>
      <c r="CJ40" s="224">
        <v>8.80934064994786E-3</v>
      </c>
      <c r="CK40" s="224">
        <v>5.2994170641229464E-3</v>
      </c>
      <c r="CL40" s="224">
        <v>0</v>
      </c>
      <c r="CM40" s="224">
        <v>0</v>
      </c>
      <c r="CN40" s="224">
        <v>0</v>
      </c>
      <c r="CO40" s="224">
        <v>2.6543583431628975E-2</v>
      </c>
      <c r="CP40" s="224">
        <v>0</v>
      </c>
      <c r="CQ40" s="224">
        <v>0</v>
      </c>
      <c r="CR40" s="224">
        <v>2.4412987648281766E-2</v>
      </c>
      <c r="CS40" s="224">
        <v>0</v>
      </c>
      <c r="CT40" s="224">
        <v>0</v>
      </c>
      <c r="CU40" s="224">
        <v>0</v>
      </c>
      <c r="CV40" s="224">
        <v>0</v>
      </c>
      <c r="CW40" s="224">
        <v>0</v>
      </c>
      <c r="CX40" s="224">
        <v>0</v>
      </c>
      <c r="CY40" s="224">
        <v>0</v>
      </c>
      <c r="CZ40" s="224">
        <v>0</v>
      </c>
      <c r="DA40" s="224">
        <v>1.7204301075268817E-3</v>
      </c>
      <c r="DB40" s="224">
        <v>0</v>
      </c>
      <c r="DC40" s="224">
        <v>0</v>
      </c>
      <c r="DD40" s="224">
        <v>8.6021505376344086E-4</v>
      </c>
      <c r="DE40" s="224">
        <v>8.6021505376344086E-4</v>
      </c>
      <c r="DF40" s="224">
        <v>0</v>
      </c>
      <c r="DG40" s="224">
        <v>0</v>
      </c>
      <c r="DH40" s="224">
        <v>0</v>
      </c>
      <c r="DI40" s="224">
        <v>0</v>
      </c>
      <c r="DJ40" s="224">
        <v>0</v>
      </c>
      <c r="DK40" s="224">
        <v>0</v>
      </c>
      <c r="DL40" s="224">
        <v>0</v>
      </c>
      <c r="DM40" s="224">
        <v>0</v>
      </c>
      <c r="DN40" s="224">
        <v>0</v>
      </c>
      <c r="DO40" s="224">
        <v>0</v>
      </c>
      <c r="DP40" s="224">
        <v>0</v>
      </c>
      <c r="DQ40" s="224">
        <f t="shared" si="0"/>
        <v>1</v>
      </c>
    </row>
    <row r="41" spans="1:121" x14ac:dyDescent="0.3">
      <c r="A41" s="223" t="s">
        <v>1135</v>
      </c>
      <c r="B41" s="223" t="s">
        <v>1130</v>
      </c>
      <c r="C41" s="223" t="s">
        <v>1095</v>
      </c>
      <c r="D41" s="223" t="s">
        <v>21</v>
      </c>
      <c r="E41" s="223" t="s">
        <v>1096</v>
      </c>
      <c r="F41" s="224">
        <v>0.28822316031505035</v>
      </c>
      <c r="G41" s="224">
        <v>2.9647745006357418E-2</v>
      </c>
      <c r="H41" s="224">
        <v>1.2190350962911349E-2</v>
      </c>
      <c r="I41" s="224">
        <v>4.0184850311432587E-4</v>
      </c>
      <c r="J41" s="224">
        <v>0</v>
      </c>
      <c r="K41" s="224">
        <v>1.3765913520377697E-2</v>
      </c>
      <c r="L41" s="224">
        <v>3.2590735983286913E-2</v>
      </c>
      <c r="M41" s="224">
        <v>4.5902526449100181E-3</v>
      </c>
      <c r="N41" s="224">
        <v>9.1297426615784584E-3</v>
      </c>
      <c r="O41" s="224">
        <v>0</v>
      </c>
      <c r="P41" s="224">
        <v>0</v>
      </c>
      <c r="Q41" s="224">
        <v>0</v>
      </c>
      <c r="R41" s="224">
        <v>0</v>
      </c>
      <c r="S41" s="224">
        <v>0</v>
      </c>
      <c r="T41" s="224">
        <v>0</v>
      </c>
      <c r="U41" s="224">
        <v>0</v>
      </c>
      <c r="V41" s="224">
        <v>6.6469525323783292E-3</v>
      </c>
      <c r="W41" s="224">
        <v>6.124294918680699E-3</v>
      </c>
      <c r="X41" s="224">
        <v>1.0183947552670103E-3</v>
      </c>
      <c r="Y41" s="224">
        <v>7.8956240519347815E-3</v>
      </c>
      <c r="Z41" s="224">
        <v>8.0369700622865174E-4</v>
      </c>
      <c r="AA41" s="224">
        <v>2.8371812604177752E-4</v>
      </c>
      <c r="AB41" s="224">
        <v>0</v>
      </c>
      <c r="AC41" s="224">
        <v>1.4185906302088874E-3</v>
      </c>
      <c r="AD41" s="224">
        <v>3.9720537645848847E-3</v>
      </c>
      <c r="AE41" s="224">
        <v>0</v>
      </c>
      <c r="AF41" s="224">
        <v>0</v>
      </c>
      <c r="AG41" s="224">
        <v>1.4518334845695618E-2</v>
      </c>
      <c r="AH41" s="224">
        <v>6.4813647834090988E-3</v>
      </c>
      <c r="AI41" s="224">
        <v>7.7316889311380031E-3</v>
      </c>
      <c r="AJ41" s="224">
        <v>1.0231814340498802E-2</v>
      </c>
      <c r="AK41" s="224">
        <v>8.7462653773909618E-3</v>
      </c>
      <c r="AL41" s="224">
        <v>1.6073940124573035E-3</v>
      </c>
      <c r="AM41" s="224">
        <v>0</v>
      </c>
      <c r="AN41" s="224">
        <v>0</v>
      </c>
      <c r="AO41" s="224">
        <v>2.5459868881675262E-3</v>
      </c>
      <c r="AP41" s="224">
        <v>2.0367895105340207E-3</v>
      </c>
      <c r="AQ41" s="224">
        <v>2.6257887677243138E-3</v>
      </c>
      <c r="AR41" s="224">
        <v>2.0367895105340207E-3</v>
      </c>
      <c r="AS41" s="224">
        <v>1.0183947552670103E-3</v>
      </c>
      <c r="AT41" s="224">
        <v>0</v>
      </c>
      <c r="AU41" s="224">
        <v>2.4798642496857259E-2</v>
      </c>
      <c r="AV41" s="224">
        <v>0</v>
      </c>
      <c r="AW41" s="224">
        <v>0</v>
      </c>
      <c r="AX41" s="224">
        <v>4.7315986552617538E-3</v>
      </c>
      <c r="AY41" s="224">
        <v>6.0088432751189058E-3</v>
      </c>
      <c r="AZ41" s="224">
        <v>1.5022108187797264E-3</v>
      </c>
      <c r="BA41" s="224">
        <v>1.1348725041671101E-3</v>
      </c>
      <c r="BB41" s="224">
        <v>1.3021128813087881E-3</v>
      </c>
      <c r="BC41" s="224">
        <v>1.9303841013724218E-2</v>
      </c>
      <c r="BD41" s="224">
        <v>4.7054697165201172E-2</v>
      </c>
      <c r="BE41" s="224">
        <v>0</v>
      </c>
      <c r="BF41" s="224">
        <v>6.6227107937608352E-3</v>
      </c>
      <c r="BG41" s="224">
        <v>0</v>
      </c>
      <c r="BH41" s="224">
        <v>0</v>
      </c>
      <c r="BI41" s="224">
        <v>0</v>
      </c>
      <c r="BJ41" s="224">
        <v>0</v>
      </c>
      <c r="BK41" s="224">
        <v>0</v>
      </c>
      <c r="BL41" s="224">
        <v>6.1394077829172722E-3</v>
      </c>
      <c r="BM41" s="224">
        <v>1.1064141182110646E-2</v>
      </c>
      <c r="BN41" s="224">
        <v>2.1748302645408584E-3</v>
      </c>
      <c r="BO41" s="224">
        <v>0</v>
      </c>
      <c r="BP41" s="224">
        <v>0</v>
      </c>
      <c r="BQ41" s="224">
        <v>0</v>
      </c>
      <c r="BR41" s="224">
        <v>0</v>
      </c>
      <c r="BS41" s="224">
        <v>0</v>
      </c>
      <c r="BT41" s="224">
        <v>0</v>
      </c>
      <c r="BU41" s="224">
        <v>0</v>
      </c>
      <c r="BV41" s="224">
        <v>4.2914216546316676E-3</v>
      </c>
      <c r="BW41" s="224">
        <v>6.3864500396157388E-3</v>
      </c>
      <c r="BX41" s="224">
        <v>1.1412548323472637E-2</v>
      </c>
      <c r="BY41" s="224">
        <v>7.8481666800381007E-3</v>
      </c>
      <c r="BZ41" s="224">
        <v>0</v>
      </c>
      <c r="CA41" s="224">
        <v>0</v>
      </c>
      <c r="CB41" s="224">
        <v>0</v>
      </c>
      <c r="CC41" s="224">
        <v>0</v>
      </c>
      <c r="CD41" s="224">
        <v>5.6743625208355503E-4</v>
      </c>
      <c r="CE41" s="224">
        <v>0</v>
      </c>
      <c r="CF41" s="224">
        <v>0</v>
      </c>
      <c r="CG41" s="224">
        <v>1.0426641132035322E-2</v>
      </c>
      <c r="CH41" s="224">
        <v>6.4448077969021481E-2</v>
      </c>
      <c r="CI41" s="224">
        <v>1.8356166165287718E-2</v>
      </c>
      <c r="CJ41" s="224">
        <v>0.16097773674293966</v>
      </c>
      <c r="CK41" s="224">
        <v>9.9301344114622134E-3</v>
      </c>
      <c r="CL41" s="224">
        <v>3.5464765755222187E-3</v>
      </c>
      <c r="CM41" s="224">
        <v>0</v>
      </c>
      <c r="CN41" s="224">
        <v>0</v>
      </c>
      <c r="CO41" s="224">
        <v>5.383168148585301E-3</v>
      </c>
      <c r="CP41" s="224">
        <v>0</v>
      </c>
      <c r="CQ41" s="224">
        <v>0</v>
      </c>
      <c r="CR41" s="224">
        <v>2.0367895105340207E-3</v>
      </c>
      <c r="CS41" s="224">
        <v>1.4185906302088874E-3</v>
      </c>
      <c r="CT41" s="224">
        <v>0</v>
      </c>
      <c r="CU41" s="224">
        <v>1.7029698075196446E-2</v>
      </c>
      <c r="CV41" s="224">
        <v>1.5785824068337707E-2</v>
      </c>
      <c r="CW41" s="224">
        <v>9.3223643528409245E-3</v>
      </c>
      <c r="CX41" s="224">
        <v>0</v>
      </c>
      <c r="CY41" s="224">
        <v>0</v>
      </c>
      <c r="CZ41" s="224">
        <v>0</v>
      </c>
      <c r="DA41" s="224">
        <v>1.4185906302088874E-3</v>
      </c>
      <c r="DB41" s="224">
        <v>0</v>
      </c>
      <c r="DC41" s="224">
        <v>2.1400921609384897E-2</v>
      </c>
      <c r="DD41" s="224">
        <v>8.5397172990498583E-3</v>
      </c>
      <c r="DE41" s="224">
        <v>9.3514837900659509E-3</v>
      </c>
      <c r="DF41" s="224">
        <v>0</v>
      </c>
      <c r="DG41" s="224">
        <v>0</v>
      </c>
      <c r="DH41" s="224">
        <v>0</v>
      </c>
      <c r="DI41" s="224">
        <v>0</v>
      </c>
      <c r="DJ41" s="224">
        <v>0</v>
      </c>
      <c r="DK41" s="224">
        <v>0</v>
      </c>
      <c r="DL41" s="224">
        <v>0</v>
      </c>
      <c r="DM41" s="224">
        <v>0</v>
      </c>
      <c r="DN41" s="224">
        <v>0</v>
      </c>
      <c r="DO41" s="224">
        <v>0</v>
      </c>
      <c r="DP41" s="224">
        <v>0</v>
      </c>
      <c r="DQ41" s="224">
        <f t="shared" si="0"/>
        <v>0.99999999999999978</v>
      </c>
    </row>
    <row r="42" spans="1:121" x14ac:dyDescent="0.3">
      <c r="A42" s="223" t="s">
        <v>1136</v>
      </c>
      <c r="B42" s="223" t="s">
        <v>1130</v>
      </c>
      <c r="C42" s="223" t="s">
        <v>1095</v>
      </c>
      <c r="D42" s="223" t="s">
        <v>1087</v>
      </c>
      <c r="E42" s="223" t="s">
        <v>27</v>
      </c>
      <c r="F42" s="224">
        <v>0.38866500351819866</v>
      </c>
      <c r="G42" s="224">
        <v>0</v>
      </c>
      <c r="H42" s="224">
        <v>3.0960148404017142E-2</v>
      </c>
      <c r="I42" s="224">
        <v>1.0234759802980873E-3</v>
      </c>
      <c r="J42" s="224">
        <v>0</v>
      </c>
      <c r="K42" s="224">
        <v>6.1408558817885239E-3</v>
      </c>
      <c r="L42" s="224">
        <v>1.2857417002494723E-2</v>
      </c>
      <c r="M42" s="224">
        <v>4.0939039211923493E-3</v>
      </c>
      <c r="N42" s="224">
        <v>6.1408558817885239E-3</v>
      </c>
      <c r="O42" s="224">
        <v>2.0469519605961746E-3</v>
      </c>
      <c r="P42" s="224">
        <v>0</v>
      </c>
      <c r="Q42" s="224">
        <v>0</v>
      </c>
      <c r="R42" s="224">
        <v>0</v>
      </c>
      <c r="S42" s="224">
        <v>0</v>
      </c>
      <c r="T42" s="224">
        <v>0</v>
      </c>
      <c r="U42" s="224">
        <v>0</v>
      </c>
      <c r="V42" s="224">
        <v>6.1408558817885239E-3</v>
      </c>
      <c r="W42" s="224">
        <v>6.1408558817885239E-3</v>
      </c>
      <c r="X42" s="224">
        <v>4.0939039211923493E-3</v>
      </c>
      <c r="Y42" s="224">
        <v>6.1408558817885239E-3</v>
      </c>
      <c r="Z42" s="224">
        <v>2.0469519605961746E-3</v>
      </c>
      <c r="AA42" s="224">
        <v>1.0234759802980873E-3</v>
      </c>
      <c r="AB42" s="224">
        <v>0</v>
      </c>
      <c r="AC42" s="224">
        <v>1.2281711763577048E-2</v>
      </c>
      <c r="AD42" s="224">
        <v>6.1408558817885239E-3</v>
      </c>
      <c r="AE42" s="224">
        <v>4.0939039211923493E-3</v>
      </c>
      <c r="AF42" s="224">
        <v>0</v>
      </c>
      <c r="AG42" s="224">
        <v>6.1408558817885239E-3</v>
      </c>
      <c r="AH42" s="224">
        <v>2.0469519605961746E-3</v>
      </c>
      <c r="AI42" s="224">
        <v>6.1408558817885239E-3</v>
      </c>
      <c r="AJ42" s="224">
        <v>4.0939039211923493E-3</v>
      </c>
      <c r="AK42" s="224">
        <v>2.0469519605961746E-3</v>
      </c>
      <c r="AL42" s="224">
        <v>2.0469519605961746E-3</v>
      </c>
      <c r="AM42" s="224">
        <v>0</v>
      </c>
      <c r="AN42" s="224">
        <v>4.0939039211923493E-3</v>
      </c>
      <c r="AO42" s="224">
        <v>4.0939039211923493E-3</v>
      </c>
      <c r="AP42" s="224">
        <v>2.0469519605961746E-3</v>
      </c>
      <c r="AQ42" s="224">
        <v>6.1408558817885239E-3</v>
      </c>
      <c r="AR42" s="224">
        <v>0</v>
      </c>
      <c r="AS42" s="224">
        <v>0</v>
      </c>
      <c r="AT42" s="224">
        <v>0</v>
      </c>
      <c r="AU42" s="224">
        <v>1.0234759802980873E-3</v>
      </c>
      <c r="AV42" s="224">
        <v>2.0469519605961746E-3</v>
      </c>
      <c r="AW42" s="224">
        <v>1.0234759802980873E-3</v>
      </c>
      <c r="AX42" s="224">
        <v>2.0469519605961746E-3</v>
      </c>
      <c r="AY42" s="224">
        <v>4.0939039211923493E-3</v>
      </c>
      <c r="AZ42" s="224">
        <v>2.0469519605961746E-3</v>
      </c>
      <c r="BA42" s="224">
        <v>1.2281711763577048E-2</v>
      </c>
      <c r="BB42" s="224">
        <v>2.0469519605961746E-3</v>
      </c>
      <c r="BC42" s="224">
        <v>6.1408558817885239E-3</v>
      </c>
      <c r="BD42" s="224">
        <v>1.6375615684769397E-2</v>
      </c>
      <c r="BE42" s="224">
        <v>9.2112838226827871E-3</v>
      </c>
      <c r="BF42" s="224">
        <v>4.0939039211923493E-3</v>
      </c>
      <c r="BG42" s="224">
        <v>8.1878078423846985E-3</v>
      </c>
      <c r="BH42" s="224">
        <v>9.2112838226827871E-3</v>
      </c>
      <c r="BI42" s="224">
        <v>6.1408558817885239E-3</v>
      </c>
      <c r="BJ42" s="224">
        <v>2.0469519605961746E-3</v>
      </c>
      <c r="BK42" s="224">
        <v>6.1408558817885239E-3</v>
      </c>
      <c r="BL42" s="224">
        <v>6.1408558817885239E-3</v>
      </c>
      <c r="BM42" s="224">
        <v>1.228171176357705E-2</v>
      </c>
      <c r="BN42" s="224">
        <v>1.0234759802980874E-2</v>
      </c>
      <c r="BO42" s="224">
        <v>0</v>
      </c>
      <c r="BP42" s="224">
        <v>0</v>
      </c>
      <c r="BQ42" s="224">
        <v>6.1408558817885239E-3</v>
      </c>
      <c r="BR42" s="224">
        <v>6.1408558817885239E-3</v>
      </c>
      <c r="BS42" s="224">
        <v>6.1408558817885239E-3</v>
      </c>
      <c r="BT42" s="224">
        <v>6.1408558817885239E-3</v>
      </c>
      <c r="BU42" s="224">
        <v>8.2901554404145081E-2</v>
      </c>
      <c r="BV42" s="224">
        <v>2.0469519605961746E-3</v>
      </c>
      <c r="BW42" s="224">
        <v>2.0469519605961746E-3</v>
      </c>
      <c r="BX42" s="224">
        <v>6.1408558817885239E-3</v>
      </c>
      <c r="BY42" s="224">
        <v>4.0939039211923493E-3</v>
      </c>
      <c r="BZ42" s="224">
        <v>0</v>
      </c>
      <c r="CA42" s="224">
        <v>0</v>
      </c>
      <c r="CB42" s="224">
        <v>6.1408558817885239E-3</v>
      </c>
      <c r="CC42" s="224">
        <v>6.1408558817885239E-3</v>
      </c>
      <c r="CD42" s="224">
        <v>6.1408558817885239E-3</v>
      </c>
      <c r="CE42" s="224">
        <v>4.0939039211923493E-3</v>
      </c>
      <c r="CF42" s="224">
        <v>4.4521205142966799E-2</v>
      </c>
      <c r="CG42" s="224">
        <v>6.1408558817885239E-3</v>
      </c>
      <c r="CH42" s="224">
        <v>4.0939039211923493E-3</v>
      </c>
      <c r="CI42" s="224">
        <v>4.0939039211923493E-3</v>
      </c>
      <c r="CJ42" s="224">
        <v>1.2793449753726092E-2</v>
      </c>
      <c r="CK42" s="224">
        <v>1.6375615684769397E-2</v>
      </c>
      <c r="CL42" s="224">
        <v>2.4051685537005055E-2</v>
      </c>
      <c r="CM42" s="224">
        <v>0</v>
      </c>
      <c r="CN42" s="224">
        <v>0</v>
      </c>
      <c r="CO42" s="224">
        <v>6.1408558817885239E-3</v>
      </c>
      <c r="CP42" s="224">
        <v>0</v>
      </c>
      <c r="CQ42" s="224">
        <v>0</v>
      </c>
      <c r="CR42" s="224">
        <v>6.1408558817885239E-3</v>
      </c>
      <c r="CS42" s="224">
        <v>1.0234759802980874E-2</v>
      </c>
      <c r="CT42" s="224">
        <v>0</v>
      </c>
      <c r="CU42" s="224">
        <v>1.0234759802980874E-2</v>
      </c>
      <c r="CV42" s="224">
        <v>1.0234759802980874E-2</v>
      </c>
      <c r="CW42" s="224">
        <v>1.0234759802980874E-2</v>
      </c>
      <c r="CX42" s="224">
        <v>0</v>
      </c>
      <c r="CY42" s="224">
        <v>0</v>
      </c>
      <c r="CZ42" s="224">
        <v>0</v>
      </c>
      <c r="DA42" s="224">
        <v>6.1408558817885239E-3</v>
      </c>
      <c r="DB42" s="224">
        <v>0</v>
      </c>
      <c r="DC42" s="224">
        <v>6.1408558817885239E-3</v>
      </c>
      <c r="DD42" s="224">
        <v>1.0234759802980874E-2</v>
      </c>
      <c r="DE42" s="224">
        <v>6.1408558817885239E-3</v>
      </c>
      <c r="DF42" s="224">
        <v>0</v>
      </c>
      <c r="DG42" s="224">
        <v>0</v>
      </c>
      <c r="DH42" s="224">
        <v>0</v>
      </c>
      <c r="DI42" s="224">
        <v>0</v>
      </c>
      <c r="DJ42" s="224">
        <v>0</v>
      </c>
      <c r="DK42" s="224">
        <v>0</v>
      </c>
      <c r="DL42" s="224">
        <v>0</v>
      </c>
      <c r="DM42" s="224">
        <v>0</v>
      </c>
      <c r="DN42" s="224">
        <v>0</v>
      </c>
      <c r="DO42" s="224">
        <v>0</v>
      </c>
      <c r="DP42" s="224">
        <v>0</v>
      </c>
      <c r="DQ42" s="224">
        <f t="shared" si="0"/>
        <v>0.99999999999999811</v>
      </c>
    </row>
    <row r="43" spans="1:121" x14ac:dyDescent="0.3">
      <c r="A43" s="223" t="s">
        <v>1137</v>
      </c>
      <c r="B43" s="223" t="s">
        <v>1130</v>
      </c>
      <c r="C43" s="223" t="s">
        <v>1089</v>
      </c>
      <c r="D43" s="223" t="s">
        <v>21</v>
      </c>
      <c r="E43" s="223" t="s">
        <v>1090</v>
      </c>
      <c r="F43" s="224">
        <v>0.14063556457065585</v>
      </c>
      <c r="G43" s="224">
        <v>3.9819403267303433E-2</v>
      </c>
      <c r="H43" s="224">
        <v>2.2786982935997808E-2</v>
      </c>
      <c r="I43" s="224">
        <v>6.5762433210028769E-3</v>
      </c>
      <c r="J43" s="224">
        <v>9.6251266464032426E-2</v>
      </c>
      <c r="K43" s="224">
        <v>2.5053819344441879E-2</v>
      </c>
      <c r="L43" s="224">
        <v>4.8763594101129369E-2</v>
      </c>
      <c r="M43" s="224">
        <v>4.110152075626798E-3</v>
      </c>
      <c r="N43" s="224">
        <v>1.6851623510069875E-2</v>
      </c>
      <c r="O43" s="224">
        <v>0</v>
      </c>
      <c r="P43" s="224">
        <v>2.0320891690621731E-2</v>
      </c>
      <c r="Q43" s="224">
        <v>4.110152075626798E-3</v>
      </c>
      <c r="R43" s="224">
        <v>0</v>
      </c>
      <c r="S43" s="224">
        <v>0</v>
      </c>
      <c r="T43" s="224">
        <v>0</v>
      </c>
      <c r="U43" s="224">
        <v>0</v>
      </c>
      <c r="V43" s="224">
        <v>8.1628369793755318E-3</v>
      </c>
      <c r="W43" s="224">
        <v>1.2215521883124266E-2</v>
      </c>
      <c r="X43" s="224">
        <v>6.1364945275011644E-3</v>
      </c>
      <c r="Y43" s="224">
        <v>4.110152075626798E-3</v>
      </c>
      <c r="Z43" s="224">
        <v>4.110152075626798E-3</v>
      </c>
      <c r="AA43" s="224">
        <v>0</v>
      </c>
      <c r="AB43" s="224">
        <v>0</v>
      </c>
      <c r="AC43" s="224">
        <v>4.110152075626798E-3</v>
      </c>
      <c r="AD43" s="224">
        <v>1.3629364327048052E-2</v>
      </c>
      <c r="AE43" s="224">
        <v>1.3522650439486139E-3</v>
      </c>
      <c r="AF43" s="224">
        <v>1.3522650439486139E-3</v>
      </c>
      <c r="AG43" s="224">
        <v>2.93673364850978E-2</v>
      </c>
      <c r="AH43" s="224">
        <v>9.9548508168258582E-3</v>
      </c>
      <c r="AI43" s="224">
        <v>1.1983248382748779E-2</v>
      </c>
      <c r="AJ43" s="224">
        <v>4.2170560168923378E-2</v>
      </c>
      <c r="AK43" s="224">
        <v>0</v>
      </c>
      <c r="AL43" s="224">
        <v>0</v>
      </c>
      <c r="AM43" s="224">
        <v>0</v>
      </c>
      <c r="AN43" s="224">
        <v>2.9363226257000691E-2</v>
      </c>
      <c r="AO43" s="224">
        <v>2.1169425728230232E-2</v>
      </c>
      <c r="AP43" s="224">
        <v>1.3629364327048052E-2</v>
      </c>
      <c r="AQ43" s="224">
        <v>1.9233569111677409E-2</v>
      </c>
      <c r="AR43" s="224">
        <v>8.2203041512535959E-3</v>
      </c>
      <c r="AS43" s="224">
        <v>8.2203041512535959E-3</v>
      </c>
      <c r="AT43" s="224">
        <v>8.2203041512535959E-3</v>
      </c>
      <c r="AU43" s="224">
        <v>4.0567951318458417E-3</v>
      </c>
      <c r="AV43" s="224">
        <v>0</v>
      </c>
      <c r="AW43" s="224">
        <v>0</v>
      </c>
      <c r="AX43" s="224">
        <v>1.6329784186848172E-2</v>
      </c>
      <c r="AY43" s="224">
        <v>2.9840103942042989E-2</v>
      </c>
      <c r="AZ43" s="224">
        <v>1.0246646603127964E-2</v>
      </c>
      <c r="BA43" s="224">
        <v>0</v>
      </c>
      <c r="BB43" s="224">
        <v>0</v>
      </c>
      <c r="BC43" s="224">
        <v>2.3876010930176012E-2</v>
      </c>
      <c r="BD43" s="224">
        <v>0.11128792778545134</v>
      </c>
      <c r="BE43" s="224">
        <v>0</v>
      </c>
      <c r="BF43" s="224">
        <v>1.7682049230796786E-2</v>
      </c>
      <c r="BG43" s="224">
        <v>0</v>
      </c>
      <c r="BH43" s="224">
        <v>0</v>
      </c>
      <c r="BI43" s="224">
        <v>0</v>
      </c>
      <c r="BJ43" s="224">
        <v>0</v>
      </c>
      <c r="BK43" s="224">
        <v>0</v>
      </c>
      <c r="BL43" s="224">
        <v>0</v>
      </c>
      <c r="BM43" s="224">
        <v>0</v>
      </c>
      <c r="BN43" s="224">
        <v>0</v>
      </c>
      <c r="BO43" s="224">
        <v>0</v>
      </c>
      <c r="BP43" s="224">
        <v>0</v>
      </c>
      <c r="BQ43" s="224">
        <v>0</v>
      </c>
      <c r="BR43" s="224">
        <v>0</v>
      </c>
      <c r="BS43" s="224">
        <v>0</v>
      </c>
      <c r="BT43" s="224">
        <v>0</v>
      </c>
      <c r="BU43" s="224">
        <v>0</v>
      </c>
      <c r="BV43" s="224">
        <v>0</v>
      </c>
      <c r="BW43" s="224">
        <v>0</v>
      </c>
      <c r="BX43" s="224">
        <v>0</v>
      </c>
      <c r="BY43" s="224">
        <v>0</v>
      </c>
      <c r="BZ43" s="224">
        <v>0</v>
      </c>
      <c r="CA43" s="224">
        <v>0</v>
      </c>
      <c r="CB43" s="224">
        <v>0</v>
      </c>
      <c r="CC43" s="224">
        <v>0</v>
      </c>
      <c r="CD43" s="224">
        <v>0</v>
      </c>
      <c r="CE43" s="224">
        <v>0</v>
      </c>
      <c r="CF43" s="224">
        <v>0</v>
      </c>
      <c r="CG43" s="224">
        <v>0</v>
      </c>
      <c r="CH43" s="224">
        <v>0</v>
      </c>
      <c r="CI43" s="224">
        <v>0</v>
      </c>
      <c r="CJ43" s="224">
        <v>0</v>
      </c>
      <c r="CK43" s="224">
        <v>0</v>
      </c>
      <c r="CL43" s="224">
        <v>0</v>
      </c>
      <c r="CM43" s="224">
        <v>0</v>
      </c>
      <c r="CN43" s="224">
        <v>0</v>
      </c>
      <c r="CO43" s="224">
        <v>9.9569059308744125E-3</v>
      </c>
      <c r="CP43" s="224">
        <v>0</v>
      </c>
      <c r="CQ43" s="224">
        <v>0</v>
      </c>
      <c r="CR43" s="224">
        <v>7.8505204611804658E-2</v>
      </c>
      <c r="CS43" s="224">
        <v>0</v>
      </c>
      <c r="CT43" s="224">
        <v>0</v>
      </c>
      <c r="CU43" s="224">
        <v>0</v>
      </c>
      <c r="CV43" s="224">
        <v>0</v>
      </c>
      <c r="CW43" s="224">
        <v>0</v>
      </c>
      <c r="CX43" s="224">
        <v>0</v>
      </c>
      <c r="CY43" s="224">
        <v>0</v>
      </c>
      <c r="CZ43" s="224">
        <v>0</v>
      </c>
      <c r="DA43" s="224">
        <v>0</v>
      </c>
      <c r="DB43" s="224">
        <v>0</v>
      </c>
      <c r="DC43" s="224">
        <v>0</v>
      </c>
      <c r="DD43" s="224">
        <v>0</v>
      </c>
      <c r="DE43" s="224">
        <v>0</v>
      </c>
      <c r="DF43" s="224">
        <v>0</v>
      </c>
      <c r="DG43" s="224">
        <v>0</v>
      </c>
      <c r="DH43" s="224">
        <v>0</v>
      </c>
      <c r="DI43" s="224">
        <v>0</v>
      </c>
      <c r="DJ43" s="224">
        <v>1.6227180527383367E-2</v>
      </c>
      <c r="DK43" s="224">
        <v>0</v>
      </c>
      <c r="DL43" s="224">
        <v>0</v>
      </c>
      <c r="DM43" s="224">
        <v>0</v>
      </c>
      <c r="DN43" s="224">
        <v>0</v>
      </c>
      <c r="DO43" s="224">
        <v>0</v>
      </c>
      <c r="DP43" s="224">
        <v>0</v>
      </c>
      <c r="DQ43" s="224">
        <f t="shared" si="0"/>
        <v>1.0000000000000002</v>
      </c>
    </row>
    <row r="44" spans="1:121" x14ac:dyDescent="0.3">
      <c r="A44" s="223" t="s">
        <v>1138</v>
      </c>
      <c r="B44" s="223" t="s">
        <v>1130</v>
      </c>
      <c r="C44" s="223" t="s">
        <v>1089</v>
      </c>
      <c r="D44" s="223" t="s">
        <v>21</v>
      </c>
      <c r="E44" s="223" t="s">
        <v>1096</v>
      </c>
      <c r="F44" s="224">
        <v>0.40697674418604651</v>
      </c>
      <c r="G44" s="224">
        <v>2.3255813953488372E-2</v>
      </c>
      <c r="H44" s="224">
        <v>1.7441860465116279E-2</v>
      </c>
      <c r="I44" s="224">
        <v>0</v>
      </c>
      <c r="J44" s="224">
        <v>0</v>
      </c>
      <c r="K44" s="224">
        <v>1.1627906976744186E-2</v>
      </c>
      <c r="L44" s="224">
        <v>2.3255813953488372E-2</v>
      </c>
      <c r="M44" s="224">
        <v>1.1627906976744186E-2</v>
      </c>
      <c r="N44" s="224">
        <v>5.232558139534884E-2</v>
      </c>
      <c r="O44" s="224">
        <v>0</v>
      </c>
      <c r="P44" s="224">
        <v>3.4883720930232558E-2</v>
      </c>
      <c r="Q44" s="224">
        <v>1.7441860465116279E-2</v>
      </c>
      <c r="R44" s="224">
        <v>0</v>
      </c>
      <c r="S44" s="224">
        <v>0</v>
      </c>
      <c r="T44" s="224">
        <v>0</v>
      </c>
      <c r="U44" s="224">
        <v>0</v>
      </c>
      <c r="V44" s="224">
        <v>1.1627906976744186E-2</v>
      </c>
      <c r="W44" s="224">
        <v>1.1627906976744186E-2</v>
      </c>
      <c r="X44" s="224">
        <v>1.1627906976744186E-2</v>
      </c>
      <c r="Y44" s="224">
        <v>0</v>
      </c>
      <c r="Z44" s="224">
        <v>0</v>
      </c>
      <c r="AA44" s="224">
        <v>0</v>
      </c>
      <c r="AB44" s="224">
        <v>0</v>
      </c>
      <c r="AC44" s="224">
        <v>0</v>
      </c>
      <c r="AD44" s="224">
        <v>0</v>
      </c>
      <c r="AE44" s="224">
        <v>0</v>
      </c>
      <c r="AF44" s="224">
        <v>0</v>
      </c>
      <c r="AG44" s="224">
        <v>2.9069767441860465E-2</v>
      </c>
      <c r="AH44" s="224">
        <v>5.8139534883720929E-3</v>
      </c>
      <c r="AI44" s="224">
        <v>5.8139534883720929E-3</v>
      </c>
      <c r="AJ44" s="224">
        <v>1.7441860465116279E-2</v>
      </c>
      <c r="AK44" s="224">
        <v>0</v>
      </c>
      <c r="AL44" s="224">
        <v>0</v>
      </c>
      <c r="AM44" s="224">
        <v>0</v>
      </c>
      <c r="AN44" s="224">
        <v>1.7441860465116279E-2</v>
      </c>
      <c r="AO44" s="224">
        <v>3.4883720930232558E-2</v>
      </c>
      <c r="AP44" s="224">
        <v>0</v>
      </c>
      <c r="AQ44" s="224">
        <v>2.9069767441860465E-3</v>
      </c>
      <c r="AR44" s="224">
        <v>2.3255813953488372E-2</v>
      </c>
      <c r="AS44" s="224">
        <v>4.0697674418604654E-2</v>
      </c>
      <c r="AT44" s="224">
        <v>1.1627906976744186E-2</v>
      </c>
      <c r="AU44" s="224">
        <v>1.1627906976744186E-2</v>
      </c>
      <c r="AV44" s="224">
        <v>0</v>
      </c>
      <c r="AW44" s="224">
        <v>0</v>
      </c>
      <c r="AX44" s="224">
        <v>1.1627906976744186E-2</v>
      </c>
      <c r="AY44" s="224">
        <v>1.1627906976744186E-2</v>
      </c>
      <c r="AZ44" s="224">
        <v>5.8139534883720929E-3</v>
      </c>
      <c r="BA44" s="224">
        <v>0</v>
      </c>
      <c r="BB44" s="224">
        <v>0</v>
      </c>
      <c r="BC44" s="224">
        <v>2.3255813953488372E-2</v>
      </c>
      <c r="BD44" s="224">
        <v>3.4883720930232558E-2</v>
      </c>
      <c r="BE44" s="224">
        <v>0</v>
      </c>
      <c r="BF44" s="224">
        <v>5.8139534883720929E-3</v>
      </c>
      <c r="BG44" s="224">
        <v>0</v>
      </c>
      <c r="BH44" s="224">
        <v>0</v>
      </c>
      <c r="BI44" s="224">
        <v>0</v>
      </c>
      <c r="BJ44" s="224">
        <v>0</v>
      </c>
      <c r="BK44" s="224">
        <v>0</v>
      </c>
      <c r="BL44" s="224">
        <v>2.9069767441860465E-3</v>
      </c>
      <c r="BM44" s="224">
        <v>5.8139534883720929E-3</v>
      </c>
      <c r="BN44" s="224">
        <v>2.9069767441860465E-3</v>
      </c>
      <c r="BO44" s="224">
        <v>5.8139534883720929E-3</v>
      </c>
      <c r="BP44" s="224">
        <v>0</v>
      </c>
      <c r="BQ44" s="224">
        <v>0</v>
      </c>
      <c r="BR44" s="224">
        <v>2.9069767441860465E-3</v>
      </c>
      <c r="BS44" s="224">
        <v>2.9069767441860465E-3</v>
      </c>
      <c r="BT44" s="224">
        <v>0</v>
      </c>
      <c r="BU44" s="224">
        <v>2.9069767441860465E-3</v>
      </c>
      <c r="BV44" s="224">
        <v>2.9069767441860465E-3</v>
      </c>
      <c r="BW44" s="224">
        <v>2.9069767441860465E-3</v>
      </c>
      <c r="BX44" s="224">
        <v>5.8139534883720929E-3</v>
      </c>
      <c r="BY44" s="224">
        <v>2.9069767441860465E-3</v>
      </c>
      <c r="BZ44" s="224">
        <v>5.8139534883720929E-3</v>
      </c>
      <c r="CA44" s="224">
        <v>0</v>
      </c>
      <c r="CB44" s="224">
        <v>0</v>
      </c>
      <c r="CC44" s="224">
        <v>2.9069767441860465E-3</v>
      </c>
      <c r="CD44" s="224">
        <v>2.9069767441860465E-3</v>
      </c>
      <c r="CE44" s="224">
        <v>0</v>
      </c>
      <c r="CF44" s="224">
        <v>2.9069767441860465E-3</v>
      </c>
      <c r="CG44" s="224">
        <v>0</v>
      </c>
      <c r="CH44" s="224">
        <v>0</v>
      </c>
      <c r="CI44" s="224">
        <v>0</v>
      </c>
      <c r="CJ44" s="224">
        <v>0</v>
      </c>
      <c r="CK44" s="224">
        <v>0</v>
      </c>
      <c r="CL44" s="224">
        <v>0</v>
      </c>
      <c r="CM44" s="224">
        <v>0</v>
      </c>
      <c r="CN44" s="224">
        <v>0</v>
      </c>
      <c r="CO44" s="224">
        <v>0</v>
      </c>
      <c r="CP44" s="224">
        <v>0</v>
      </c>
      <c r="CQ44" s="224">
        <v>0</v>
      </c>
      <c r="CR44" s="224">
        <v>0</v>
      </c>
      <c r="CS44" s="224">
        <v>2.9069767441860465E-3</v>
      </c>
      <c r="CT44" s="224">
        <v>0</v>
      </c>
      <c r="CU44" s="224">
        <v>0</v>
      </c>
      <c r="CV44" s="224">
        <v>0</v>
      </c>
      <c r="CW44" s="224">
        <v>0</v>
      </c>
      <c r="CX44" s="224">
        <v>0</v>
      </c>
      <c r="CY44" s="224">
        <v>0</v>
      </c>
      <c r="CZ44" s="224">
        <v>0</v>
      </c>
      <c r="DA44" s="224">
        <v>2.9069767441860465E-3</v>
      </c>
      <c r="DB44" s="224">
        <v>0</v>
      </c>
      <c r="DC44" s="224">
        <v>0</v>
      </c>
      <c r="DD44" s="224">
        <v>0</v>
      </c>
      <c r="DE44" s="224">
        <v>0</v>
      </c>
      <c r="DF44" s="224">
        <v>0</v>
      </c>
      <c r="DG44" s="224">
        <v>0</v>
      </c>
      <c r="DH44" s="224">
        <v>0</v>
      </c>
      <c r="DI44" s="224">
        <v>1.1627906976744186E-2</v>
      </c>
      <c r="DJ44" s="224">
        <v>0</v>
      </c>
      <c r="DK44" s="224">
        <v>0</v>
      </c>
      <c r="DL44" s="224">
        <v>0</v>
      </c>
      <c r="DM44" s="224">
        <v>0</v>
      </c>
      <c r="DN44" s="224">
        <v>0</v>
      </c>
      <c r="DO44" s="224">
        <v>0</v>
      </c>
      <c r="DP44" s="224">
        <v>0</v>
      </c>
      <c r="DQ44" s="224">
        <f t="shared" si="0"/>
        <v>1.0000000000000002</v>
      </c>
    </row>
    <row r="45" spans="1:121" x14ac:dyDescent="0.3">
      <c r="A45" s="223" t="s">
        <v>1139</v>
      </c>
      <c r="B45" s="223" t="s">
        <v>6</v>
      </c>
      <c r="C45" s="223" t="s">
        <v>1089</v>
      </c>
      <c r="D45" s="223" t="s">
        <v>1087</v>
      </c>
      <c r="E45" s="223" t="s">
        <v>1090</v>
      </c>
      <c r="F45" s="224">
        <v>0</v>
      </c>
      <c r="G45" s="224">
        <v>3.235577092248916E-2</v>
      </c>
      <c r="H45" s="224">
        <v>2.176541056526328E-2</v>
      </c>
      <c r="I45" s="224">
        <v>3.1152647975077881E-3</v>
      </c>
      <c r="J45" s="224">
        <v>7.7399380804953561E-3</v>
      </c>
      <c r="K45" s="224">
        <v>7.8222812163656896E-3</v>
      </c>
      <c r="L45" s="224">
        <v>3.2172937861601428E-2</v>
      </c>
      <c r="M45" s="224">
        <v>9.1444116936175747E-3</v>
      </c>
      <c r="N45" s="224">
        <v>7.5258701787394168E-4</v>
      </c>
      <c r="O45" s="224">
        <v>1.7647058823529412E-2</v>
      </c>
      <c r="P45" s="224">
        <v>1.2581633747278689E-2</v>
      </c>
      <c r="Q45" s="224">
        <v>1.4573020315109646E-2</v>
      </c>
      <c r="R45" s="224">
        <v>5.7130786430560163E-3</v>
      </c>
      <c r="S45" s="224">
        <v>8.6869602697645695E-2</v>
      </c>
      <c r="T45" s="224">
        <v>3.172904777631777E-2</v>
      </c>
      <c r="U45" s="224">
        <v>0</v>
      </c>
      <c r="V45" s="224">
        <v>9.9470391141629078E-3</v>
      </c>
      <c r="W45" s="224">
        <v>1.6340792690529977E-2</v>
      </c>
      <c r="X45" s="224">
        <v>1.3860413502299218E-2</v>
      </c>
      <c r="Y45" s="224">
        <v>5.6126795962657225E-2</v>
      </c>
      <c r="Z45" s="224">
        <v>9.4073377234242701E-3</v>
      </c>
      <c r="AA45" s="224">
        <v>5.6444026340545629E-3</v>
      </c>
      <c r="AB45" s="224">
        <v>0</v>
      </c>
      <c r="AC45" s="224">
        <v>2.3102194166278359E-2</v>
      </c>
      <c r="AD45" s="224">
        <v>2.1829817782836134E-3</v>
      </c>
      <c r="AE45" s="224">
        <v>7.5619174606014906E-3</v>
      </c>
      <c r="AF45" s="224">
        <v>1.0325017077729017E-2</v>
      </c>
      <c r="AG45" s="224">
        <v>1.2768383963889338E-2</v>
      </c>
      <c r="AH45" s="224">
        <v>1.3619028348952292E-2</v>
      </c>
      <c r="AI45" s="224">
        <v>1.5820936765634744E-2</v>
      </c>
      <c r="AJ45" s="224">
        <v>3.9139249519312365E-2</v>
      </c>
      <c r="AK45" s="224">
        <v>9.3180037179865921E-3</v>
      </c>
      <c r="AL45" s="224">
        <v>1.8370417522641128E-2</v>
      </c>
      <c r="AM45" s="224">
        <v>0</v>
      </c>
      <c r="AN45" s="224">
        <v>1.1214953271028037E-2</v>
      </c>
      <c r="AO45" s="224">
        <v>8.1726617539228663E-3</v>
      </c>
      <c r="AP45" s="224">
        <v>2.2454523874416436E-3</v>
      </c>
      <c r="AQ45" s="224">
        <v>7.4840106626093581E-3</v>
      </c>
      <c r="AR45" s="224">
        <v>7.0888417863043868E-2</v>
      </c>
      <c r="AS45" s="224">
        <v>2.7860029516292174E-2</v>
      </c>
      <c r="AT45" s="224">
        <v>1.1743175066800544E-2</v>
      </c>
      <c r="AU45" s="224">
        <v>1.557632398753894E-3</v>
      </c>
      <c r="AV45" s="224">
        <v>1.4630643710208056E-2</v>
      </c>
      <c r="AW45" s="224">
        <v>1.5591330080012483E-2</v>
      </c>
      <c r="AX45" s="224">
        <v>1.5181372012771496E-2</v>
      </c>
      <c r="AY45" s="224">
        <v>2.3525431877783193E-2</v>
      </c>
      <c r="AZ45" s="224">
        <v>8.9238102403584093E-3</v>
      </c>
      <c r="BA45" s="224">
        <v>7.7071290944123313E-3</v>
      </c>
      <c r="BB45" s="224">
        <v>0</v>
      </c>
      <c r="BC45" s="224">
        <v>1.9365587649862154E-2</v>
      </c>
      <c r="BD45" s="224">
        <v>4.545627857230794E-2</v>
      </c>
      <c r="BE45" s="224">
        <v>3.5559642787727233E-2</v>
      </c>
      <c r="BF45" s="224">
        <v>1.0219037734588352E-2</v>
      </c>
      <c r="BG45" s="224">
        <v>5.3104174028203527E-2</v>
      </c>
      <c r="BH45" s="224">
        <v>3.0610567495294908E-2</v>
      </c>
      <c r="BI45" s="224">
        <v>1.381943270284763E-2</v>
      </c>
      <c r="BJ45" s="224">
        <v>1.7622272987141339E-2</v>
      </c>
      <c r="BK45" s="224">
        <v>0</v>
      </c>
      <c r="BL45" s="224">
        <v>0</v>
      </c>
      <c r="BM45" s="224">
        <v>0</v>
      </c>
      <c r="BN45" s="224">
        <v>0</v>
      </c>
      <c r="BO45" s="224">
        <v>0</v>
      </c>
      <c r="BP45" s="224">
        <v>0</v>
      </c>
      <c r="BQ45" s="224">
        <v>0</v>
      </c>
      <c r="BR45" s="224">
        <v>0</v>
      </c>
      <c r="BS45" s="224">
        <v>0</v>
      </c>
      <c r="BT45" s="224">
        <v>0</v>
      </c>
      <c r="BU45" s="224">
        <v>0</v>
      </c>
      <c r="BV45" s="224">
        <v>0</v>
      </c>
      <c r="BW45" s="224">
        <v>0</v>
      </c>
      <c r="BX45" s="224">
        <v>0</v>
      </c>
      <c r="BY45" s="224">
        <v>0</v>
      </c>
      <c r="BZ45" s="224">
        <v>0</v>
      </c>
      <c r="CA45" s="224">
        <v>0</v>
      </c>
      <c r="CB45" s="224">
        <v>0</v>
      </c>
      <c r="CC45" s="224">
        <v>0</v>
      </c>
      <c r="CD45" s="224">
        <v>0</v>
      </c>
      <c r="CE45" s="224">
        <v>0</v>
      </c>
      <c r="CF45" s="224">
        <v>0</v>
      </c>
      <c r="CG45" s="224">
        <v>0</v>
      </c>
      <c r="CH45" s="224">
        <v>0</v>
      </c>
      <c r="CI45" s="224">
        <v>0</v>
      </c>
      <c r="CJ45" s="224">
        <v>0</v>
      </c>
      <c r="CK45" s="224">
        <v>0</v>
      </c>
      <c r="CL45" s="224">
        <v>0</v>
      </c>
      <c r="CM45" s="224">
        <v>0</v>
      </c>
      <c r="CN45" s="224">
        <v>0</v>
      </c>
      <c r="CO45" s="224">
        <v>0</v>
      </c>
      <c r="CP45" s="224">
        <v>0</v>
      </c>
      <c r="CQ45" s="224">
        <v>0</v>
      </c>
      <c r="CR45" s="224">
        <v>0</v>
      </c>
      <c r="CS45" s="224">
        <v>0</v>
      </c>
      <c r="CT45" s="224">
        <v>0</v>
      </c>
      <c r="CU45" s="224">
        <v>0</v>
      </c>
      <c r="CV45" s="224">
        <v>0</v>
      </c>
      <c r="CW45" s="224">
        <v>0</v>
      </c>
      <c r="CX45" s="224">
        <v>0</v>
      </c>
      <c r="CY45" s="224">
        <v>0</v>
      </c>
      <c r="CZ45" s="224">
        <v>0</v>
      </c>
      <c r="DA45" s="224">
        <v>0</v>
      </c>
      <c r="DB45" s="224">
        <v>0</v>
      </c>
      <c r="DC45" s="224">
        <v>0</v>
      </c>
      <c r="DD45" s="224">
        <v>0</v>
      </c>
      <c r="DE45" s="224">
        <v>0</v>
      </c>
      <c r="DF45" s="224">
        <v>0</v>
      </c>
      <c r="DG45" s="224">
        <v>0</v>
      </c>
      <c r="DH45" s="224">
        <v>0</v>
      </c>
      <c r="DI45" s="224">
        <v>0</v>
      </c>
      <c r="DJ45" s="224">
        <v>0</v>
      </c>
      <c r="DK45" s="224">
        <v>0</v>
      </c>
      <c r="DL45" s="224">
        <v>0</v>
      </c>
      <c r="DM45" s="224">
        <v>0</v>
      </c>
      <c r="DN45" s="224">
        <v>0</v>
      </c>
      <c r="DO45" s="224">
        <v>0</v>
      </c>
      <c r="DP45" s="224">
        <v>0</v>
      </c>
      <c r="DQ45" s="224">
        <f t="shared" si="0"/>
        <v>1</v>
      </c>
    </row>
    <row r="46" spans="1:121" x14ac:dyDescent="0.3">
      <c r="A46" s="223" t="s">
        <v>1140</v>
      </c>
      <c r="B46" s="223" t="s">
        <v>6</v>
      </c>
      <c r="C46" s="223" t="s">
        <v>1089</v>
      </c>
      <c r="D46" s="223" t="s">
        <v>1087</v>
      </c>
      <c r="E46" s="223" t="s">
        <v>1096</v>
      </c>
      <c r="F46" s="224">
        <v>0</v>
      </c>
      <c r="G46" s="224">
        <v>0.20270270270270271</v>
      </c>
      <c r="H46" s="224">
        <v>9.6525096525096523E-3</v>
      </c>
      <c r="I46" s="224">
        <v>0</v>
      </c>
      <c r="J46" s="224">
        <v>0</v>
      </c>
      <c r="K46" s="224">
        <v>2.8957528957528956E-3</v>
      </c>
      <c r="L46" s="224">
        <v>4.2471042471042469E-2</v>
      </c>
      <c r="M46" s="224">
        <v>1.1583011583011582E-2</v>
      </c>
      <c r="N46" s="224">
        <v>1.9305019305019305E-3</v>
      </c>
      <c r="O46" s="224">
        <v>4.8262548262548262E-3</v>
      </c>
      <c r="P46" s="224">
        <v>4.8262548262548262E-3</v>
      </c>
      <c r="Q46" s="224">
        <v>4.343629343629344E-2</v>
      </c>
      <c r="R46" s="224">
        <v>3.8610038610038611E-3</v>
      </c>
      <c r="S46" s="224">
        <v>2.8957528957528959E-2</v>
      </c>
      <c r="T46" s="224">
        <v>4.72972972972973E-2</v>
      </c>
      <c r="U46" s="224">
        <v>0</v>
      </c>
      <c r="V46" s="224">
        <v>8.6872586872586872E-3</v>
      </c>
      <c r="W46" s="224">
        <v>4.8262548262548262E-3</v>
      </c>
      <c r="X46" s="224">
        <v>0</v>
      </c>
      <c r="Y46" s="224">
        <v>5.7915057915057912E-3</v>
      </c>
      <c r="Z46" s="224">
        <v>0</v>
      </c>
      <c r="AA46" s="224">
        <v>3.8610038610038611E-3</v>
      </c>
      <c r="AB46" s="224">
        <v>0</v>
      </c>
      <c r="AC46" s="224">
        <v>5.7915057915057917E-2</v>
      </c>
      <c r="AD46" s="224">
        <v>0</v>
      </c>
      <c r="AE46" s="224">
        <v>4.8262548262548262E-3</v>
      </c>
      <c r="AF46" s="224">
        <v>2.1235521235521235E-2</v>
      </c>
      <c r="AG46" s="224">
        <v>1.6409266409266408E-2</v>
      </c>
      <c r="AH46" s="224">
        <v>1.9305019305019305E-3</v>
      </c>
      <c r="AI46" s="224">
        <v>7.7220077220077222E-3</v>
      </c>
      <c r="AJ46" s="224">
        <v>9.6525096525096523E-3</v>
      </c>
      <c r="AK46" s="224">
        <v>2.8957528957528956E-3</v>
      </c>
      <c r="AL46" s="224">
        <v>7.2393822393822397E-3</v>
      </c>
      <c r="AM46" s="224">
        <v>0</v>
      </c>
      <c r="AN46" s="224">
        <v>2.4131274131274131E-3</v>
      </c>
      <c r="AO46" s="224">
        <v>9.6525096525096523E-3</v>
      </c>
      <c r="AP46" s="224">
        <v>7.7220077220077222E-3</v>
      </c>
      <c r="AQ46" s="224">
        <v>7.7220077220077222E-3</v>
      </c>
      <c r="AR46" s="224">
        <v>7.7220077220077222E-3</v>
      </c>
      <c r="AS46" s="224">
        <v>4.9227799227799227E-2</v>
      </c>
      <c r="AT46" s="224">
        <v>1.9305019305019305E-2</v>
      </c>
      <c r="AU46" s="224">
        <v>0</v>
      </c>
      <c r="AV46" s="224">
        <v>4.8262548262548262E-3</v>
      </c>
      <c r="AW46" s="224">
        <v>2.4131274131274132E-2</v>
      </c>
      <c r="AX46" s="224">
        <v>7.7220077220077222E-3</v>
      </c>
      <c r="AY46" s="224">
        <v>2.7027027027027029E-2</v>
      </c>
      <c r="AZ46" s="224">
        <v>4.8262548262548262E-3</v>
      </c>
      <c r="BA46" s="224">
        <v>0</v>
      </c>
      <c r="BB46" s="224">
        <v>0</v>
      </c>
      <c r="BC46" s="224">
        <v>4.9227799227799227E-2</v>
      </c>
      <c r="BD46" s="224">
        <v>3.0888030888030889E-2</v>
      </c>
      <c r="BE46" s="224">
        <v>3.3783783783783786E-2</v>
      </c>
      <c r="BF46" s="224">
        <v>7.7220077220077222E-3</v>
      </c>
      <c r="BG46" s="224">
        <v>7.7220077220077222E-3</v>
      </c>
      <c r="BH46" s="224">
        <v>8.6872586872586879E-2</v>
      </c>
      <c r="BI46" s="224">
        <v>7.7220077220077222E-3</v>
      </c>
      <c r="BJ46" s="224">
        <v>1.1583011583011582E-2</v>
      </c>
      <c r="BK46" s="224">
        <v>0</v>
      </c>
      <c r="BL46" s="224">
        <v>0</v>
      </c>
      <c r="BM46" s="224">
        <v>5.7915057915057912E-3</v>
      </c>
      <c r="BN46" s="224">
        <v>0</v>
      </c>
      <c r="BO46" s="224">
        <v>9.6525096525096523E-3</v>
      </c>
      <c r="BP46" s="224">
        <v>1.1583011583011582E-2</v>
      </c>
      <c r="BQ46" s="224">
        <v>3.8610038610038611E-3</v>
      </c>
      <c r="BR46" s="224">
        <v>0</v>
      </c>
      <c r="BS46" s="224">
        <v>0</v>
      </c>
      <c r="BT46" s="224">
        <v>0</v>
      </c>
      <c r="BU46" s="224">
        <v>0</v>
      </c>
      <c r="BV46" s="224">
        <v>0</v>
      </c>
      <c r="BW46" s="224">
        <v>0</v>
      </c>
      <c r="BX46" s="224">
        <v>3.8610038610038611E-3</v>
      </c>
      <c r="BY46" s="224">
        <v>0</v>
      </c>
      <c r="BZ46" s="224">
        <v>0</v>
      </c>
      <c r="CA46" s="224">
        <v>0</v>
      </c>
      <c r="CB46" s="224">
        <v>0</v>
      </c>
      <c r="CC46" s="224">
        <v>0</v>
      </c>
      <c r="CD46" s="224">
        <v>0</v>
      </c>
      <c r="CE46" s="224">
        <v>0</v>
      </c>
      <c r="CF46" s="224">
        <v>0</v>
      </c>
      <c r="CG46" s="224">
        <v>0</v>
      </c>
      <c r="CH46" s="224">
        <v>0</v>
      </c>
      <c r="CI46" s="224">
        <v>0</v>
      </c>
      <c r="CJ46" s="224">
        <v>0</v>
      </c>
      <c r="CK46" s="224">
        <v>0</v>
      </c>
      <c r="CL46" s="224">
        <v>0</v>
      </c>
      <c r="CM46" s="224">
        <v>0</v>
      </c>
      <c r="CN46" s="224">
        <v>0</v>
      </c>
      <c r="CO46" s="224">
        <v>0</v>
      </c>
      <c r="CP46" s="224">
        <v>0</v>
      </c>
      <c r="CQ46" s="224">
        <v>0</v>
      </c>
      <c r="CR46" s="224">
        <v>0</v>
      </c>
      <c r="CS46" s="224">
        <v>0</v>
      </c>
      <c r="CT46" s="224">
        <v>0</v>
      </c>
      <c r="CU46" s="224">
        <v>0</v>
      </c>
      <c r="CV46" s="224">
        <v>0</v>
      </c>
      <c r="CW46" s="224">
        <v>0</v>
      </c>
      <c r="CX46" s="224">
        <v>0</v>
      </c>
      <c r="CY46" s="224">
        <v>0</v>
      </c>
      <c r="CZ46" s="224">
        <v>0</v>
      </c>
      <c r="DA46" s="224">
        <v>0</v>
      </c>
      <c r="DB46" s="224">
        <v>0</v>
      </c>
      <c r="DC46" s="224">
        <v>0</v>
      </c>
      <c r="DD46" s="224">
        <v>0</v>
      </c>
      <c r="DE46" s="224">
        <v>0</v>
      </c>
      <c r="DF46" s="224">
        <v>0</v>
      </c>
      <c r="DG46" s="224">
        <v>0</v>
      </c>
      <c r="DH46" s="224">
        <v>0</v>
      </c>
      <c r="DI46" s="224">
        <v>0</v>
      </c>
      <c r="DJ46" s="224">
        <v>0</v>
      </c>
      <c r="DK46" s="224">
        <v>0</v>
      </c>
      <c r="DL46" s="224">
        <v>0</v>
      </c>
      <c r="DM46" s="224">
        <v>0</v>
      </c>
      <c r="DN46" s="224">
        <v>0</v>
      </c>
      <c r="DO46" s="224">
        <v>0</v>
      </c>
      <c r="DP46" s="224">
        <v>0</v>
      </c>
      <c r="DQ46" s="224">
        <f t="shared" si="0"/>
        <v>0.99999999999999967</v>
      </c>
    </row>
    <row r="47" spans="1:121" x14ac:dyDescent="0.3">
      <c r="A47" s="223" t="s">
        <v>1141</v>
      </c>
      <c r="B47" s="223" t="s">
        <v>6</v>
      </c>
      <c r="C47" s="223" t="s">
        <v>1089</v>
      </c>
      <c r="D47" s="223" t="s">
        <v>21</v>
      </c>
      <c r="E47" s="223" t="s">
        <v>1090</v>
      </c>
      <c r="F47" s="224">
        <v>6.3938618925831207E-4</v>
      </c>
      <c r="G47" s="224">
        <v>8.2778488663562313E-2</v>
      </c>
      <c r="H47" s="224">
        <v>4.6220264339884867E-2</v>
      </c>
      <c r="I47" s="224">
        <v>8.1304470377426387E-4</v>
      </c>
      <c r="J47" s="224">
        <v>0</v>
      </c>
      <c r="K47" s="224">
        <v>1.3835689094269242E-2</v>
      </c>
      <c r="L47" s="224">
        <v>3.5597810652503815E-2</v>
      </c>
      <c r="M47" s="224">
        <v>5.3099246794167908E-3</v>
      </c>
      <c r="N47" s="224">
        <v>4.6584127795067654E-3</v>
      </c>
      <c r="O47" s="224">
        <v>1.0278247116965341E-2</v>
      </c>
      <c r="P47" s="224">
        <v>1.5230209011461604E-2</v>
      </c>
      <c r="Q47" s="224">
        <v>2.1348888878916207E-2</v>
      </c>
      <c r="R47" s="224">
        <v>1.3864154436565183E-2</v>
      </c>
      <c r="S47" s="224">
        <v>5.2087097293170626E-2</v>
      </c>
      <c r="T47" s="224">
        <v>4.318245325666923E-2</v>
      </c>
      <c r="U47" s="224">
        <v>0</v>
      </c>
      <c r="V47" s="224">
        <v>1.4968825713599618E-2</v>
      </c>
      <c r="W47" s="224">
        <v>2.0128403658005039E-2</v>
      </c>
      <c r="X47" s="224">
        <v>6.167283929663374E-3</v>
      </c>
      <c r="Y47" s="224">
        <v>9.1518175338560215E-3</v>
      </c>
      <c r="Z47" s="224">
        <v>5.4341143977191739E-3</v>
      </c>
      <c r="AA47" s="224">
        <v>2.0161290322580645E-4</v>
      </c>
      <c r="AB47" s="224">
        <v>4.032258064516129E-4</v>
      </c>
      <c r="AC47" s="224">
        <v>2.5442236668165772E-3</v>
      </c>
      <c r="AD47" s="224">
        <v>5.3510763711751763E-3</v>
      </c>
      <c r="AE47" s="224">
        <v>1.8322417173201013E-2</v>
      </c>
      <c r="AF47" s="224">
        <v>6.1625764750368635E-3</v>
      </c>
      <c r="AG47" s="224">
        <v>2.7432553553974066E-2</v>
      </c>
      <c r="AH47" s="224">
        <v>2.2444474950097479E-2</v>
      </c>
      <c r="AI47" s="224">
        <v>1.8081022190115321E-2</v>
      </c>
      <c r="AJ47" s="224">
        <v>2.7739600433182209E-2</v>
      </c>
      <c r="AK47" s="224">
        <v>5.5747768301067846E-3</v>
      </c>
      <c r="AL47" s="224">
        <v>1.0275770703121825E-3</v>
      </c>
      <c r="AM47" s="224">
        <v>2.7634438571238519E-3</v>
      </c>
      <c r="AN47" s="224">
        <v>1.9475599600163249E-2</v>
      </c>
      <c r="AO47" s="224">
        <v>1.3751157160144419E-2</v>
      </c>
      <c r="AP47" s="224">
        <v>4.288274073740982E-3</v>
      </c>
      <c r="AQ47" s="224">
        <v>7.0414677657731958E-3</v>
      </c>
      <c r="AR47" s="224">
        <v>4.0838057194829115E-2</v>
      </c>
      <c r="AS47" s="224">
        <v>4.7291939355673634E-2</v>
      </c>
      <c r="AT47" s="224">
        <v>1.9088751847595026E-2</v>
      </c>
      <c r="AU47" s="224">
        <v>6.6098442183316452E-4</v>
      </c>
      <c r="AV47" s="224">
        <v>1.935344901448394E-2</v>
      </c>
      <c r="AW47" s="224">
        <v>1.8519837443466958E-2</v>
      </c>
      <c r="AX47" s="224">
        <v>2.5300255924517304E-2</v>
      </c>
      <c r="AY47" s="224">
        <v>4.3173093094239931E-2</v>
      </c>
      <c r="AZ47" s="224">
        <v>1.3126143768826407E-2</v>
      </c>
      <c r="BA47" s="224">
        <v>4.6436586837101321E-3</v>
      </c>
      <c r="BB47" s="224">
        <v>2.2912722173205682E-3</v>
      </c>
      <c r="BC47" s="224">
        <v>5.3031348453248604E-2</v>
      </c>
      <c r="BD47" s="224">
        <v>6.3923341849702137E-2</v>
      </c>
      <c r="BE47" s="224">
        <v>0</v>
      </c>
      <c r="BF47" s="224">
        <v>1.363230142040058E-2</v>
      </c>
      <c r="BG47" s="224">
        <v>0</v>
      </c>
      <c r="BH47" s="224">
        <v>3.9956011730205281E-3</v>
      </c>
      <c r="BI47" s="224">
        <v>0</v>
      </c>
      <c r="BJ47" s="224">
        <v>0</v>
      </c>
      <c r="BK47" s="224">
        <v>0</v>
      </c>
      <c r="BL47" s="224">
        <v>0</v>
      </c>
      <c r="BM47" s="224">
        <v>3.5962430661416909E-3</v>
      </c>
      <c r="BN47" s="224">
        <v>0</v>
      </c>
      <c r="BO47" s="224">
        <v>8.4266968015540532E-3</v>
      </c>
      <c r="BP47" s="224">
        <v>2.5849585287958392E-3</v>
      </c>
      <c r="BQ47" s="224">
        <v>1.3159229958009154E-3</v>
      </c>
      <c r="BR47" s="224">
        <v>2.9325513196480938E-4</v>
      </c>
      <c r="BS47" s="224">
        <v>0</v>
      </c>
      <c r="BT47" s="224">
        <v>0</v>
      </c>
      <c r="BU47" s="224">
        <v>1.2432878289655785E-3</v>
      </c>
      <c r="BV47" s="224">
        <v>0</v>
      </c>
      <c r="BW47" s="224">
        <v>0</v>
      </c>
      <c r="BX47" s="224">
        <v>6.7191050601672396E-3</v>
      </c>
      <c r="BY47" s="224">
        <v>0</v>
      </c>
      <c r="BZ47" s="224">
        <v>1.5059596220795024E-2</v>
      </c>
      <c r="CA47" s="224">
        <v>2.6281208935611039E-3</v>
      </c>
      <c r="CB47" s="224">
        <v>2.6281208935611039E-3</v>
      </c>
      <c r="CC47" s="224">
        <v>0</v>
      </c>
      <c r="CD47" s="224">
        <v>0</v>
      </c>
      <c r="CE47" s="224">
        <v>0</v>
      </c>
      <c r="CF47" s="224">
        <v>2.3350605064160054E-3</v>
      </c>
      <c r="CG47" s="224">
        <v>0</v>
      </c>
      <c r="CH47" s="224">
        <v>0</v>
      </c>
      <c r="CI47" s="224">
        <v>0</v>
      </c>
      <c r="CJ47" s="224">
        <v>0</v>
      </c>
      <c r="CK47" s="224">
        <v>0</v>
      </c>
      <c r="CL47" s="224">
        <v>0</v>
      </c>
      <c r="CM47" s="224">
        <v>0</v>
      </c>
      <c r="CN47" s="224">
        <v>0</v>
      </c>
      <c r="CO47" s="224">
        <v>0</v>
      </c>
      <c r="CP47" s="224">
        <v>0</v>
      </c>
      <c r="CQ47" s="224">
        <v>0</v>
      </c>
      <c r="CR47" s="224">
        <v>0</v>
      </c>
      <c r="CS47" s="224">
        <v>0</v>
      </c>
      <c r="CT47" s="224">
        <v>0</v>
      </c>
      <c r="CU47" s="224">
        <v>0</v>
      </c>
      <c r="CV47" s="224">
        <v>0</v>
      </c>
      <c r="CW47" s="224">
        <v>0</v>
      </c>
      <c r="CX47" s="224">
        <v>0</v>
      </c>
      <c r="CY47" s="224">
        <v>0</v>
      </c>
      <c r="CZ47" s="224">
        <v>0</v>
      </c>
      <c r="DA47" s="224">
        <v>0</v>
      </c>
      <c r="DB47" s="224">
        <v>0</v>
      </c>
      <c r="DC47" s="224">
        <v>0</v>
      </c>
      <c r="DD47" s="224">
        <v>0</v>
      </c>
      <c r="DE47" s="224">
        <v>0</v>
      </c>
      <c r="DF47" s="224">
        <v>0</v>
      </c>
      <c r="DG47" s="224">
        <v>0</v>
      </c>
      <c r="DH47" s="224">
        <v>0</v>
      </c>
      <c r="DI47" s="224">
        <v>0</v>
      </c>
      <c r="DJ47" s="224">
        <v>0</v>
      </c>
      <c r="DK47" s="224">
        <v>0</v>
      </c>
      <c r="DL47" s="224">
        <v>0</v>
      </c>
      <c r="DM47" s="224">
        <v>0</v>
      </c>
      <c r="DN47" s="224">
        <v>0</v>
      </c>
      <c r="DO47" s="224">
        <v>0</v>
      </c>
      <c r="DP47" s="224">
        <v>0</v>
      </c>
      <c r="DQ47" s="224">
        <f t="shared" si="0"/>
        <v>1.0000000000000002</v>
      </c>
    </row>
    <row r="48" spans="1:121" x14ac:dyDescent="0.3">
      <c r="A48" s="223" t="s">
        <v>1142</v>
      </c>
      <c r="B48" s="223" t="s">
        <v>6</v>
      </c>
      <c r="C48" s="223" t="s">
        <v>1092</v>
      </c>
      <c r="D48" s="223" t="s">
        <v>1087</v>
      </c>
      <c r="E48" s="223" t="s">
        <v>1093</v>
      </c>
      <c r="F48" s="224">
        <v>0.27354503088761245</v>
      </c>
      <c r="G48" s="224">
        <v>4.8769914381705864E-3</v>
      </c>
      <c r="H48" s="224">
        <v>4.3351035005960766E-3</v>
      </c>
      <c r="I48" s="224">
        <v>6.5026552508941154E-4</v>
      </c>
      <c r="J48" s="224">
        <v>0</v>
      </c>
      <c r="K48" s="224">
        <v>4.1183483255662727E-3</v>
      </c>
      <c r="L48" s="224">
        <v>8.2366966511325454E-3</v>
      </c>
      <c r="M48" s="224">
        <v>3.9015931505364692E-3</v>
      </c>
      <c r="N48" s="224">
        <v>8.2366966511325454E-3</v>
      </c>
      <c r="O48" s="224">
        <v>9.2120949387666639E-3</v>
      </c>
      <c r="P48" s="224">
        <v>3.7932155630215673E-3</v>
      </c>
      <c r="Q48" s="224">
        <v>4.7686138506556845E-3</v>
      </c>
      <c r="R48" s="224">
        <v>1.1921534626639211E-3</v>
      </c>
      <c r="S48" s="224">
        <v>3.0345724504172535E-3</v>
      </c>
      <c r="T48" s="224">
        <v>4.6602362631407825E-3</v>
      </c>
      <c r="U48" s="224">
        <v>0</v>
      </c>
      <c r="V48" s="224">
        <v>2.9261948629023516E-3</v>
      </c>
      <c r="W48" s="224">
        <v>1.072938116397529E-2</v>
      </c>
      <c r="X48" s="224">
        <v>3.5764603879917633E-3</v>
      </c>
      <c r="Y48" s="224">
        <v>1.1921534626639211E-3</v>
      </c>
      <c r="Z48" s="224">
        <v>5.4730681695025471E-2</v>
      </c>
      <c r="AA48" s="224">
        <v>1.1921534626639211E-3</v>
      </c>
      <c r="AB48" s="224">
        <v>3.0345724504172535E-3</v>
      </c>
      <c r="AC48" s="224">
        <v>1.1054513926519996E-2</v>
      </c>
      <c r="AD48" s="224">
        <v>2.9261948629023516E-3</v>
      </c>
      <c r="AE48" s="224">
        <v>3.0345724504172535E-3</v>
      </c>
      <c r="AF48" s="224">
        <v>1.5172862252086268E-3</v>
      </c>
      <c r="AG48" s="224">
        <v>6.5026552508941149E-3</v>
      </c>
      <c r="AH48" s="224">
        <v>2.7094396878725481E-3</v>
      </c>
      <c r="AI48" s="224">
        <v>6.0691449008345071E-3</v>
      </c>
      <c r="AJ48" s="224">
        <v>1.1162891514034897E-2</v>
      </c>
      <c r="AK48" s="224">
        <v>4.5518586756258805E-3</v>
      </c>
      <c r="AL48" s="224">
        <v>3.2513276254470575E-3</v>
      </c>
      <c r="AM48" s="224">
        <v>2.8178172753874501E-3</v>
      </c>
      <c r="AN48" s="224">
        <v>7.8031863010729384E-3</v>
      </c>
      <c r="AO48" s="224">
        <v>8.4534518261623493E-3</v>
      </c>
      <c r="AP48" s="224">
        <v>2.7094396878725481E-3</v>
      </c>
      <c r="AQ48" s="224">
        <v>5.4188793757450958E-4</v>
      </c>
      <c r="AR48" s="224">
        <v>2.0591741627831363E-3</v>
      </c>
      <c r="AS48" s="224">
        <v>1.528123983960117E-2</v>
      </c>
      <c r="AT48" s="224">
        <v>6.0691449008345071E-3</v>
      </c>
      <c r="AU48" s="224">
        <v>0</v>
      </c>
      <c r="AV48" s="224">
        <v>1.5172862252086268E-3</v>
      </c>
      <c r="AW48" s="224">
        <v>4.6602362631407825E-3</v>
      </c>
      <c r="AX48" s="224">
        <v>4.3351035005960766E-3</v>
      </c>
      <c r="AY48" s="224">
        <v>4.3351035005960766E-3</v>
      </c>
      <c r="AZ48" s="224">
        <v>4.5518586756258805E-3</v>
      </c>
      <c r="BA48" s="224">
        <v>0</v>
      </c>
      <c r="BB48" s="224">
        <v>0</v>
      </c>
      <c r="BC48" s="224">
        <v>2.3843069253278422E-3</v>
      </c>
      <c r="BD48" s="224">
        <v>2.0049853690256855E-2</v>
      </c>
      <c r="BE48" s="224">
        <v>2.8936815866478813E-2</v>
      </c>
      <c r="BF48" s="224">
        <v>8.7785845887070561E-3</v>
      </c>
      <c r="BG48" s="224">
        <v>1.6906903652324699E-2</v>
      </c>
      <c r="BH48" s="224">
        <v>2.5577110653516852E-2</v>
      </c>
      <c r="BI48" s="224">
        <v>6.8277880134388208E-3</v>
      </c>
      <c r="BJ48" s="224">
        <v>1.1596401864094505E-2</v>
      </c>
      <c r="BK48" s="224">
        <v>0</v>
      </c>
      <c r="BL48" s="224">
        <v>4.3351035005960766E-3</v>
      </c>
      <c r="BM48" s="224">
        <v>2.6118998591091361E-2</v>
      </c>
      <c r="BN48" s="224">
        <v>1.6798526064809798E-2</v>
      </c>
      <c r="BO48" s="224">
        <v>1.2029912214154113E-2</v>
      </c>
      <c r="BP48" s="224">
        <v>3.7932155630215673E-3</v>
      </c>
      <c r="BQ48" s="224">
        <v>6.0691449008345071E-3</v>
      </c>
      <c r="BR48" s="224">
        <v>9.7539828763411728E-3</v>
      </c>
      <c r="BS48" s="224">
        <v>9.64560528882627E-3</v>
      </c>
      <c r="BT48" s="224">
        <v>2.4926845128427442E-2</v>
      </c>
      <c r="BU48" s="224">
        <v>5.5489324807629782E-2</v>
      </c>
      <c r="BV48" s="224">
        <v>9.9707380513709767E-3</v>
      </c>
      <c r="BW48" s="224">
        <v>7.2612983634984286E-3</v>
      </c>
      <c r="BX48" s="224">
        <v>2.4710089953397636E-2</v>
      </c>
      <c r="BY48" s="224">
        <v>2.2976048553159208E-2</v>
      </c>
      <c r="BZ48" s="224">
        <v>1.5064484664571366E-2</v>
      </c>
      <c r="CA48" s="224">
        <v>3.7932155630215673E-3</v>
      </c>
      <c r="CB48" s="224">
        <v>7.6948087135580365E-3</v>
      </c>
      <c r="CC48" s="224">
        <v>1.0621003576460388E-2</v>
      </c>
      <c r="CD48" s="224">
        <v>6.285900075864311E-3</v>
      </c>
      <c r="CE48" s="224">
        <v>3.2296521079440775E-2</v>
      </c>
      <c r="CF48" s="224">
        <v>3.9449441855424296E-2</v>
      </c>
      <c r="CG48" s="224">
        <v>0</v>
      </c>
      <c r="CH48" s="224">
        <v>0</v>
      </c>
      <c r="CI48" s="224">
        <v>0</v>
      </c>
      <c r="CJ48" s="224">
        <v>0</v>
      </c>
      <c r="CK48" s="224">
        <v>0</v>
      </c>
      <c r="CL48" s="224">
        <v>0</v>
      </c>
      <c r="CM48" s="224">
        <v>0</v>
      </c>
      <c r="CN48" s="224">
        <v>0</v>
      </c>
      <c r="CO48" s="224">
        <v>0</v>
      </c>
      <c r="CP48" s="224">
        <v>0</v>
      </c>
      <c r="CQ48" s="224">
        <v>0</v>
      </c>
      <c r="CR48" s="224">
        <v>0</v>
      </c>
      <c r="CS48" s="224">
        <v>0</v>
      </c>
      <c r="CT48" s="224">
        <v>0</v>
      </c>
      <c r="CU48" s="224">
        <v>0</v>
      </c>
      <c r="CV48" s="224">
        <v>0</v>
      </c>
      <c r="CW48" s="224">
        <v>0</v>
      </c>
      <c r="CX48" s="224">
        <v>0</v>
      </c>
      <c r="CY48" s="224">
        <v>0</v>
      </c>
      <c r="CZ48" s="224">
        <v>0</v>
      </c>
      <c r="DA48" s="224">
        <v>0</v>
      </c>
      <c r="DB48" s="224">
        <v>0</v>
      </c>
      <c r="DC48" s="224">
        <v>0</v>
      </c>
      <c r="DD48" s="224">
        <v>0</v>
      </c>
      <c r="DE48" s="224">
        <v>0</v>
      </c>
      <c r="DF48" s="224">
        <v>0</v>
      </c>
      <c r="DG48" s="224">
        <v>0</v>
      </c>
      <c r="DH48" s="224">
        <v>0</v>
      </c>
      <c r="DI48" s="224">
        <v>0</v>
      </c>
      <c r="DJ48" s="224">
        <v>0</v>
      </c>
      <c r="DK48" s="224">
        <v>0</v>
      </c>
      <c r="DL48" s="224">
        <v>0</v>
      </c>
      <c r="DM48" s="224">
        <v>0</v>
      </c>
      <c r="DN48" s="224">
        <v>0</v>
      </c>
      <c r="DO48" s="224">
        <v>0</v>
      </c>
      <c r="DP48" s="224">
        <v>0</v>
      </c>
      <c r="DQ48" s="224">
        <f t="shared" si="0"/>
        <v>1.0000000000000002</v>
      </c>
    </row>
    <row r="49" spans="1:121" x14ac:dyDescent="0.3">
      <c r="A49" s="223" t="s">
        <v>1143</v>
      </c>
      <c r="B49" s="223" t="s">
        <v>6</v>
      </c>
      <c r="C49" s="223" t="s">
        <v>1092</v>
      </c>
      <c r="D49" s="223" t="s">
        <v>1087</v>
      </c>
      <c r="E49" s="223" t="s">
        <v>27</v>
      </c>
      <c r="F49" s="224">
        <v>0.33108323578818549</v>
      </c>
      <c r="G49" s="224">
        <v>3.2832578209624153E-2</v>
      </c>
      <c r="H49" s="224">
        <v>8.3766587065886699E-3</v>
      </c>
      <c r="I49" s="224">
        <v>7.8747908258686877E-4</v>
      </c>
      <c r="J49" s="224">
        <v>0</v>
      </c>
      <c r="K49" s="224">
        <v>3.8481651401308541E-3</v>
      </c>
      <c r="L49" s="224">
        <v>9.3680032504243876E-3</v>
      </c>
      <c r="M49" s="224">
        <v>4.8154337488815376E-3</v>
      </c>
      <c r="N49" s="224">
        <v>5.5556394128895613E-3</v>
      </c>
      <c r="O49" s="224">
        <v>2.8983220700279635E-3</v>
      </c>
      <c r="P49" s="224">
        <v>5.4754352543263315E-3</v>
      </c>
      <c r="Q49" s="224">
        <v>8.3629453592957079E-3</v>
      </c>
      <c r="R49" s="224">
        <v>2.6809702068472238E-3</v>
      </c>
      <c r="S49" s="224">
        <v>9.7642620569392703E-3</v>
      </c>
      <c r="T49" s="224">
        <v>2.3410448452646268E-2</v>
      </c>
      <c r="U49" s="224">
        <v>0</v>
      </c>
      <c r="V49" s="224">
        <v>2.4280467969355879E-3</v>
      </c>
      <c r="W49" s="224">
        <v>5.5173188450720863E-3</v>
      </c>
      <c r="X49" s="224">
        <v>4.3785547307291142E-3</v>
      </c>
      <c r="Y49" s="224">
        <v>4.8945122245578196E-3</v>
      </c>
      <c r="Z49" s="224">
        <v>1.5842204789827331E-2</v>
      </c>
      <c r="AA49" s="224">
        <v>9.8434885323358591E-4</v>
      </c>
      <c r="AB49" s="224">
        <v>0</v>
      </c>
      <c r="AC49" s="224">
        <v>6.3074795194566578E-3</v>
      </c>
      <c r="AD49" s="224">
        <v>2.3151315197893537E-3</v>
      </c>
      <c r="AE49" s="224">
        <v>4.5286896921961535E-3</v>
      </c>
      <c r="AF49" s="224">
        <v>4.0370861843709365E-3</v>
      </c>
      <c r="AG49" s="224">
        <v>6.6566538782066344E-3</v>
      </c>
      <c r="AH49" s="224">
        <v>3.5722740025905405E-3</v>
      </c>
      <c r="AI49" s="224">
        <v>5.2496779635127543E-3</v>
      </c>
      <c r="AJ49" s="224">
        <v>1.6388708453027589E-2</v>
      </c>
      <c r="AK49" s="224">
        <v>5.4715795155530697E-3</v>
      </c>
      <c r="AL49" s="224">
        <v>7.0422573810844605E-3</v>
      </c>
      <c r="AM49" s="224">
        <v>0</v>
      </c>
      <c r="AN49" s="224">
        <v>1.7789041486352505E-2</v>
      </c>
      <c r="AO49" s="224">
        <v>1.3523213050919039E-2</v>
      </c>
      <c r="AP49" s="224">
        <v>2.3151315197893537E-3</v>
      </c>
      <c r="AQ49" s="224">
        <v>4.2185212066558914E-3</v>
      </c>
      <c r="AR49" s="224">
        <v>7.9040939241399773E-3</v>
      </c>
      <c r="AS49" s="224">
        <v>1.4926358799158573E-2</v>
      </c>
      <c r="AT49" s="224">
        <v>4.5286896921961535E-3</v>
      </c>
      <c r="AU49" s="224">
        <v>9.8434885323358591E-4</v>
      </c>
      <c r="AV49" s="224">
        <v>5.4754352543263315E-3</v>
      </c>
      <c r="AW49" s="224">
        <v>8.4102187778745535E-3</v>
      </c>
      <c r="AX49" s="224">
        <v>5.2177338894596643E-3</v>
      </c>
      <c r="AY49" s="224">
        <v>5.9386079432108916E-3</v>
      </c>
      <c r="AZ49" s="224">
        <v>3.7497712088939779E-3</v>
      </c>
      <c r="BA49" s="224">
        <v>0</v>
      </c>
      <c r="BB49" s="224">
        <v>6.6539133327788401E-4</v>
      </c>
      <c r="BC49" s="224">
        <v>8.2604015006780621E-3</v>
      </c>
      <c r="BD49" s="224">
        <v>2.1755359370314892E-2</v>
      </c>
      <c r="BE49" s="224">
        <v>2.1755359370314892E-2</v>
      </c>
      <c r="BF49" s="224">
        <v>1.0791914372413065E-2</v>
      </c>
      <c r="BG49" s="224">
        <v>2.2150354966756849E-2</v>
      </c>
      <c r="BH49" s="224">
        <v>1.1751191979936246E-2</v>
      </c>
      <c r="BI49" s="224">
        <v>2.1000310223825078E-3</v>
      </c>
      <c r="BJ49" s="224">
        <v>3.7497712088939779E-3</v>
      </c>
      <c r="BK49" s="224">
        <v>4.8318639769039592E-3</v>
      </c>
      <c r="BL49" s="224">
        <v>8.1529898964878729E-3</v>
      </c>
      <c r="BM49" s="224">
        <v>8.694019008469403E-3</v>
      </c>
      <c r="BN49" s="224">
        <v>1.3998985056486838E-2</v>
      </c>
      <c r="BO49" s="224">
        <v>1.802265369554009E-2</v>
      </c>
      <c r="BP49" s="224">
        <v>9.2472527195520543E-3</v>
      </c>
      <c r="BQ49" s="224">
        <v>8.6194646773775779E-3</v>
      </c>
      <c r="BR49" s="224">
        <v>9.4565820169977225E-3</v>
      </c>
      <c r="BS49" s="224">
        <v>8.9296339078026796E-3</v>
      </c>
      <c r="BT49" s="224">
        <v>1.1436153327768948E-3</v>
      </c>
      <c r="BU49" s="224">
        <v>1.5964025897978802E-2</v>
      </c>
      <c r="BV49" s="224">
        <v>9.1071318589909557E-3</v>
      </c>
      <c r="BW49" s="224">
        <v>8.0503070209145752E-3</v>
      </c>
      <c r="BX49" s="224">
        <v>1.2359338068550213E-2</v>
      </c>
      <c r="BY49" s="224">
        <v>1.8244818740163277E-2</v>
      </c>
      <c r="BZ49" s="224">
        <v>2.4919311093653369E-2</v>
      </c>
      <c r="CA49" s="224">
        <v>1.2987353800970597E-2</v>
      </c>
      <c r="CB49" s="224">
        <v>1.2247180446354979E-2</v>
      </c>
      <c r="CC49" s="224">
        <v>1.1646446371332414E-2</v>
      </c>
      <c r="CD49" s="224">
        <v>9.7268414485518605E-3</v>
      </c>
      <c r="CE49" s="224">
        <v>2.0903608949070724E-3</v>
      </c>
      <c r="CF49" s="224">
        <v>2.7740433395286378E-2</v>
      </c>
      <c r="CG49" s="224">
        <v>9.8434885323358591E-4</v>
      </c>
      <c r="CH49" s="224">
        <v>0</v>
      </c>
      <c r="CI49" s="224">
        <v>0</v>
      </c>
      <c r="CJ49" s="224">
        <v>0</v>
      </c>
      <c r="CK49" s="224">
        <v>0</v>
      </c>
      <c r="CL49" s="224">
        <v>0</v>
      </c>
      <c r="CM49" s="224">
        <v>0</v>
      </c>
      <c r="CN49" s="224">
        <v>0</v>
      </c>
      <c r="CO49" s="224">
        <v>0</v>
      </c>
      <c r="CP49" s="224">
        <v>0</v>
      </c>
      <c r="CQ49" s="224">
        <v>0</v>
      </c>
      <c r="CR49" s="224">
        <v>0</v>
      </c>
      <c r="CS49" s="224">
        <v>0</v>
      </c>
      <c r="CT49" s="224">
        <v>0</v>
      </c>
      <c r="CU49" s="224">
        <v>0</v>
      </c>
      <c r="CV49" s="224">
        <v>0</v>
      </c>
      <c r="CW49" s="224">
        <v>0</v>
      </c>
      <c r="CX49" s="224">
        <v>0</v>
      </c>
      <c r="CY49" s="224">
        <v>0</v>
      </c>
      <c r="CZ49" s="224">
        <v>0</v>
      </c>
      <c r="DA49" s="224">
        <v>0</v>
      </c>
      <c r="DB49" s="224">
        <v>0</v>
      </c>
      <c r="DC49" s="224">
        <v>0</v>
      </c>
      <c r="DD49" s="224">
        <v>0</v>
      </c>
      <c r="DE49" s="224">
        <v>0</v>
      </c>
      <c r="DF49" s="224">
        <v>0</v>
      </c>
      <c r="DG49" s="224">
        <v>0</v>
      </c>
      <c r="DH49" s="224">
        <v>0</v>
      </c>
      <c r="DI49" s="224">
        <v>0</v>
      </c>
      <c r="DJ49" s="224">
        <v>0</v>
      </c>
      <c r="DK49" s="224">
        <v>0</v>
      </c>
      <c r="DL49" s="224">
        <v>0</v>
      </c>
      <c r="DM49" s="224">
        <v>0</v>
      </c>
      <c r="DN49" s="224">
        <v>0</v>
      </c>
      <c r="DO49" s="224">
        <v>0</v>
      </c>
      <c r="DP49" s="224">
        <v>0</v>
      </c>
      <c r="DQ49" s="224">
        <f t="shared" si="0"/>
        <v>1.0000000000000002</v>
      </c>
    </row>
    <row r="50" spans="1:121" x14ac:dyDescent="0.3">
      <c r="A50" s="223" t="s">
        <v>1144</v>
      </c>
      <c r="B50" s="223" t="s">
        <v>6</v>
      </c>
      <c r="C50" s="223" t="s">
        <v>1089</v>
      </c>
      <c r="D50" s="223" t="s">
        <v>21</v>
      </c>
      <c r="E50" s="223" t="s">
        <v>1096</v>
      </c>
      <c r="F50" s="224">
        <v>0</v>
      </c>
      <c r="G50" s="224">
        <v>2.236024844720497E-2</v>
      </c>
      <c r="H50" s="224">
        <v>2.8819875776397514E-2</v>
      </c>
      <c r="I50" s="224">
        <v>0</v>
      </c>
      <c r="J50" s="224">
        <v>0</v>
      </c>
      <c r="K50" s="224">
        <v>4.9689440993788822E-3</v>
      </c>
      <c r="L50" s="224">
        <v>1.4409937888198757E-2</v>
      </c>
      <c r="M50" s="224">
        <v>9.9378881987577643E-3</v>
      </c>
      <c r="N50" s="224">
        <v>0</v>
      </c>
      <c r="O50" s="224">
        <v>0</v>
      </c>
      <c r="P50" s="224">
        <v>4.9689440993788822E-3</v>
      </c>
      <c r="Q50" s="224">
        <v>4.9689440993788822E-3</v>
      </c>
      <c r="R50" s="224">
        <v>0</v>
      </c>
      <c r="S50" s="224">
        <v>2.782608695652174E-2</v>
      </c>
      <c r="T50" s="224">
        <v>2.782608695652174E-2</v>
      </c>
      <c r="U50" s="224">
        <v>0</v>
      </c>
      <c r="V50" s="224">
        <v>3.9751552795031057E-3</v>
      </c>
      <c r="W50" s="224">
        <v>2.732919254658385E-2</v>
      </c>
      <c r="X50" s="224">
        <v>5.9627329192546586E-3</v>
      </c>
      <c r="Y50" s="224">
        <v>0</v>
      </c>
      <c r="Z50" s="224">
        <v>0</v>
      </c>
      <c r="AA50" s="224">
        <v>0</v>
      </c>
      <c r="AB50" s="224">
        <v>0</v>
      </c>
      <c r="AC50" s="224">
        <v>0</v>
      </c>
      <c r="AD50" s="224">
        <v>0</v>
      </c>
      <c r="AE50" s="224">
        <v>0</v>
      </c>
      <c r="AF50" s="224">
        <v>0</v>
      </c>
      <c r="AG50" s="224">
        <v>0</v>
      </c>
      <c r="AH50" s="224">
        <v>2.9813664596273293E-3</v>
      </c>
      <c r="AI50" s="224">
        <v>1.1925465838509317E-2</v>
      </c>
      <c r="AJ50" s="224">
        <v>4.5465838509316771E-2</v>
      </c>
      <c r="AK50" s="224">
        <v>0</v>
      </c>
      <c r="AL50" s="224">
        <v>0</v>
      </c>
      <c r="AM50" s="224">
        <v>0</v>
      </c>
      <c r="AN50" s="224">
        <v>2.2857142857142857E-2</v>
      </c>
      <c r="AO50" s="224">
        <v>6.956521739130435E-3</v>
      </c>
      <c r="AP50" s="224">
        <v>0</v>
      </c>
      <c r="AQ50" s="224">
        <v>2.3850931677018634E-2</v>
      </c>
      <c r="AR50" s="224">
        <v>9.9378881987577633E-2</v>
      </c>
      <c r="AS50" s="224">
        <v>0</v>
      </c>
      <c r="AT50" s="224">
        <v>0</v>
      </c>
      <c r="AU50" s="224">
        <v>3.9751552795031057E-3</v>
      </c>
      <c r="AV50" s="224">
        <v>3.3788819875776401E-2</v>
      </c>
      <c r="AW50" s="224">
        <v>4.472049689440994E-2</v>
      </c>
      <c r="AX50" s="224">
        <v>3.7763975155279503E-2</v>
      </c>
      <c r="AY50" s="224">
        <v>1.391304347826087E-2</v>
      </c>
      <c r="AZ50" s="224">
        <v>1.2919254658385093E-2</v>
      </c>
      <c r="BA50" s="224">
        <v>0</v>
      </c>
      <c r="BB50" s="224">
        <v>0</v>
      </c>
      <c r="BC50" s="224">
        <v>3.7763975155279503E-2</v>
      </c>
      <c r="BD50" s="224">
        <v>1.9875776397515529E-2</v>
      </c>
      <c r="BE50" s="224">
        <v>0</v>
      </c>
      <c r="BF50" s="224">
        <v>9.9378881987577643E-4</v>
      </c>
      <c r="BG50" s="224">
        <v>0</v>
      </c>
      <c r="BH50" s="224">
        <v>0</v>
      </c>
      <c r="BI50" s="224">
        <v>0</v>
      </c>
      <c r="BJ50" s="224">
        <v>0</v>
      </c>
      <c r="BK50" s="224">
        <v>9.9378881987577643E-3</v>
      </c>
      <c r="BL50" s="224">
        <v>9.9378881987577643E-3</v>
      </c>
      <c r="BM50" s="224">
        <v>2.3850931677018634E-2</v>
      </c>
      <c r="BN50" s="224">
        <v>6.956521739130435E-3</v>
      </c>
      <c r="BO50" s="224">
        <v>3.1801242236024846E-2</v>
      </c>
      <c r="BP50" s="224">
        <v>1.8881987577639751E-2</v>
      </c>
      <c r="BQ50" s="224">
        <v>1.7639751552795031E-2</v>
      </c>
      <c r="BR50" s="224">
        <v>1.0186335403726708E-2</v>
      </c>
      <c r="BS50" s="224">
        <v>8.944099378881987E-3</v>
      </c>
      <c r="BT50" s="224">
        <v>0</v>
      </c>
      <c r="BU50" s="224">
        <v>4.5714285714285714E-2</v>
      </c>
      <c r="BV50" s="224">
        <v>3.4782608695652174E-2</v>
      </c>
      <c r="BW50" s="224">
        <v>9.9378881987577643E-4</v>
      </c>
      <c r="BX50" s="224">
        <v>1.5900621118012423E-2</v>
      </c>
      <c r="BY50" s="224">
        <v>2.9813664596273293E-3</v>
      </c>
      <c r="BZ50" s="224">
        <v>4.1739130434782612E-2</v>
      </c>
      <c r="CA50" s="224">
        <v>1.5900621118012423E-2</v>
      </c>
      <c r="CB50" s="224">
        <v>1.5900621118012423E-2</v>
      </c>
      <c r="CC50" s="224">
        <v>1.9875776397515529E-3</v>
      </c>
      <c r="CD50" s="224">
        <v>5.9627329192546586E-3</v>
      </c>
      <c r="CE50" s="224">
        <v>0</v>
      </c>
      <c r="CF50" s="224">
        <v>7.7515527950310553E-2</v>
      </c>
      <c r="CG50" s="224">
        <v>0</v>
      </c>
      <c r="CH50" s="224">
        <v>0</v>
      </c>
      <c r="CI50" s="224">
        <v>0</v>
      </c>
      <c r="CJ50" s="224">
        <v>0</v>
      </c>
      <c r="CK50" s="224">
        <v>0</v>
      </c>
      <c r="CL50" s="224">
        <v>0</v>
      </c>
      <c r="CM50" s="224">
        <v>0</v>
      </c>
      <c r="CN50" s="224">
        <v>0</v>
      </c>
      <c r="CO50" s="224">
        <v>0</v>
      </c>
      <c r="CP50" s="224">
        <v>0</v>
      </c>
      <c r="CQ50" s="224">
        <v>0</v>
      </c>
      <c r="CR50" s="224">
        <v>0</v>
      </c>
      <c r="CS50" s="224">
        <v>0</v>
      </c>
      <c r="CT50" s="224">
        <v>0</v>
      </c>
      <c r="CU50" s="224">
        <v>0</v>
      </c>
      <c r="CV50" s="224">
        <v>0</v>
      </c>
      <c r="CW50" s="224">
        <v>0</v>
      </c>
      <c r="CX50" s="224">
        <v>0</v>
      </c>
      <c r="CY50" s="224">
        <v>0</v>
      </c>
      <c r="CZ50" s="224">
        <v>0</v>
      </c>
      <c r="DA50" s="224">
        <v>0</v>
      </c>
      <c r="DB50" s="224">
        <v>0</v>
      </c>
      <c r="DC50" s="224">
        <v>0</v>
      </c>
      <c r="DD50" s="224">
        <v>0</v>
      </c>
      <c r="DE50" s="224">
        <v>0</v>
      </c>
      <c r="DF50" s="224">
        <v>0</v>
      </c>
      <c r="DG50" s="224">
        <v>0</v>
      </c>
      <c r="DH50" s="224">
        <v>0</v>
      </c>
      <c r="DI50" s="224">
        <v>0</v>
      </c>
      <c r="DJ50" s="224">
        <v>0</v>
      </c>
      <c r="DK50" s="224">
        <v>0</v>
      </c>
      <c r="DL50" s="224">
        <v>0</v>
      </c>
      <c r="DM50" s="224">
        <v>0</v>
      </c>
      <c r="DN50" s="224">
        <v>0</v>
      </c>
      <c r="DO50" s="224">
        <v>0</v>
      </c>
      <c r="DP50" s="224">
        <v>0</v>
      </c>
      <c r="DQ50" s="224">
        <f t="shared" si="0"/>
        <v>0.99999999999999978</v>
      </c>
    </row>
    <row r="51" spans="1:121" x14ac:dyDescent="0.3">
      <c r="A51" s="223" t="s">
        <v>1145</v>
      </c>
      <c r="B51" s="223" t="s">
        <v>6</v>
      </c>
      <c r="C51" s="223" t="s">
        <v>1095</v>
      </c>
      <c r="D51" s="223" t="s">
        <v>1087</v>
      </c>
      <c r="E51" s="223" t="s">
        <v>1096</v>
      </c>
      <c r="F51" s="224">
        <v>0.23120308164869316</v>
      </c>
      <c r="G51" s="224">
        <v>3.9391526823865805E-2</v>
      </c>
      <c r="H51" s="224">
        <v>6.9872181195907062E-3</v>
      </c>
      <c r="I51" s="224">
        <v>1.8107741059302852E-3</v>
      </c>
      <c r="J51" s="224">
        <v>0</v>
      </c>
      <c r="K51" s="224">
        <v>1.4635115748519643E-2</v>
      </c>
      <c r="L51" s="224">
        <v>2.5392804981048282E-2</v>
      </c>
      <c r="M51" s="224">
        <v>4.1647804436396561E-3</v>
      </c>
      <c r="N51" s="224">
        <v>0</v>
      </c>
      <c r="O51" s="224">
        <v>1.4486192847442281E-3</v>
      </c>
      <c r="P51" s="224">
        <v>1.3149096017006711E-2</v>
      </c>
      <c r="Q51" s="224">
        <v>4.7185045499248141E-3</v>
      </c>
      <c r="R51" s="224">
        <v>4.1752723181457275E-3</v>
      </c>
      <c r="S51" s="224">
        <v>3.2677868902793714E-2</v>
      </c>
      <c r="T51" s="224">
        <v>7.4259327662166585E-2</v>
      </c>
      <c r="U51" s="224">
        <v>0</v>
      </c>
      <c r="V51" s="224">
        <v>2.9930232120380065E-3</v>
      </c>
      <c r="W51" s="224">
        <v>4.9625702376995887E-2</v>
      </c>
      <c r="X51" s="224">
        <v>3.9941949075526992E-3</v>
      </c>
      <c r="Y51" s="224">
        <v>6.9019253515472277E-3</v>
      </c>
      <c r="Z51" s="224">
        <v>9.4160253508374838E-3</v>
      </c>
      <c r="AA51" s="224">
        <v>0</v>
      </c>
      <c r="AB51" s="224">
        <v>1.7473970122227251E-2</v>
      </c>
      <c r="AC51" s="224">
        <v>8.4200995925758255E-3</v>
      </c>
      <c r="AD51" s="224">
        <v>6.0713391921194916E-3</v>
      </c>
      <c r="AE51" s="224">
        <v>9.2454398147505269E-3</v>
      </c>
      <c r="AF51" s="224">
        <v>4.537427139331785E-3</v>
      </c>
      <c r="AG51" s="224">
        <v>7.0725108876341838E-3</v>
      </c>
      <c r="AH51" s="224">
        <v>3.5362554438170919E-3</v>
      </c>
      <c r="AI51" s="224">
        <v>9.9697494571226401E-3</v>
      </c>
      <c r="AJ51" s="224">
        <v>1.6855936996910761E-2</v>
      </c>
      <c r="AK51" s="224">
        <v>1.4486192847442281E-3</v>
      </c>
      <c r="AL51" s="224">
        <v>9.0086011770031688E-3</v>
      </c>
      <c r="AM51" s="224">
        <v>1.4486192847442281E-3</v>
      </c>
      <c r="AN51" s="224">
        <v>4.1285649615210501E-2</v>
      </c>
      <c r="AO51" s="224">
        <v>5.6238916028899556E-3</v>
      </c>
      <c r="AP51" s="224">
        <v>1.7254813378868069E-3</v>
      </c>
      <c r="AQ51" s="224">
        <v>1.7254813378868069E-3</v>
      </c>
      <c r="AR51" s="224">
        <v>1.1247783205779911E-2</v>
      </c>
      <c r="AS51" s="224">
        <v>2.2666151947646783E-2</v>
      </c>
      <c r="AT51" s="224">
        <v>9.0748542786635699E-3</v>
      </c>
      <c r="AU51" s="224">
        <v>2.7266530334014998E-3</v>
      </c>
      <c r="AV51" s="224">
        <v>6.3908476292838089E-3</v>
      </c>
      <c r="AW51" s="224">
        <v>4.9422283445395808E-3</v>
      </c>
      <c r="AX51" s="224">
        <v>5.261736781703899E-3</v>
      </c>
      <c r="AY51" s="224">
        <v>1.471972963056567E-2</v>
      </c>
      <c r="AZ51" s="224">
        <v>2.4497909802589212E-3</v>
      </c>
      <c r="BA51" s="224">
        <v>0</v>
      </c>
      <c r="BB51" s="224">
        <v>1.3633265167007499E-3</v>
      </c>
      <c r="BC51" s="224">
        <v>9.937594947606973E-3</v>
      </c>
      <c r="BD51" s="224">
        <v>1.5327270881376091E-2</v>
      </c>
      <c r="BE51" s="224">
        <v>1.4778792712343967E-2</v>
      </c>
      <c r="BF51" s="224">
        <v>8.7126994574775133E-3</v>
      </c>
      <c r="BG51" s="224">
        <v>2.8812292033303679E-2</v>
      </c>
      <c r="BH51" s="224">
        <v>3.2518454127210272E-2</v>
      </c>
      <c r="BI51" s="224">
        <v>4.1752723181457275E-3</v>
      </c>
      <c r="BJ51" s="224">
        <v>7.6262349939193418E-3</v>
      </c>
      <c r="BK51" s="224">
        <v>1.3633265167007499E-3</v>
      </c>
      <c r="BL51" s="224">
        <v>2.8119458014449778E-3</v>
      </c>
      <c r="BM51" s="224">
        <v>5.5385988348464772E-3</v>
      </c>
      <c r="BN51" s="224">
        <v>5.538598834846478E-3</v>
      </c>
      <c r="BO51" s="224">
        <v>6.9019253515472277E-3</v>
      </c>
      <c r="BP51" s="224">
        <v>2.8119458014449778E-3</v>
      </c>
      <c r="BQ51" s="224">
        <v>2.8119458014449778E-3</v>
      </c>
      <c r="BR51" s="224">
        <v>2.8119458014449778E-3</v>
      </c>
      <c r="BS51" s="224">
        <v>2.8119458014449778E-3</v>
      </c>
      <c r="BT51" s="224">
        <v>0</v>
      </c>
      <c r="BU51" s="224">
        <v>3.5362554438170919E-3</v>
      </c>
      <c r="BV51" s="224">
        <v>3.4509626757736138E-3</v>
      </c>
      <c r="BW51" s="224">
        <v>4.1752723181457275E-3</v>
      </c>
      <c r="BX51" s="224">
        <v>1.2355231418350227E-2</v>
      </c>
      <c r="BY51" s="224">
        <v>6.9019253515472277E-3</v>
      </c>
      <c r="BZ51" s="224">
        <v>9.6285783849487279E-3</v>
      </c>
      <c r="CA51" s="224">
        <v>6.9019253515472277E-3</v>
      </c>
      <c r="CB51" s="224">
        <v>6.9019253515472277E-3</v>
      </c>
      <c r="CC51" s="224">
        <v>6.9019253515472277E-3</v>
      </c>
      <c r="CD51" s="224">
        <v>6.9019253515472277E-3</v>
      </c>
      <c r="CE51" s="224">
        <v>0</v>
      </c>
      <c r="CF51" s="224">
        <v>2.1771256769187709E-2</v>
      </c>
      <c r="CG51" s="224">
        <v>2.0449897750511249E-3</v>
      </c>
      <c r="CH51" s="224">
        <v>0</v>
      </c>
      <c r="CI51" s="224">
        <v>0</v>
      </c>
      <c r="CJ51" s="224">
        <v>0</v>
      </c>
      <c r="CK51" s="224">
        <v>0</v>
      </c>
      <c r="CL51" s="224">
        <v>0</v>
      </c>
      <c r="CM51" s="224">
        <v>0</v>
      </c>
      <c r="CN51" s="224">
        <v>0</v>
      </c>
      <c r="CO51" s="224">
        <v>0</v>
      </c>
      <c r="CP51" s="224">
        <v>0</v>
      </c>
      <c r="CQ51" s="224">
        <v>0</v>
      </c>
      <c r="CR51" s="224">
        <v>0</v>
      </c>
      <c r="CS51" s="224">
        <v>0</v>
      </c>
      <c r="CT51" s="224">
        <v>0</v>
      </c>
      <c r="CU51" s="224">
        <v>0</v>
      </c>
      <c r="CV51" s="224">
        <v>0</v>
      </c>
      <c r="CW51" s="224">
        <v>0</v>
      </c>
      <c r="CX51" s="224">
        <v>0</v>
      </c>
      <c r="CY51" s="224">
        <v>0</v>
      </c>
      <c r="CZ51" s="224">
        <v>0</v>
      </c>
      <c r="DA51" s="224">
        <v>0</v>
      </c>
      <c r="DB51" s="224">
        <v>0</v>
      </c>
      <c r="DC51" s="224">
        <v>0</v>
      </c>
      <c r="DD51" s="224">
        <v>0</v>
      </c>
      <c r="DE51" s="224">
        <v>0</v>
      </c>
      <c r="DF51" s="224">
        <v>0</v>
      </c>
      <c r="DG51" s="224">
        <v>0</v>
      </c>
      <c r="DH51" s="224">
        <v>0</v>
      </c>
      <c r="DI51" s="224">
        <v>0</v>
      </c>
      <c r="DJ51" s="224">
        <v>0</v>
      </c>
      <c r="DK51" s="224">
        <v>0</v>
      </c>
      <c r="DL51" s="224">
        <v>0</v>
      </c>
      <c r="DM51" s="224">
        <v>0</v>
      </c>
      <c r="DN51" s="224">
        <v>0</v>
      </c>
      <c r="DO51" s="224">
        <v>0</v>
      </c>
      <c r="DP51" s="224">
        <v>0</v>
      </c>
      <c r="DQ51" s="224">
        <f t="shared" si="0"/>
        <v>1.0000000000000002</v>
      </c>
    </row>
    <row r="52" spans="1:121" x14ac:dyDescent="0.3">
      <c r="A52" s="223" t="s">
        <v>1146</v>
      </c>
      <c r="B52" s="223" t="s">
        <v>6</v>
      </c>
      <c r="C52" s="223" t="s">
        <v>1086</v>
      </c>
      <c r="D52" s="223" t="s">
        <v>21</v>
      </c>
      <c r="E52" s="223" t="s">
        <v>27</v>
      </c>
      <c r="F52" s="224">
        <v>0.25722362826853495</v>
      </c>
      <c r="G52" s="224">
        <v>2.0217796051152905E-2</v>
      </c>
      <c r="H52" s="224">
        <v>1.349574474980216E-2</v>
      </c>
      <c r="I52" s="224">
        <v>0</v>
      </c>
      <c r="J52" s="224">
        <v>5.7893564907592968E-3</v>
      </c>
      <c r="K52" s="224">
        <v>6.8451979598215737E-3</v>
      </c>
      <c r="L52" s="224">
        <v>1.2214308638142221E-2</v>
      </c>
      <c r="M52" s="224">
        <v>3.7853484747272324E-3</v>
      </c>
      <c r="N52" s="224">
        <v>1.8481407258962371E-2</v>
      </c>
      <c r="O52" s="224">
        <v>0</v>
      </c>
      <c r="P52" s="224">
        <v>7.5132006318322613E-3</v>
      </c>
      <c r="Q52" s="224">
        <v>6.1926670241892233E-3</v>
      </c>
      <c r="R52" s="224">
        <v>4.4533511467379199E-3</v>
      </c>
      <c r="S52" s="224">
        <v>5.0638575011264049E-3</v>
      </c>
      <c r="T52" s="224">
        <v>1.3161011642481624E-2</v>
      </c>
      <c r="U52" s="224">
        <v>0</v>
      </c>
      <c r="V52" s="224">
        <v>7.3325576557392302E-3</v>
      </c>
      <c r="W52" s="224">
        <v>1.311898706123776E-2</v>
      </c>
      <c r="X52" s="224">
        <v>6.5524894337449027E-3</v>
      </c>
      <c r="Y52" s="224">
        <v>0</v>
      </c>
      <c r="Z52" s="224">
        <v>0</v>
      </c>
      <c r="AA52" s="224">
        <v>0</v>
      </c>
      <c r="AB52" s="224">
        <v>0</v>
      </c>
      <c r="AC52" s="224">
        <v>1.001564945226917E-2</v>
      </c>
      <c r="AD52" s="224">
        <v>6.4839120076355117E-3</v>
      </c>
      <c r="AE52" s="224">
        <v>2.22667557336896E-3</v>
      </c>
      <c r="AF52" s="224">
        <v>3.3400133600534404E-3</v>
      </c>
      <c r="AG52" s="224">
        <v>5.8439257231207332E-3</v>
      </c>
      <c r="AH52" s="224">
        <v>5.8439257231207332E-3</v>
      </c>
      <c r="AI52" s="224">
        <v>5.7458683668850478E-3</v>
      </c>
      <c r="AJ52" s="224">
        <v>2.1485223969064889E-2</v>
      </c>
      <c r="AK52" s="224">
        <v>6.2597809076682318E-3</v>
      </c>
      <c r="AL52" s="224">
        <v>3.7558685446009389E-3</v>
      </c>
      <c r="AM52" s="224">
        <v>4.4533511467379199E-3</v>
      </c>
      <c r="AN52" s="224">
        <v>1.36078102997858E-2</v>
      </c>
      <c r="AO52" s="224">
        <v>2.4056981986926382E-2</v>
      </c>
      <c r="AP52" s="224">
        <v>3.6172501497517724E-3</v>
      </c>
      <c r="AQ52" s="224">
        <v>2.7826126953960084E-3</v>
      </c>
      <c r="AR52" s="224">
        <v>1.4053145414459591E-2</v>
      </c>
      <c r="AS52" s="224">
        <v>2.894092828327495E-2</v>
      </c>
      <c r="AT52" s="224">
        <v>8.7666203559962907E-3</v>
      </c>
      <c r="AU52" s="224">
        <v>2.3232693869742614E-3</v>
      </c>
      <c r="AV52" s="224">
        <v>7.5132006318322613E-3</v>
      </c>
      <c r="AW52" s="224">
        <v>4.8986862614117119E-3</v>
      </c>
      <c r="AX52" s="224">
        <v>4.8271817500415539E-3</v>
      </c>
      <c r="AY52" s="224">
        <v>1.1951080042191843E-2</v>
      </c>
      <c r="AZ52" s="224">
        <v>4.3132692092583708E-3</v>
      </c>
      <c r="BA52" s="224">
        <v>1.6692749087115284E-3</v>
      </c>
      <c r="BB52" s="224">
        <v>1.0432968179447052E-3</v>
      </c>
      <c r="BC52" s="224">
        <v>1.7308377840710112E-2</v>
      </c>
      <c r="BD52" s="224">
        <v>2.6211421277609993E-2</v>
      </c>
      <c r="BE52" s="224">
        <v>0</v>
      </c>
      <c r="BF52" s="224">
        <v>5.9825441179698988E-3</v>
      </c>
      <c r="BG52" s="224">
        <v>0</v>
      </c>
      <c r="BH52" s="224">
        <v>0</v>
      </c>
      <c r="BI52" s="224">
        <v>0</v>
      </c>
      <c r="BJ52" s="224">
        <v>0</v>
      </c>
      <c r="BK52" s="224">
        <v>0</v>
      </c>
      <c r="BL52" s="224">
        <v>6.5399447826273299E-3</v>
      </c>
      <c r="BM52" s="224">
        <v>1.9423719635410622E-2</v>
      </c>
      <c r="BN52" s="224">
        <v>8.2925370825113962E-3</v>
      </c>
      <c r="BO52" s="224">
        <v>2.1286182171332754E-2</v>
      </c>
      <c r="BP52" s="224">
        <v>8.4864564810371926E-3</v>
      </c>
      <c r="BQ52" s="224">
        <v>6.3998628451477808E-3</v>
      </c>
      <c r="BR52" s="224">
        <v>6.5111966238162291E-3</v>
      </c>
      <c r="BS52" s="224">
        <v>1.5552858455565277E-2</v>
      </c>
      <c r="BT52" s="224">
        <v>0</v>
      </c>
      <c r="BU52" s="224">
        <v>4.2296591095597559E-2</v>
      </c>
      <c r="BV52" s="224">
        <v>2.0865936358894104E-3</v>
      </c>
      <c r="BW52" s="224">
        <v>9.4611758728725057E-3</v>
      </c>
      <c r="BX52" s="224">
        <v>2.5155579808547719E-2</v>
      </c>
      <c r="BY52" s="224">
        <v>1.36078102997858E-2</v>
      </c>
      <c r="BZ52" s="224">
        <v>3.6287494132762131E-2</v>
      </c>
      <c r="CA52" s="224">
        <v>1.0573050116926601E-2</v>
      </c>
      <c r="CB52" s="224">
        <v>1.3397687393566476E-2</v>
      </c>
      <c r="CC52" s="224">
        <v>1.4149007456749702E-2</v>
      </c>
      <c r="CD52" s="224">
        <v>1.8198316298742502E-2</v>
      </c>
      <c r="CE52" s="224">
        <v>0</v>
      </c>
      <c r="CF52" s="224">
        <v>6.1531879617346324E-2</v>
      </c>
      <c r="CG52" s="224">
        <v>0</v>
      </c>
      <c r="CH52" s="224">
        <v>0</v>
      </c>
      <c r="CI52" s="224">
        <v>0</v>
      </c>
      <c r="CJ52" s="224">
        <v>0</v>
      </c>
      <c r="CK52" s="224">
        <v>0</v>
      </c>
      <c r="CL52" s="224">
        <v>0</v>
      </c>
      <c r="CM52" s="224">
        <v>0</v>
      </c>
      <c r="CN52" s="224">
        <v>0</v>
      </c>
      <c r="CO52" s="224">
        <v>0</v>
      </c>
      <c r="CP52" s="224">
        <v>0</v>
      </c>
      <c r="CQ52" s="224">
        <v>0</v>
      </c>
      <c r="CR52" s="224">
        <v>0</v>
      </c>
      <c r="CS52" s="224">
        <v>0</v>
      </c>
      <c r="CT52" s="224">
        <v>0</v>
      </c>
      <c r="CU52" s="224">
        <v>0</v>
      </c>
      <c r="CV52" s="224">
        <v>0</v>
      </c>
      <c r="CW52" s="224">
        <v>0</v>
      </c>
      <c r="CX52" s="224">
        <v>0</v>
      </c>
      <c r="CY52" s="224">
        <v>0</v>
      </c>
      <c r="CZ52" s="224">
        <v>0</v>
      </c>
      <c r="DA52" s="224">
        <v>0</v>
      </c>
      <c r="DB52" s="224">
        <v>0</v>
      </c>
      <c r="DC52" s="224">
        <v>0</v>
      </c>
      <c r="DD52" s="224">
        <v>0</v>
      </c>
      <c r="DE52" s="224">
        <v>0</v>
      </c>
      <c r="DF52" s="224">
        <v>0</v>
      </c>
      <c r="DG52" s="224">
        <v>0</v>
      </c>
      <c r="DH52" s="224">
        <v>0</v>
      </c>
      <c r="DI52" s="224">
        <v>0</v>
      </c>
      <c r="DJ52" s="224">
        <v>0</v>
      </c>
      <c r="DK52" s="224">
        <v>0</v>
      </c>
      <c r="DL52" s="224">
        <v>0</v>
      </c>
      <c r="DM52" s="224">
        <v>0</v>
      </c>
      <c r="DN52" s="224">
        <v>0</v>
      </c>
      <c r="DO52" s="224">
        <v>0</v>
      </c>
      <c r="DP52" s="224">
        <v>0</v>
      </c>
      <c r="DQ52" s="224">
        <f t="shared" si="0"/>
        <v>1.0000000000000002</v>
      </c>
    </row>
    <row r="53" spans="1:121" x14ac:dyDescent="0.3">
      <c r="A53" s="223" t="s">
        <v>1147</v>
      </c>
      <c r="B53" s="223" t="s">
        <v>6</v>
      </c>
      <c r="C53" s="223" t="s">
        <v>1095</v>
      </c>
      <c r="D53" s="223" t="s">
        <v>21</v>
      </c>
      <c r="E53" s="223" t="s">
        <v>1096</v>
      </c>
      <c r="F53" s="224">
        <v>0</v>
      </c>
      <c r="G53" s="224">
        <v>0.1076917725338854</v>
      </c>
      <c r="H53" s="224">
        <v>2.7256144719654901E-2</v>
      </c>
      <c r="I53" s="224">
        <v>5.8734950903130802E-4</v>
      </c>
      <c r="J53" s="224">
        <v>0</v>
      </c>
      <c r="K53" s="224">
        <v>2.1837299307695499E-2</v>
      </c>
      <c r="L53" s="224">
        <v>2.1187442796943214E-2</v>
      </c>
      <c r="M53" s="224">
        <v>5.1921079958463135E-4</v>
      </c>
      <c r="N53" s="224">
        <v>1.557632398753894E-3</v>
      </c>
      <c r="O53" s="224">
        <v>0</v>
      </c>
      <c r="P53" s="224">
        <v>1.9321550243987285E-2</v>
      </c>
      <c r="Q53" s="224">
        <v>1.2154560871263081E-2</v>
      </c>
      <c r="R53" s="224">
        <v>1.5929180299997452E-2</v>
      </c>
      <c r="S53" s="224">
        <v>3.7736033882551971E-2</v>
      </c>
      <c r="T53" s="224">
        <v>4.4860818942598565E-2</v>
      </c>
      <c r="U53" s="224">
        <v>0</v>
      </c>
      <c r="V53" s="224">
        <v>1.6598522093346949E-2</v>
      </c>
      <c r="W53" s="224">
        <v>3.0401595413789635E-2</v>
      </c>
      <c r="X53" s="224">
        <v>1.2869378127797504E-2</v>
      </c>
      <c r="Y53" s="224">
        <v>0</v>
      </c>
      <c r="Z53" s="224">
        <v>0</v>
      </c>
      <c r="AA53" s="224">
        <v>0</v>
      </c>
      <c r="AB53" s="224">
        <v>0</v>
      </c>
      <c r="AC53" s="224">
        <v>0</v>
      </c>
      <c r="AD53" s="224">
        <v>0</v>
      </c>
      <c r="AE53" s="224">
        <v>1.5182671222956228E-2</v>
      </c>
      <c r="AF53" s="224">
        <v>7.3398842681057881E-3</v>
      </c>
      <c r="AG53" s="224">
        <v>2.2241956831674712E-2</v>
      </c>
      <c r="AH53" s="224">
        <v>2.1258468513538669E-2</v>
      </c>
      <c r="AI53" s="224">
        <v>3.7907595386937859E-2</v>
      </c>
      <c r="AJ53" s="224">
        <v>3.8252209128882796E-2</v>
      </c>
      <c r="AK53" s="224">
        <v>0</v>
      </c>
      <c r="AL53" s="224">
        <v>0</v>
      </c>
      <c r="AM53" s="224">
        <v>6.1957868649318464E-4</v>
      </c>
      <c r="AN53" s="224">
        <v>4.9566294919454771E-3</v>
      </c>
      <c r="AO53" s="224">
        <v>1.9852448915523166E-2</v>
      </c>
      <c r="AP53" s="224">
        <v>6.1957868649318464E-4</v>
      </c>
      <c r="AQ53" s="224">
        <v>1.1571599106574536E-2</v>
      </c>
      <c r="AR53" s="224">
        <v>2.9122470535698455E-2</v>
      </c>
      <c r="AS53" s="224">
        <v>4.5988861536685112E-2</v>
      </c>
      <c r="AT53" s="224">
        <v>1.9739020801117241E-2</v>
      </c>
      <c r="AU53" s="224">
        <v>0</v>
      </c>
      <c r="AV53" s="224">
        <v>1.433881766048355E-2</v>
      </c>
      <c r="AW53" s="224">
        <v>1.4092026077233966E-2</v>
      </c>
      <c r="AX53" s="224">
        <v>1.7127189372704299E-2</v>
      </c>
      <c r="AY53" s="224">
        <v>3.4530425872379193E-2</v>
      </c>
      <c r="AZ53" s="224">
        <v>2.835682468428407E-2</v>
      </c>
      <c r="BA53" s="224">
        <v>7.7558548714337476E-3</v>
      </c>
      <c r="BB53" s="224">
        <v>0</v>
      </c>
      <c r="BC53" s="224">
        <v>8.9086658655995896E-2</v>
      </c>
      <c r="BD53" s="224">
        <v>7.9766323995676125E-2</v>
      </c>
      <c r="BE53" s="224">
        <v>0</v>
      </c>
      <c r="BF53" s="224">
        <v>2.1463515424900267E-2</v>
      </c>
      <c r="BG53" s="224">
        <v>0</v>
      </c>
      <c r="BH53" s="224">
        <v>0</v>
      </c>
      <c r="BI53" s="224">
        <v>0</v>
      </c>
      <c r="BJ53" s="224">
        <v>0</v>
      </c>
      <c r="BK53" s="224">
        <v>2.5960539979231567E-4</v>
      </c>
      <c r="BL53" s="224">
        <v>1.894645591464354E-3</v>
      </c>
      <c r="BM53" s="224">
        <v>3.393408364243039E-3</v>
      </c>
      <c r="BN53" s="224">
        <v>1.894645591464354E-3</v>
      </c>
      <c r="BO53" s="224">
        <v>1.894645591464354E-3</v>
      </c>
      <c r="BP53" s="224">
        <v>1.894645591464354E-3</v>
      </c>
      <c r="BQ53" s="224">
        <v>1.4987627727786851E-3</v>
      </c>
      <c r="BR53" s="224">
        <v>1.894645591464354E-3</v>
      </c>
      <c r="BS53" s="224">
        <v>1.4987627727786851E-3</v>
      </c>
      <c r="BT53" s="224">
        <v>0</v>
      </c>
      <c r="BU53" s="224">
        <v>1.4987627727786851E-3</v>
      </c>
      <c r="BV53" s="224">
        <v>7.3418932978863731E-3</v>
      </c>
      <c r="BW53" s="224">
        <v>1.894645591464354E-3</v>
      </c>
      <c r="BX53" s="224">
        <v>3.393408364243039E-3</v>
      </c>
      <c r="BY53" s="224">
        <v>1.894645591464354E-3</v>
      </c>
      <c r="BZ53" s="224">
        <v>7.6285905455927951E-3</v>
      </c>
      <c r="CA53" s="224">
        <v>1.894645591464354E-3</v>
      </c>
      <c r="CB53" s="224">
        <v>1.4987627727786851E-3</v>
      </c>
      <c r="CC53" s="224">
        <v>1.894645591464354E-3</v>
      </c>
      <c r="CD53" s="224">
        <v>1.4987627727786851E-3</v>
      </c>
      <c r="CE53" s="224">
        <v>0</v>
      </c>
      <c r="CF53" s="224">
        <v>1.4987627727786851E-3</v>
      </c>
      <c r="CG53" s="224">
        <v>2.5960539979231567E-4</v>
      </c>
      <c r="CH53" s="224">
        <v>0</v>
      </c>
      <c r="CI53" s="224">
        <v>0</v>
      </c>
      <c r="CJ53" s="224">
        <v>0</v>
      </c>
      <c r="CK53" s="224">
        <v>0</v>
      </c>
      <c r="CL53" s="224">
        <v>0</v>
      </c>
      <c r="CM53" s="224">
        <v>0</v>
      </c>
      <c r="CN53" s="224">
        <v>0</v>
      </c>
      <c r="CO53" s="224">
        <v>0</v>
      </c>
      <c r="CP53" s="224">
        <v>0</v>
      </c>
      <c r="CQ53" s="224">
        <v>0</v>
      </c>
      <c r="CR53" s="224">
        <v>0</v>
      </c>
      <c r="CS53" s="224">
        <v>0</v>
      </c>
      <c r="CT53" s="224">
        <v>0</v>
      </c>
      <c r="CU53" s="224">
        <v>0</v>
      </c>
      <c r="CV53" s="224">
        <v>0</v>
      </c>
      <c r="CW53" s="224">
        <v>0</v>
      </c>
      <c r="CX53" s="224">
        <v>0</v>
      </c>
      <c r="CY53" s="224">
        <v>0</v>
      </c>
      <c r="CZ53" s="224">
        <v>0</v>
      </c>
      <c r="DA53" s="224">
        <v>0</v>
      </c>
      <c r="DB53" s="224">
        <v>0</v>
      </c>
      <c r="DC53" s="224">
        <v>0</v>
      </c>
      <c r="DD53" s="224">
        <v>0</v>
      </c>
      <c r="DE53" s="224">
        <v>0</v>
      </c>
      <c r="DF53" s="224">
        <v>0</v>
      </c>
      <c r="DG53" s="224">
        <v>0</v>
      </c>
      <c r="DH53" s="224">
        <v>0</v>
      </c>
      <c r="DI53" s="224">
        <v>0</v>
      </c>
      <c r="DJ53" s="224">
        <v>0</v>
      </c>
      <c r="DK53" s="224">
        <v>0</v>
      </c>
      <c r="DL53" s="224">
        <v>0</v>
      </c>
      <c r="DM53" s="224">
        <v>0</v>
      </c>
      <c r="DN53" s="224">
        <v>0</v>
      </c>
      <c r="DO53" s="224">
        <v>0</v>
      </c>
      <c r="DP53" s="224">
        <v>0</v>
      </c>
      <c r="DQ53" s="224">
        <f t="shared" si="0"/>
        <v>1.0000000000000002</v>
      </c>
    </row>
    <row r="54" spans="1:121" x14ac:dyDescent="0.3">
      <c r="A54" s="223" t="s">
        <v>1148</v>
      </c>
      <c r="B54" s="223" t="s">
        <v>6</v>
      </c>
      <c r="C54" s="223" t="s">
        <v>1086</v>
      </c>
      <c r="D54" s="223" t="s">
        <v>1087</v>
      </c>
      <c r="E54" s="223" t="s">
        <v>27</v>
      </c>
      <c r="F54" s="224">
        <v>0.16013546202225448</v>
      </c>
      <c r="G54" s="224">
        <v>9.7242380261248179E-2</v>
      </c>
      <c r="H54" s="224">
        <v>0</v>
      </c>
      <c r="I54" s="224">
        <v>0</v>
      </c>
      <c r="J54" s="224">
        <v>0</v>
      </c>
      <c r="K54" s="224">
        <v>5.8055152394775036E-3</v>
      </c>
      <c r="L54" s="224">
        <v>1.4029995162070633E-2</v>
      </c>
      <c r="M54" s="224">
        <v>7.7406869859700045E-3</v>
      </c>
      <c r="N54" s="224">
        <v>2.8059990324141266E-2</v>
      </c>
      <c r="O54" s="224">
        <v>0</v>
      </c>
      <c r="P54" s="224">
        <v>1.5481373971940009E-2</v>
      </c>
      <c r="Q54" s="224">
        <v>2.7092404450895016E-2</v>
      </c>
      <c r="R54" s="224">
        <v>0</v>
      </c>
      <c r="S54" s="224">
        <v>1.1611030478955007E-2</v>
      </c>
      <c r="T54" s="224">
        <v>1.0643444605708756E-2</v>
      </c>
      <c r="U54" s="224">
        <v>0</v>
      </c>
      <c r="V54" s="224">
        <v>1.3546202225447508E-2</v>
      </c>
      <c r="W54" s="224">
        <v>1.1611030478955007E-2</v>
      </c>
      <c r="X54" s="224">
        <v>7.7406869859700045E-3</v>
      </c>
      <c r="Y54" s="224">
        <v>3.8703434929850023E-3</v>
      </c>
      <c r="Z54" s="224">
        <v>1.5481373971940009E-2</v>
      </c>
      <c r="AA54" s="224">
        <v>0</v>
      </c>
      <c r="AB54" s="224">
        <v>0</v>
      </c>
      <c r="AC54" s="224">
        <v>0</v>
      </c>
      <c r="AD54" s="224">
        <v>0</v>
      </c>
      <c r="AE54" s="224">
        <v>8.708272859216255E-3</v>
      </c>
      <c r="AF54" s="224">
        <v>3.8703434929850023E-3</v>
      </c>
      <c r="AG54" s="224">
        <v>8.708272859216255E-3</v>
      </c>
      <c r="AH54" s="224">
        <v>5.8055152394775036E-3</v>
      </c>
      <c r="AI54" s="224">
        <v>9.6758587324625063E-3</v>
      </c>
      <c r="AJ54" s="224">
        <v>9.6758587324625063E-3</v>
      </c>
      <c r="AK54" s="224">
        <v>1.3546202225447508E-2</v>
      </c>
      <c r="AL54" s="224">
        <v>3.8703434929850023E-3</v>
      </c>
      <c r="AM54" s="224">
        <v>0</v>
      </c>
      <c r="AN54" s="224">
        <v>2.2254475084663765E-2</v>
      </c>
      <c r="AO54" s="224">
        <v>4.6444121915820029E-2</v>
      </c>
      <c r="AP54" s="224">
        <v>0</v>
      </c>
      <c r="AQ54" s="224">
        <v>0</v>
      </c>
      <c r="AR54" s="224">
        <v>7.7406869859700045E-3</v>
      </c>
      <c r="AS54" s="224">
        <v>2.1286889211417512E-2</v>
      </c>
      <c r="AT54" s="224">
        <v>7.7406869859700045E-3</v>
      </c>
      <c r="AU54" s="224">
        <v>3.8703434929850023E-3</v>
      </c>
      <c r="AV54" s="224">
        <v>7.7406869859700045E-3</v>
      </c>
      <c r="AW54" s="224">
        <v>9.6758587324625063E-3</v>
      </c>
      <c r="AX54" s="224">
        <v>3.8703434929850023E-3</v>
      </c>
      <c r="AY54" s="224">
        <v>0</v>
      </c>
      <c r="AZ54" s="224">
        <v>1.3546202225447508E-2</v>
      </c>
      <c r="BA54" s="224">
        <v>0</v>
      </c>
      <c r="BB54" s="224">
        <v>0</v>
      </c>
      <c r="BC54" s="224">
        <v>1.741654571843251E-2</v>
      </c>
      <c r="BD54" s="224">
        <v>4.450895016932753E-2</v>
      </c>
      <c r="BE54" s="224">
        <v>4.5476536042573776E-2</v>
      </c>
      <c r="BF54" s="224">
        <v>1.5481373971940009E-2</v>
      </c>
      <c r="BG54" s="224">
        <v>1.4513788098693759E-2</v>
      </c>
      <c r="BH54" s="224">
        <v>0</v>
      </c>
      <c r="BI54" s="224">
        <v>3.8703434929850023E-3</v>
      </c>
      <c r="BJ54" s="224">
        <v>8.708272859216255E-3</v>
      </c>
      <c r="BK54" s="224">
        <v>1.5481373971940009E-2</v>
      </c>
      <c r="BL54" s="224">
        <v>1.9351717464925013E-2</v>
      </c>
      <c r="BM54" s="224">
        <v>1.9351717464925013E-2</v>
      </c>
      <c r="BN54" s="224">
        <v>2.3222060957910014E-2</v>
      </c>
      <c r="BO54" s="224">
        <v>1.1611030478955007E-2</v>
      </c>
      <c r="BP54" s="224">
        <v>1.1611030478955007E-2</v>
      </c>
      <c r="BQ54" s="224">
        <v>1.5481373971940009E-2</v>
      </c>
      <c r="BR54" s="224">
        <v>1.1611030478955007E-2</v>
      </c>
      <c r="BS54" s="224">
        <v>1.1611030478955007E-2</v>
      </c>
      <c r="BT54" s="224">
        <v>0</v>
      </c>
      <c r="BU54" s="224">
        <v>0</v>
      </c>
      <c r="BV54" s="224">
        <v>0</v>
      </c>
      <c r="BW54" s="224">
        <v>4.8379293662312532E-3</v>
      </c>
      <c r="BX54" s="224">
        <v>7.7406869859700045E-3</v>
      </c>
      <c r="BY54" s="224">
        <v>7.7406869859700045E-3</v>
      </c>
      <c r="BZ54" s="224">
        <v>9.6758587324625063E-3</v>
      </c>
      <c r="CA54" s="224">
        <v>1.5481373971940009E-2</v>
      </c>
      <c r="CB54" s="224">
        <v>1.8384131591678763E-2</v>
      </c>
      <c r="CC54" s="224">
        <v>3.8703434929850023E-3</v>
      </c>
      <c r="CD54" s="224">
        <v>3.8703434929850023E-3</v>
      </c>
      <c r="CE54" s="224">
        <v>0</v>
      </c>
      <c r="CF54" s="224">
        <v>0</v>
      </c>
      <c r="CG54" s="224">
        <v>9.6758587324625057E-4</v>
      </c>
      <c r="CH54" s="224">
        <v>0</v>
      </c>
      <c r="CI54" s="224">
        <v>0</v>
      </c>
      <c r="CJ54" s="224">
        <v>0</v>
      </c>
      <c r="CK54" s="224">
        <v>0</v>
      </c>
      <c r="CL54" s="224">
        <v>0</v>
      </c>
      <c r="CM54" s="224">
        <v>0</v>
      </c>
      <c r="CN54" s="224">
        <v>0</v>
      </c>
      <c r="CO54" s="224">
        <v>0</v>
      </c>
      <c r="CP54" s="224">
        <v>0</v>
      </c>
      <c r="CQ54" s="224">
        <v>0</v>
      </c>
      <c r="CR54" s="224">
        <v>0</v>
      </c>
      <c r="CS54" s="224">
        <v>0</v>
      </c>
      <c r="CT54" s="224">
        <v>0</v>
      </c>
      <c r="CU54" s="224">
        <v>0</v>
      </c>
      <c r="CV54" s="224">
        <v>0</v>
      </c>
      <c r="CW54" s="224">
        <v>0</v>
      </c>
      <c r="CX54" s="224">
        <v>0</v>
      </c>
      <c r="CY54" s="224">
        <v>0</v>
      </c>
      <c r="CZ54" s="224">
        <v>0</v>
      </c>
      <c r="DA54" s="224">
        <v>0</v>
      </c>
      <c r="DB54" s="224">
        <v>0</v>
      </c>
      <c r="DC54" s="224">
        <v>0</v>
      </c>
      <c r="DD54" s="224">
        <v>0</v>
      </c>
      <c r="DE54" s="224">
        <v>0</v>
      </c>
      <c r="DF54" s="224">
        <v>0</v>
      </c>
      <c r="DG54" s="224">
        <v>0</v>
      </c>
      <c r="DH54" s="224">
        <v>0</v>
      </c>
      <c r="DI54" s="224">
        <v>0</v>
      </c>
      <c r="DJ54" s="224">
        <v>0</v>
      </c>
      <c r="DK54" s="224">
        <v>0</v>
      </c>
      <c r="DL54" s="224">
        <v>0</v>
      </c>
      <c r="DM54" s="224">
        <v>0</v>
      </c>
      <c r="DN54" s="224">
        <v>0</v>
      </c>
      <c r="DO54" s="224">
        <v>0</v>
      </c>
      <c r="DP54" s="224">
        <v>0</v>
      </c>
      <c r="DQ54" s="224">
        <f t="shared" si="0"/>
        <v>0.99999999999999967</v>
      </c>
    </row>
    <row r="55" spans="1:121" x14ac:dyDescent="0.3">
      <c r="A55" s="223" t="s">
        <v>1149</v>
      </c>
      <c r="B55" s="223" t="s">
        <v>6</v>
      </c>
      <c r="C55" s="223" t="s">
        <v>1086</v>
      </c>
      <c r="D55" s="223" t="s">
        <v>1087</v>
      </c>
      <c r="E55" s="223" t="s">
        <v>1096</v>
      </c>
      <c r="F55" s="224">
        <v>0.24926971762414801</v>
      </c>
      <c r="G55" s="224">
        <v>5.0632911392405063E-2</v>
      </c>
      <c r="H55" s="224">
        <v>1.5579357351509251E-2</v>
      </c>
      <c r="I55" s="224">
        <v>1.5579357351509251E-2</v>
      </c>
      <c r="J55" s="224">
        <v>0</v>
      </c>
      <c r="K55" s="224">
        <v>1.5579357351509251E-2</v>
      </c>
      <c r="L55" s="224">
        <v>2.4018175916910096E-2</v>
      </c>
      <c r="M55" s="224">
        <v>2.5965595585848749E-2</v>
      </c>
      <c r="N55" s="224">
        <v>3.6351833820188251E-2</v>
      </c>
      <c r="O55" s="224">
        <v>0</v>
      </c>
      <c r="P55" s="224">
        <v>3.1158714703018502E-2</v>
      </c>
      <c r="Q55" s="224">
        <v>1.3307367737747485E-2</v>
      </c>
      <c r="R55" s="224">
        <v>0</v>
      </c>
      <c r="S55" s="224">
        <v>2.3369036027263874E-2</v>
      </c>
      <c r="T55" s="224">
        <v>2.0772476468679E-2</v>
      </c>
      <c r="U55" s="224">
        <v>0</v>
      </c>
      <c r="V55" s="224">
        <v>5.19311911716975E-3</v>
      </c>
      <c r="W55" s="224">
        <v>3.6351833820188251E-2</v>
      </c>
      <c r="X55" s="224">
        <v>1.03862382343395E-2</v>
      </c>
      <c r="Y55" s="224">
        <v>5.19311911716975E-3</v>
      </c>
      <c r="Z55" s="224">
        <v>0</v>
      </c>
      <c r="AA55" s="224">
        <v>0</v>
      </c>
      <c r="AB55" s="224">
        <v>0</v>
      </c>
      <c r="AC55" s="224">
        <v>0</v>
      </c>
      <c r="AD55" s="224">
        <v>0</v>
      </c>
      <c r="AE55" s="224">
        <v>1.03862382343395E-2</v>
      </c>
      <c r="AF55" s="224">
        <v>0</v>
      </c>
      <c r="AG55" s="224">
        <v>4.0246673158065564E-2</v>
      </c>
      <c r="AH55" s="224">
        <v>0</v>
      </c>
      <c r="AI55" s="224">
        <v>2.0772476468679E-2</v>
      </c>
      <c r="AJ55" s="224">
        <v>4.9983771502758845E-2</v>
      </c>
      <c r="AK55" s="224">
        <v>0</v>
      </c>
      <c r="AL55" s="224">
        <v>0</v>
      </c>
      <c r="AM55" s="224">
        <v>0</v>
      </c>
      <c r="AN55" s="224">
        <v>1.5579357351509251E-2</v>
      </c>
      <c r="AO55" s="224">
        <v>2.2070756247971439E-2</v>
      </c>
      <c r="AP55" s="224">
        <v>0</v>
      </c>
      <c r="AQ55" s="224">
        <v>1.03862382343395E-2</v>
      </c>
      <c r="AR55" s="224">
        <v>2.4667315806556313E-2</v>
      </c>
      <c r="AS55" s="224">
        <v>2.8562155144433627E-2</v>
      </c>
      <c r="AT55" s="224">
        <v>0</v>
      </c>
      <c r="AU55" s="224">
        <v>0</v>
      </c>
      <c r="AV55" s="224">
        <v>1.4281077572216814E-2</v>
      </c>
      <c r="AW55" s="224">
        <v>0</v>
      </c>
      <c r="AX55" s="224">
        <v>1.03862382343395E-2</v>
      </c>
      <c r="AY55" s="224">
        <v>1.03862382343395E-2</v>
      </c>
      <c r="AZ55" s="224">
        <v>1.03862382343395E-2</v>
      </c>
      <c r="BA55" s="224">
        <v>1.8175916910094125E-2</v>
      </c>
      <c r="BB55" s="224">
        <v>0</v>
      </c>
      <c r="BC55" s="224">
        <v>2.3369036027263874E-2</v>
      </c>
      <c r="BD55" s="224">
        <v>3.1158714703018502E-2</v>
      </c>
      <c r="BE55" s="224">
        <v>2.5965595585848749E-2</v>
      </c>
      <c r="BF55" s="224">
        <v>0</v>
      </c>
      <c r="BG55" s="224">
        <v>2.5965595585848749E-2</v>
      </c>
      <c r="BH55" s="224">
        <v>0</v>
      </c>
      <c r="BI55" s="224">
        <v>0</v>
      </c>
      <c r="BJ55" s="224">
        <v>0</v>
      </c>
      <c r="BK55" s="224">
        <v>0</v>
      </c>
      <c r="BL55" s="224">
        <v>0</v>
      </c>
      <c r="BM55" s="224">
        <v>0</v>
      </c>
      <c r="BN55" s="224">
        <v>0</v>
      </c>
      <c r="BO55" s="224">
        <v>0</v>
      </c>
      <c r="BP55" s="224">
        <v>0</v>
      </c>
      <c r="BQ55" s="224">
        <v>0</v>
      </c>
      <c r="BR55" s="224">
        <v>0</v>
      </c>
      <c r="BS55" s="224">
        <v>0</v>
      </c>
      <c r="BT55" s="224">
        <v>0</v>
      </c>
      <c r="BU55" s="224">
        <v>0</v>
      </c>
      <c r="BV55" s="224">
        <v>2.8562155144433627E-2</v>
      </c>
      <c r="BW55" s="224">
        <v>0</v>
      </c>
      <c r="BX55" s="224">
        <v>0</v>
      </c>
      <c r="BY55" s="224">
        <v>0</v>
      </c>
      <c r="BZ55" s="224">
        <v>0</v>
      </c>
      <c r="CA55" s="224">
        <v>0</v>
      </c>
      <c r="CB55" s="224">
        <v>0</v>
      </c>
      <c r="CC55" s="224">
        <v>0</v>
      </c>
      <c r="CD55" s="224">
        <v>0</v>
      </c>
      <c r="CE55" s="224">
        <v>0</v>
      </c>
      <c r="CF55" s="224">
        <v>0</v>
      </c>
      <c r="CG55" s="224">
        <v>0</v>
      </c>
      <c r="CH55" s="224">
        <v>0</v>
      </c>
      <c r="CI55" s="224">
        <v>0</v>
      </c>
      <c r="CJ55" s="224">
        <v>0</v>
      </c>
      <c r="CK55" s="224">
        <v>0</v>
      </c>
      <c r="CL55" s="224">
        <v>0</v>
      </c>
      <c r="CM55" s="224">
        <v>0</v>
      </c>
      <c r="CN55" s="224">
        <v>0</v>
      </c>
      <c r="CO55" s="224">
        <v>0</v>
      </c>
      <c r="CP55" s="224">
        <v>0</v>
      </c>
      <c r="CQ55" s="224">
        <v>0</v>
      </c>
      <c r="CR55" s="224">
        <v>0</v>
      </c>
      <c r="CS55" s="224">
        <v>0</v>
      </c>
      <c r="CT55" s="224">
        <v>0</v>
      </c>
      <c r="CU55" s="224">
        <v>0</v>
      </c>
      <c r="CV55" s="224">
        <v>0</v>
      </c>
      <c r="CW55" s="224">
        <v>0</v>
      </c>
      <c r="CX55" s="224">
        <v>0</v>
      </c>
      <c r="CY55" s="224">
        <v>0</v>
      </c>
      <c r="CZ55" s="224">
        <v>0</v>
      </c>
      <c r="DA55" s="224">
        <v>0</v>
      </c>
      <c r="DB55" s="224">
        <v>0</v>
      </c>
      <c r="DC55" s="224">
        <v>0</v>
      </c>
      <c r="DD55" s="224">
        <v>0</v>
      </c>
      <c r="DE55" s="224">
        <v>0</v>
      </c>
      <c r="DF55" s="224">
        <v>0</v>
      </c>
      <c r="DG55" s="224">
        <v>0</v>
      </c>
      <c r="DH55" s="224">
        <v>0</v>
      </c>
      <c r="DI55" s="224">
        <v>0</v>
      </c>
      <c r="DJ55" s="224">
        <v>0</v>
      </c>
      <c r="DK55" s="224">
        <v>0</v>
      </c>
      <c r="DL55" s="224">
        <v>0</v>
      </c>
      <c r="DM55" s="224">
        <v>0</v>
      </c>
      <c r="DN55" s="224">
        <v>0</v>
      </c>
      <c r="DO55" s="224">
        <v>0</v>
      </c>
      <c r="DP55" s="224">
        <v>0</v>
      </c>
      <c r="DQ55" s="224">
        <f t="shared" si="0"/>
        <v>0.99999999999999989</v>
      </c>
    </row>
    <row r="56" spans="1:121" x14ac:dyDescent="0.3">
      <c r="A56" s="223" t="s">
        <v>1150</v>
      </c>
      <c r="B56" s="223" t="s">
        <v>6</v>
      </c>
      <c r="C56" s="223" t="s">
        <v>1092</v>
      </c>
      <c r="D56" s="223" t="s">
        <v>1087</v>
      </c>
      <c r="E56" s="223" t="s">
        <v>1096</v>
      </c>
      <c r="F56" s="224">
        <v>0.15528718703976435</v>
      </c>
      <c r="G56" s="224">
        <v>7.6229749631811491E-2</v>
      </c>
      <c r="H56" s="224">
        <v>2.3151693667157584E-2</v>
      </c>
      <c r="I56" s="224">
        <v>0</v>
      </c>
      <c r="J56" s="224">
        <v>0</v>
      </c>
      <c r="K56" s="224">
        <v>9.3078055964653898E-3</v>
      </c>
      <c r="L56" s="224">
        <v>1.4786450662739323E-2</v>
      </c>
      <c r="M56" s="224">
        <v>7.6583210603829157E-3</v>
      </c>
      <c r="N56" s="224">
        <v>9.425625920471281E-4</v>
      </c>
      <c r="O56" s="224">
        <v>5.8910162002945507E-3</v>
      </c>
      <c r="P56" s="224">
        <v>3.7702503681885124E-3</v>
      </c>
      <c r="Q56" s="224">
        <v>1.6023564064801179E-2</v>
      </c>
      <c r="R56" s="224">
        <v>2.3564064801178202E-3</v>
      </c>
      <c r="S56" s="224">
        <v>1.5316642120765831E-2</v>
      </c>
      <c r="T56" s="224">
        <v>3.6288659793814432E-2</v>
      </c>
      <c r="U56" s="224">
        <v>0</v>
      </c>
      <c r="V56" s="224">
        <v>2.6156111929307807E-2</v>
      </c>
      <c r="W56" s="224">
        <v>2.0559646539027983E-2</v>
      </c>
      <c r="X56" s="224">
        <v>2.8276877761413844E-3</v>
      </c>
      <c r="Y56" s="224">
        <v>1.6494845360824743E-3</v>
      </c>
      <c r="Z56" s="224">
        <v>2.3328424153166421E-2</v>
      </c>
      <c r="AA56" s="224">
        <v>0</v>
      </c>
      <c r="AB56" s="224">
        <v>0</v>
      </c>
      <c r="AC56" s="224">
        <v>0</v>
      </c>
      <c r="AD56" s="224">
        <v>0</v>
      </c>
      <c r="AE56" s="224">
        <v>6.1266568483063326E-3</v>
      </c>
      <c r="AF56" s="224">
        <v>6.3622974963181145E-3</v>
      </c>
      <c r="AG56" s="224">
        <v>5.6553755522827688E-3</v>
      </c>
      <c r="AH56" s="224">
        <v>4.7128129602356404E-3</v>
      </c>
      <c r="AI56" s="224">
        <v>1.1782032400589101E-3</v>
      </c>
      <c r="AJ56" s="224">
        <v>3.4403534609720177E-2</v>
      </c>
      <c r="AK56" s="224">
        <v>1.2017673048600883E-2</v>
      </c>
      <c r="AL56" s="224">
        <v>6.1266568483063326E-3</v>
      </c>
      <c r="AM56" s="224">
        <v>0</v>
      </c>
      <c r="AN56" s="224">
        <v>1.7201767304860088E-2</v>
      </c>
      <c r="AO56" s="224">
        <v>4.3593519882179676E-3</v>
      </c>
      <c r="AP56" s="224">
        <v>0</v>
      </c>
      <c r="AQ56" s="224">
        <v>5.6553755522827688E-3</v>
      </c>
      <c r="AR56" s="224">
        <v>7.5405007363770248E-3</v>
      </c>
      <c r="AS56" s="224">
        <v>8.954344624447717E-3</v>
      </c>
      <c r="AT56" s="224">
        <v>2.3564064801178202E-3</v>
      </c>
      <c r="AU56" s="224">
        <v>0</v>
      </c>
      <c r="AV56" s="224">
        <v>1.8851251840942562E-3</v>
      </c>
      <c r="AW56" s="224">
        <v>9.425625920471281E-4</v>
      </c>
      <c r="AX56" s="224">
        <v>4.2415316642120766E-3</v>
      </c>
      <c r="AY56" s="224">
        <v>6.5979381443298972E-3</v>
      </c>
      <c r="AZ56" s="224">
        <v>1.4138438880706922E-3</v>
      </c>
      <c r="BA56" s="224">
        <v>0</v>
      </c>
      <c r="BB56" s="224">
        <v>2.3564064801178202E-4</v>
      </c>
      <c r="BC56" s="224">
        <v>4.0648011782032402E-2</v>
      </c>
      <c r="BD56" s="224">
        <v>2.0854197349042709E-2</v>
      </c>
      <c r="BE56" s="224">
        <v>4.3357879234167895E-2</v>
      </c>
      <c r="BF56" s="224">
        <v>1.8851251840942562E-3</v>
      </c>
      <c r="BG56" s="224">
        <v>0.20359351988217966</v>
      </c>
      <c r="BH56" s="224">
        <v>5.4904270986745211E-2</v>
      </c>
      <c r="BI56" s="224">
        <v>1.0721649484536083E-2</v>
      </c>
      <c r="BJ56" s="224">
        <v>8.954344624447717E-3</v>
      </c>
      <c r="BK56" s="224">
        <v>0</v>
      </c>
      <c r="BL56" s="224">
        <v>1.8851251840942562E-3</v>
      </c>
      <c r="BM56" s="224">
        <v>1.8851251840942562E-3</v>
      </c>
      <c r="BN56" s="224">
        <v>0</v>
      </c>
      <c r="BO56" s="224">
        <v>2.8276877761413844E-3</v>
      </c>
      <c r="BP56" s="224">
        <v>4.7128129602356405E-4</v>
      </c>
      <c r="BQ56" s="224">
        <v>4.7128129602356405E-4</v>
      </c>
      <c r="BR56" s="224">
        <v>1.4138438880706922E-3</v>
      </c>
      <c r="BS56" s="224">
        <v>1.4138438880706922E-3</v>
      </c>
      <c r="BT56" s="224">
        <v>0</v>
      </c>
      <c r="BU56" s="224">
        <v>9.6612665684830627E-3</v>
      </c>
      <c r="BV56" s="224">
        <v>0</v>
      </c>
      <c r="BW56" s="224">
        <v>9.425625920471281E-4</v>
      </c>
      <c r="BX56" s="224">
        <v>9.425625920471281E-4</v>
      </c>
      <c r="BY56" s="224">
        <v>9.425625920471281E-4</v>
      </c>
      <c r="BZ56" s="224">
        <v>3.7702503681885124E-3</v>
      </c>
      <c r="CA56" s="224">
        <v>4.7128129602356405E-4</v>
      </c>
      <c r="CB56" s="224">
        <v>4.7128129602356405E-4</v>
      </c>
      <c r="CC56" s="224">
        <v>1.4138438880706922E-3</v>
      </c>
      <c r="CD56" s="224">
        <v>1.4138438880706922E-3</v>
      </c>
      <c r="CE56" s="224">
        <v>0</v>
      </c>
      <c r="CF56" s="224">
        <v>5.184094256259205E-3</v>
      </c>
      <c r="CG56" s="224">
        <v>0</v>
      </c>
      <c r="CH56" s="224">
        <v>0</v>
      </c>
      <c r="CI56" s="224">
        <v>0</v>
      </c>
      <c r="CJ56" s="224">
        <v>0</v>
      </c>
      <c r="CK56" s="224">
        <v>0</v>
      </c>
      <c r="CL56" s="224">
        <v>0</v>
      </c>
      <c r="CM56" s="224">
        <v>0</v>
      </c>
      <c r="CN56" s="224">
        <v>0</v>
      </c>
      <c r="CO56" s="224">
        <v>0</v>
      </c>
      <c r="CP56" s="224">
        <v>0</v>
      </c>
      <c r="CQ56" s="224">
        <v>0</v>
      </c>
      <c r="CR56" s="224">
        <v>0</v>
      </c>
      <c r="CS56" s="224">
        <v>0</v>
      </c>
      <c r="CT56" s="224">
        <v>0</v>
      </c>
      <c r="CU56" s="224">
        <v>0</v>
      </c>
      <c r="CV56" s="224">
        <v>0</v>
      </c>
      <c r="CW56" s="224">
        <v>0</v>
      </c>
      <c r="CX56" s="224">
        <v>0</v>
      </c>
      <c r="CY56" s="224">
        <v>0</v>
      </c>
      <c r="CZ56" s="224">
        <v>0</v>
      </c>
      <c r="DA56" s="224">
        <v>0</v>
      </c>
      <c r="DB56" s="224">
        <v>0</v>
      </c>
      <c r="DC56" s="224">
        <v>0</v>
      </c>
      <c r="DD56" s="224">
        <v>0</v>
      </c>
      <c r="DE56" s="224">
        <v>0</v>
      </c>
      <c r="DF56" s="224">
        <v>0</v>
      </c>
      <c r="DG56" s="224">
        <v>0</v>
      </c>
      <c r="DH56" s="224">
        <v>0</v>
      </c>
      <c r="DI56" s="224">
        <v>0</v>
      </c>
      <c r="DJ56" s="224">
        <v>0</v>
      </c>
      <c r="DK56" s="224">
        <v>0</v>
      </c>
      <c r="DL56" s="224">
        <v>0</v>
      </c>
      <c r="DM56" s="224">
        <v>0</v>
      </c>
      <c r="DN56" s="224">
        <v>0</v>
      </c>
      <c r="DO56" s="224">
        <v>0</v>
      </c>
      <c r="DP56" s="224">
        <v>0</v>
      </c>
      <c r="DQ56" s="224">
        <f t="shared" si="0"/>
        <v>0.99999999999999978</v>
      </c>
    </row>
    <row r="57" spans="1:121" x14ac:dyDescent="0.3">
      <c r="A57" s="223" t="s">
        <v>1151</v>
      </c>
      <c r="B57" s="223" t="s">
        <v>6</v>
      </c>
      <c r="C57" s="223" t="s">
        <v>1092</v>
      </c>
      <c r="D57" s="223" t="s">
        <v>21</v>
      </c>
      <c r="E57" s="223" t="s">
        <v>1096</v>
      </c>
      <c r="F57" s="224">
        <v>0.29172577142657002</v>
      </c>
      <c r="G57" s="224">
        <v>1.9852632131974361E-2</v>
      </c>
      <c r="H57" s="224">
        <v>5.1180343945921337E-3</v>
      </c>
      <c r="I57" s="224">
        <v>3.1019053623340689E-3</v>
      </c>
      <c r="J57" s="224">
        <v>0</v>
      </c>
      <c r="K57" s="224">
        <v>1.1012092396063185E-2</v>
      </c>
      <c r="L57" s="224">
        <v>2.4351161080172323E-2</v>
      </c>
      <c r="M57" s="224">
        <v>4.0322580645161289E-3</v>
      </c>
      <c r="N57" s="224">
        <v>0</v>
      </c>
      <c r="O57" s="224">
        <v>0</v>
      </c>
      <c r="P57" s="224">
        <v>8.646260201043747E-3</v>
      </c>
      <c r="Q57" s="224">
        <v>9.4611397148961496E-3</v>
      </c>
      <c r="R57" s="224">
        <v>1.0546916044972154E-2</v>
      </c>
      <c r="S57" s="224">
        <v>1.7061574025428183E-2</v>
      </c>
      <c r="T57" s="224">
        <v>1.9077703057686246E-2</v>
      </c>
      <c r="U57" s="224">
        <v>0</v>
      </c>
      <c r="V57" s="224">
        <v>1.8612526706595217E-2</v>
      </c>
      <c r="W57" s="224">
        <v>2.1326967531785226E-2</v>
      </c>
      <c r="X57" s="224">
        <v>1.3377924591082623E-2</v>
      </c>
      <c r="Y57" s="224">
        <v>0</v>
      </c>
      <c r="Z57" s="224">
        <v>0</v>
      </c>
      <c r="AA57" s="224">
        <v>0</v>
      </c>
      <c r="AB57" s="224">
        <v>0</v>
      </c>
      <c r="AC57" s="224">
        <v>0</v>
      </c>
      <c r="AD57" s="224">
        <v>7.0575461454940279E-3</v>
      </c>
      <c r="AE57" s="224">
        <v>9.1891483660817494E-3</v>
      </c>
      <c r="AF57" s="224">
        <v>6.8632666106265977E-3</v>
      </c>
      <c r="AG57" s="224">
        <v>1.4075141851423768E-2</v>
      </c>
      <c r="AH57" s="224">
        <v>8.8405397359111772E-3</v>
      </c>
      <c r="AI57" s="224">
        <v>1.3183645056215193E-2</v>
      </c>
      <c r="AJ57" s="224">
        <v>1.9464073062239504E-2</v>
      </c>
      <c r="AK57" s="224">
        <v>1.8766855801898359E-2</v>
      </c>
      <c r="AL57" s="224">
        <v>9.3834279009491796E-3</v>
      </c>
      <c r="AM57" s="224">
        <v>5.0403225806451612E-3</v>
      </c>
      <c r="AN57" s="224">
        <v>9.329686350740779E-2</v>
      </c>
      <c r="AO57" s="224">
        <v>2.7685107351756506E-2</v>
      </c>
      <c r="AP57" s="224">
        <v>0</v>
      </c>
      <c r="AQ57" s="224">
        <v>9.3834279009491796E-3</v>
      </c>
      <c r="AR57" s="224">
        <v>2.7453066442506391E-2</v>
      </c>
      <c r="AS57" s="224">
        <v>2.8190234142411823E-2</v>
      </c>
      <c r="AT57" s="224">
        <v>1.0469204231025183E-2</v>
      </c>
      <c r="AU57" s="224">
        <v>4.6917139504745898E-3</v>
      </c>
      <c r="AV57" s="224">
        <v>9.3834279009491796E-3</v>
      </c>
      <c r="AW57" s="224">
        <v>5.6609225596301353E-3</v>
      </c>
      <c r="AX57" s="224">
        <v>9.3834279009491796E-3</v>
      </c>
      <c r="AY57" s="224">
        <v>1.7914214913663268E-2</v>
      </c>
      <c r="AZ57" s="224">
        <v>4.0322580645161289E-3</v>
      </c>
      <c r="BA57" s="224">
        <v>0</v>
      </c>
      <c r="BB57" s="224">
        <v>0</v>
      </c>
      <c r="BC57" s="224">
        <v>1.9232032152989388E-2</v>
      </c>
      <c r="BD57" s="224">
        <v>2.7297642814612447E-2</v>
      </c>
      <c r="BE57" s="224">
        <v>0</v>
      </c>
      <c r="BF57" s="224">
        <v>9.4611397148961496E-3</v>
      </c>
      <c r="BG57" s="224">
        <v>0</v>
      </c>
      <c r="BH57" s="224">
        <v>0</v>
      </c>
      <c r="BI57" s="224">
        <v>0</v>
      </c>
      <c r="BJ57" s="224">
        <v>0</v>
      </c>
      <c r="BK57" s="224">
        <v>0</v>
      </c>
      <c r="BL57" s="224">
        <v>3.7613612482925293E-3</v>
      </c>
      <c r="BM57" s="224">
        <v>3.7613612482925293E-3</v>
      </c>
      <c r="BN57" s="224">
        <v>1.0276019228748554E-2</v>
      </c>
      <c r="BO57" s="224">
        <v>9.1902428986725508E-3</v>
      </c>
      <c r="BP57" s="224">
        <v>1.0818907393786556E-2</v>
      </c>
      <c r="BQ57" s="224">
        <v>0</v>
      </c>
      <c r="BR57" s="224">
        <v>0</v>
      </c>
      <c r="BS57" s="224">
        <v>1.0276019228748554E-2</v>
      </c>
      <c r="BT57" s="224">
        <v>0</v>
      </c>
      <c r="BU57" s="224">
        <v>1.3572204125950055E-2</v>
      </c>
      <c r="BV57" s="224">
        <v>1.0469204231025183E-3</v>
      </c>
      <c r="BW57" s="224">
        <v>4.2653935063570458E-3</v>
      </c>
      <c r="BX57" s="224">
        <v>4.2653935063570458E-3</v>
      </c>
      <c r="BY57" s="224">
        <v>6.4369461665090538E-3</v>
      </c>
      <c r="BZ57" s="224">
        <v>5.3511698364330498E-3</v>
      </c>
      <c r="CA57" s="224">
        <v>3.179617176281041E-3</v>
      </c>
      <c r="CB57" s="224">
        <v>0</v>
      </c>
      <c r="CC57" s="224">
        <v>4.3431053203040176E-3</v>
      </c>
      <c r="CD57" s="224">
        <v>3.179617176281041E-3</v>
      </c>
      <c r="CE57" s="224">
        <v>0</v>
      </c>
      <c r="CF57" s="224">
        <v>1.3572204125950055E-2</v>
      </c>
      <c r="CG57" s="224">
        <v>0</v>
      </c>
      <c r="CH57" s="224">
        <v>0</v>
      </c>
      <c r="CI57" s="224">
        <v>0</v>
      </c>
      <c r="CJ57" s="224">
        <v>0</v>
      </c>
      <c r="CK57" s="224">
        <v>0</v>
      </c>
      <c r="CL57" s="224">
        <v>0</v>
      </c>
      <c r="CM57" s="224">
        <v>0</v>
      </c>
      <c r="CN57" s="224">
        <v>0</v>
      </c>
      <c r="CO57" s="224">
        <v>0</v>
      </c>
      <c r="CP57" s="224">
        <v>0</v>
      </c>
      <c r="CQ57" s="224">
        <v>0</v>
      </c>
      <c r="CR57" s="224">
        <v>0</v>
      </c>
      <c r="CS57" s="224">
        <v>0</v>
      </c>
      <c r="CT57" s="224">
        <v>0</v>
      </c>
      <c r="CU57" s="224">
        <v>0</v>
      </c>
      <c r="CV57" s="224">
        <v>0</v>
      </c>
      <c r="CW57" s="224">
        <v>0</v>
      </c>
      <c r="CX57" s="224">
        <v>0</v>
      </c>
      <c r="CY57" s="224">
        <v>0</v>
      </c>
      <c r="CZ57" s="224">
        <v>0</v>
      </c>
      <c r="DA57" s="224">
        <v>0</v>
      </c>
      <c r="DB57" s="224">
        <v>0</v>
      </c>
      <c r="DC57" s="224">
        <v>0</v>
      </c>
      <c r="DD57" s="224">
        <v>0</v>
      </c>
      <c r="DE57" s="224">
        <v>0</v>
      </c>
      <c r="DF57" s="224">
        <v>0</v>
      </c>
      <c r="DG57" s="224">
        <v>0</v>
      </c>
      <c r="DH57" s="224">
        <v>0</v>
      </c>
      <c r="DI57" s="224">
        <v>0</v>
      </c>
      <c r="DJ57" s="224">
        <v>0</v>
      </c>
      <c r="DK57" s="224">
        <v>0</v>
      </c>
      <c r="DL57" s="224">
        <v>0</v>
      </c>
      <c r="DM57" s="224">
        <v>0</v>
      </c>
      <c r="DN57" s="224">
        <v>0</v>
      </c>
      <c r="DO57" s="224">
        <v>0</v>
      </c>
      <c r="DP57" s="224">
        <v>0</v>
      </c>
      <c r="DQ57" s="224">
        <f t="shared" si="0"/>
        <v>0.99999999999999989</v>
      </c>
    </row>
    <row r="58" spans="1:121" x14ac:dyDescent="0.3">
      <c r="A58" s="223" t="s">
        <v>1152</v>
      </c>
      <c r="B58" s="223" t="s">
        <v>6</v>
      </c>
      <c r="C58" s="223" t="s">
        <v>1092</v>
      </c>
      <c r="D58" s="223" t="s">
        <v>21</v>
      </c>
      <c r="E58" s="223" t="s">
        <v>27</v>
      </c>
      <c r="F58" s="224">
        <v>0.25915364434812366</v>
      </c>
      <c r="G58" s="224">
        <v>2.190030797308087E-2</v>
      </c>
      <c r="H58" s="224">
        <v>1.3687692483175544E-2</v>
      </c>
      <c r="I58" s="224">
        <v>0</v>
      </c>
      <c r="J58" s="224">
        <v>0</v>
      </c>
      <c r="K58" s="224">
        <v>4.5625641610585145E-3</v>
      </c>
      <c r="L58" s="224">
        <v>8.2126154899053276E-3</v>
      </c>
      <c r="M58" s="224">
        <v>9.1251283221170289E-3</v>
      </c>
      <c r="N58" s="224">
        <v>0</v>
      </c>
      <c r="O58" s="224">
        <v>0</v>
      </c>
      <c r="P58" s="224">
        <v>1.8250256644234059E-3</v>
      </c>
      <c r="Q58" s="224">
        <v>1.8250256644234059E-3</v>
      </c>
      <c r="R58" s="224">
        <v>1.8250256644234059E-3</v>
      </c>
      <c r="S58" s="224">
        <v>5.0188205771643665E-2</v>
      </c>
      <c r="T58" s="224">
        <v>1.8250256644234058E-2</v>
      </c>
      <c r="U58" s="224">
        <v>0</v>
      </c>
      <c r="V58" s="224">
        <v>4.5625641610585145E-3</v>
      </c>
      <c r="W58" s="224">
        <v>5.2013231436067071E-2</v>
      </c>
      <c r="X58" s="224">
        <v>1.4600205315387247E-2</v>
      </c>
      <c r="Y58" s="224">
        <v>3.6500513288468118E-3</v>
      </c>
      <c r="Z58" s="224">
        <v>0</v>
      </c>
      <c r="AA58" s="224">
        <v>0</v>
      </c>
      <c r="AB58" s="224">
        <v>0</v>
      </c>
      <c r="AC58" s="224">
        <v>0</v>
      </c>
      <c r="AD58" s="224">
        <v>0</v>
      </c>
      <c r="AE58" s="224">
        <v>1.0607961674461047E-2</v>
      </c>
      <c r="AF58" s="224">
        <v>3.6500513288468118E-3</v>
      </c>
      <c r="AG58" s="224">
        <v>5.4750769932702175E-3</v>
      </c>
      <c r="AH58" s="224">
        <v>1.8250256644234059E-3</v>
      </c>
      <c r="AI58" s="224">
        <v>1.8250256644234059E-3</v>
      </c>
      <c r="AJ58" s="224">
        <v>1.231892323485799E-2</v>
      </c>
      <c r="AK58" s="224">
        <v>9.1251283221170289E-3</v>
      </c>
      <c r="AL58" s="224">
        <v>3.6500513288468118E-3</v>
      </c>
      <c r="AM58" s="224">
        <v>0</v>
      </c>
      <c r="AN58" s="224">
        <v>2.8401961902589257E-2</v>
      </c>
      <c r="AO58" s="224">
        <v>2.977073115090681E-2</v>
      </c>
      <c r="AP58" s="224">
        <v>0</v>
      </c>
      <c r="AQ58" s="224">
        <v>7.3001026576936237E-3</v>
      </c>
      <c r="AR58" s="224">
        <v>1.551271814759895E-2</v>
      </c>
      <c r="AS58" s="224">
        <v>3.6500513288468116E-2</v>
      </c>
      <c r="AT58" s="224">
        <v>3.6500513288468118E-3</v>
      </c>
      <c r="AU58" s="224">
        <v>7.3001026576936237E-3</v>
      </c>
      <c r="AV58" s="224">
        <v>1.0950153986540435E-2</v>
      </c>
      <c r="AW58" s="224">
        <v>0</v>
      </c>
      <c r="AX58" s="224">
        <v>7.3001026576936237E-3</v>
      </c>
      <c r="AY58" s="224">
        <v>9.1251283221170289E-3</v>
      </c>
      <c r="AZ58" s="224">
        <v>3.6500513288468118E-3</v>
      </c>
      <c r="BA58" s="224">
        <v>0</v>
      </c>
      <c r="BB58" s="224">
        <v>0</v>
      </c>
      <c r="BC58" s="224">
        <v>1.6425230979810655E-2</v>
      </c>
      <c r="BD58" s="224">
        <v>4.0606821033420781E-2</v>
      </c>
      <c r="BE58" s="224">
        <v>0</v>
      </c>
      <c r="BF58" s="224">
        <v>1.0493897570434584E-2</v>
      </c>
      <c r="BG58" s="224">
        <v>0</v>
      </c>
      <c r="BH58" s="224">
        <v>0</v>
      </c>
      <c r="BI58" s="224">
        <v>0</v>
      </c>
      <c r="BJ58" s="224">
        <v>0</v>
      </c>
      <c r="BK58" s="224">
        <v>3.6500513288468118E-3</v>
      </c>
      <c r="BL58" s="224">
        <v>1.0950153986540435E-2</v>
      </c>
      <c r="BM58" s="224">
        <v>1.6425230979810652E-2</v>
      </c>
      <c r="BN58" s="224">
        <v>9.1251283221170289E-3</v>
      </c>
      <c r="BO58" s="224">
        <v>1.8250256644234058E-2</v>
      </c>
      <c r="BP58" s="224">
        <v>1.0950153986540435E-2</v>
      </c>
      <c r="BQ58" s="224">
        <v>1.1862666818752138E-2</v>
      </c>
      <c r="BR58" s="224">
        <v>1.0037641154328732E-2</v>
      </c>
      <c r="BS58" s="224">
        <v>1.3687692483175544E-2</v>
      </c>
      <c r="BT58" s="224">
        <v>0</v>
      </c>
      <c r="BU58" s="224">
        <v>2.4637846469715979E-2</v>
      </c>
      <c r="BV58" s="224">
        <v>0</v>
      </c>
      <c r="BW58" s="224">
        <v>4.5625641610585145E-3</v>
      </c>
      <c r="BX58" s="224">
        <v>9.1251283221170289E-3</v>
      </c>
      <c r="BY58" s="224">
        <v>1.5056461731493099E-2</v>
      </c>
      <c r="BZ58" s="224">
        <v>1.6425230979810655E-2</v>
      </c>
      <c r="CA58" s="224">
        <v>1.0037641154328732E-2</v>
      </c>
      <c r="CB58" s="224">
        <v>1.0037641154328732E-2</v>
      </c>
      <c r="CC58" s="224">
        <v>1.4143948899281396E-2</v>
      </c>
      <c r="CD58" s="224">
        <v>1.8250256644234058E-2</v>
      </c>
      <c r="CE58" s="224">
        <v>0</v>
      </c>
      <c r="CF58" s="224">
        <v>3.0112923462986198E-2</v>
      </c>
      <c r="CG58" s="224">
        <v>1.8250256644234059E-3</v>
      </c>
      <c r="CH58" s="224">
        <v>0</v>
      </c>
      <c r="CI58" s="224">
        <v>0</v>
      </c>
      <c r="CJ58" s="224">
        <v>0</v>
      </c>
      <c r="CK58" s="224">
        <v>0</v>
      </c>
      <c r="CL58" s="224">
        <v>0</v>
      </c>
      <c r="CM58" s="224">
        <v>0</v>
      </c>
      <c r="CN58" s="224">
        <v>0</v>
      </c>
      <c r="CO58" s="224">
        <v>0</v>
      </c>
      <c r="CP58" s="224">
        <v>0</v>
      </c>
      <c r="CQ58" s="224">
        <v>0</v>
      </c>
      <c r="CR58" s="224">
        <v>0</v>
      </c>
      <c r="CS58" s="224">
        <v>0</v>
      </c>
      <c r="CT58" s="224">
        <v>0</v>
      </c>
      <c r="CU58" s="224">
        <v>0</v>
      </c>
      <c r="CV58" s="224">
        <v>0</v>
      </c>
      <c r="CW58" s="224">
        <v>0</v>
      </c>
      <c r="CX58" s="224">
        <v>0</v>
      </c>
      <c r="CY58" s="224">
        <v>0</v>
      </c>
      <c r="CZ58" s="224">
        <v>0</v>
      </c>
      <c r="DA58" s="224">
        <v>0</v>
      </c>
      <c r="DB58" s="224">
        <v>0</v>
      </c>
      <c r="DC58" s="224">
        <v>0</v>
      </c>
      <c r="DD58" s="224">
        <v>0</v>
      </c>
      <c r="DE58" s="224">
        <v>0</v>
      </c>
      <c r="DF58" s="224">
        <v>0</v>
      </c>
      <c r="DG58" s="224">
        <v>0</v>
      </c>
      <c r="DH58" s="224">
        <v>0</v>
      </c>
      <c r="DI58" s="224">
        <v>0</v>
      </c>
      <c r="DJ58" s="224">
        <v>0</v>
      </c>
      <c r="DK58" s="224">
        <v>0</v>
      </c>
      <c r="DL58" s="224">
        <v>0</v>
      </c>
      <c r="DM58" s="224">
        <v>0</v>
      </c>
      <c r="DN58" s="224">
        <v>0</v>
      </c>
      <c r="DO58" s="224">
        <v>0</v>
      </c>
      <c r="DP58" s="224">
        <v>0</v>
      </c>
      <c r="DQ58" s="224">
        <f t="shared" si="0"/>
        <v>0.99999999999999944</v>
      </c>
    </row>
    <row r="59" spans="1:121" x14ac:dyDescent="0.3">
      <c r="A59" s="223" t="s">
        <v>1153</v>
      </c>
      <c r="B59" s="223" t="s">
        <v>1154</v>
      </c>
      <c r="C59" s="223" t="s">
        <v>1092</v>
      </c>
      <c r="D59" s="223" t="s">
        <v>21</v>
      </c>
      <c r="E59" s="223" t="s">
        <v>1096</v>
      </c>
      <c r="F59" s="224">
        <v>0.22698017689295735</v>
      </c>
      <c r="G59" s="224">
        <v>5.7655581516926457E-2</v>
      </c>
      <c r="H59" s="224">
        <v>3.2839356015747528E-2</v>
      </c>
      <c r="I59" s="224">
        <v>0</v>
      </c>
      <c r="J59" s="224">
        <v>0</v>
      </c>
      <c r="K59" s="224">
        <v>1.3517694630263845E-2</v>
      </c>
      <c r="L59" s="224">
        <v>3.0356133107149335E-2</v>
      </c>
      <c r="M59" s="224">
        <v>3.3500837520938024E-3</v>
      </c>
      <c r="N59" s="224">
        <v>0</v>
      </c>
      <c r="O59" s="224">
        <v>0</v>
      </c>
      <c r="P59" s="224">
        <v>1.5192736506310747E-2</v>
      </c>
      <c r="Q59" s="224">
        <v>1.7763979131325418E-2</v>
      </c>
      <c r="R59" s="224">
        <v>0</v>
      </c>
      <c r="S59" s="224">
        <v>1.0887772194304857E-2</v>
      </c>
      <c r="T59" s="224">
        <v>2.189290401049835E-2</v>
      </c>
      <c r="U59" s="224">
        <v>0</v>
      </c>
      <c r="V59" s="224">
        <v>1.0946452005249175E-2</v>
      </c>
      <c r="W59" s="224">
        <v>1.9380341196428001E-2</v>
      </c>
      <c r="X59" s="224">
        <v>1.0050251256281407E-2</v>
      </c>
      <c r="Y59" s="224">
        <v>0</v>
      </c>
      <c r="Z59" s="224">
        <v>0</v>
      </c>
      <c r="AA59" s="224">
        <v>0</v>
      </c>
      <c r="AB59" s="224">
        <v>0</v>
      </c>
      <c r="AC59" s="224">
        <v>0</v>
      </c>
      <c r="AD59" s="224">
        <v>3.3500837520938024E-3</v>
      </c>
      <c r="AE59" s="224">
        <v>1.6867778382357645E-2</v>
      </c>
      <c r="AF59" s="224">
        <v>1.7763979131325418E-2</v>
      </c>
      <c r="AG59" s="224">
        <v>2.1055383072474902E-2</v>
      </c>
      <c r="AH59" s="224">
        <v>1.0167610878170044E-2</v>
      </c>
      <c r="AI59" s="224">
        <v>1.9439021007372319E-2</v>
      </c>
      <c r="AJ59" s="224">
        <v>4.0795804926970311E-2</v>
      </c>
      <c r="AK59" s="224">
        <v>1.1842652754216944E-2</v>
      </c>
      <c r="AL59" s="224">
        <v>1.0946452005249175E-2</v>
      </c>
      <c r="AM59" s="224">
        <v>0</v>
      </c>
      <c r="AN59" s="224">
        <v>1.5192736506310747E-2</v>
      </c>
      <c r="AO59" s="224">
        <v>1.9439021007372319E-2</v>
      </c>
      <c r="AP59" s="224">
        <v>3.3500837520938024E-3</v>
      </c>
      <c r="AQ59" s="224">
        <v>1.0108931067225725E-2</v>
      </c>
      <c r="AR59" s="224">
        <v>1.5192736506310747E-2</v>
      </c>
      <c r="AS59" s="224">
        <v>3.457307770273875E-2</v>
      </c>
      <c r="AT59" s="224">
        <v>1.8542820258404549E-2</v>
      </c>
      <c r="AU59" s="224">
        <v>0</v>
      </c>
      <c r="AV59" s="224">
        <v>1.2680173692240395E-2</v>
      </c>
      <c r="AW59" s="224">
        <v>2.0695302414407493E-2</v>
      </c>
      <c r="AX59" s="224">
        <v>1.3517694630263845E-2</v>
      </c>
      <c r="AY59" s="224">
        <v>1.7705299320381097E-2</v>
      </c>
      <c r="AZ59" s="224">
        <v>1.1842652754216944E-2</v>
      </c>
      <c r="BA59" s="224">
        <v>0</v>
      </c>
      <c r="BB59" s="224">
        <v>0</v>
      </c>
      <c r="BC59" s="224">
        <v>1.5192736506310747E-2</v>
      </c>
      <c r="BD59" s="224">
        <v>5.2994537443053907E-2</v>
      </c>
      <c r="BE59" s="224">
        <v>0</v>
      </c>
      <c r="BF59" s="224">
        <v>2.7366130013122936E-2</v>
      </c>
      <c r="BG59" s="224">
        <v>0</v>
      </c>
      <c r="BH59" s="224">
        <v>1.2981574539363484E-2</v>
      </c>
      <c r="BI59" s="224">
        <v>0</v>
      </c>
      <c r="BJ59" s="224">
        <v>0</v>
      </c>
      <c r="BK59" s="224">
        <v>1.6750418760469012E-3</v>
      </c>
      <c r="BL59" s="224">
        <v>4.6357050646011373E-3</v>
      </c>
      <c r="BM59" s="224">
        <v>8.4045492857066657E-3</v>
      </c>
      <c r="BN59" s="224">
        <v>6.3107469406480377E-3</v>
      </c>
      <c r="BO59" s="224">
        <v>7.1482678786714896E-3</v>
      </c>
      <c r="BP59" s="224">
        <v>5.0251256281407036E-3</v>
      </c>
      <c r="BQ59" s="224">
        <v>5.4732260026245875E-3</v>
      </c>
      <c r="BR59" s="224">
        <v>7.537688442211055E-3</v>
      </c>
      <c r="BS59" s="224">
        <v>9.66083069274184E-3</v>
      </c>
      <c r="BT59" s="224">
        <v>0</v>
      </c>
      <c r="BU59" s="224">
        <v>0</v>
      </c>
      <c r="BV59" s="224">
        <v>8.8233097547183899E-3</v>
      </c>
      <c r="BW59" s="224">
        <v>8.375209380234506E-4</v>
      </c>
      <c r="BX59" s="224">
        <v>1.6750418760469012E-3</v>
      </c>
      <c r="BY59" s="224">
        <v>1.6750418760469012E-3</v>
      </c>
      <c r="BZ59" s="224">
        <v>1.6750418760469012E-3</v>
      </c>
      <c r="CA59" s="224">
        <v>1.6750418760469012E-3</v>
      </c>
      <c r="CB59" s="224">
        <v>8.375209380234506E-4</v>
      </c>
      <c r="CC59" s="224">
        <v>8.375209380234506E-4</v>
      </c>
      <c r="CD59" s="224">
        <v>8.375209380234506E-4</v>
      </c>
      <c r="CE59" s="224">
        <v>0</v>
      </c>
      <c r="CF59" s="224">
        <v>0</v>
      </c>
      <c r="CG59" s="224">
        <v>8.375209380234506E-4</v>
      </c>
      <c r="CH59" s="224">
        <v>0</v>
      </c>
      <c r="CI59" s="224">
        <v>0</v>
      </c>
      <c r="CJ59" s="224">
        <v>0</v>
      </c>
      <c r="CK59" s="224">
        <v>0</v>
      </c>
      <c r="CL59" s="224">
        <v>0</v>
      </c>
      <c r="CM59" s="224">
        <v>0</v>
      </c>
      <c r="CN59" s="224">
        <v>0</v>
      </c>
      <c r="CO59" s="224">
        <v>0</v>
      </c>
      <c r="CP59" s="224">
        <v>0</v>
      </c>
      <c r="CQ59" s="224">
        <v>0</v>
      </c>
      <c r="CR59" s="224">
        <v>0</v>
      </c>
      <c r="CS59" s="224">
        <v>0</v>
      </c>
      <c r="CT59" s="224">
        <v>0</v>
      </c>
      <c r="CU59" s="224">
        <v>0</v>
      </c>
      <c r="CV59" s="224">
        <v>0</v>
      </c>
      <c r="CW59" s="224">
        <v>0</v>
      </c>
      <c r="CX59" s="224">
        <v>0</v>
      </c>
      <c r="CY59" s="224">
        <v>0</v>
      </c>
      <c r="CZ59" s="224">
        <v>0</v>
      </c>
      <c r="DA59" s="224">
        <v>0</v>
      </c>
      <c r="DB59" s="224">
        <v>0</v>
      </c>
      <c r="DC59" s="224">
        <v>0</v>
      </c>
      <c r="DD59" s="224">
        <v>0</v>
      </c>
      <c r="DE59" s="224">
        <v>0</v>
      </c>
      <c r="DF59" s="224">
        <v>0</v>
      </c>
      <c r="DG59" s="224">
        <v>0</v>
      </c>
      <c r="DH59" s="224">
        <v>0</v>
      </c>
      <c r="DI59" s="224">
        <v>0</v>
      </c>
      <c r="DJ59" s="224">
        <v>0</v>
      </c>
      <c r="DK59" s="224">
        <v>0</v>
      </c>
      <c r="DL59" s="224">
        <v>0</v>
      </c>
      <c r="DM59" s="224">
        <v>0</v>
      </c>
      <c r="DN59" s="224">
        <v>0</v>
      </c>
      <c r="DO59" s="224">
        <v>0</v>
      </c>
      <c r="DP59" s="224">
        <v>0</v>
      </c>
      <c r="DQ59" s="224">
        <f t="shared" si="0"/>
        <v>1</v>
      </c>
    </row>
    <row r="60" spans="1:121" x14ac:dyDescent="0.3">
      <c r="A60" s="223" t="s">
        <v>1155</v>
      </c>
      <c r="B60" s="223" t="s">
        <v>1154</v>
      </c>
      <c r="C60" s="223" t="s">
        <v>1089</v>
      </c>
      <c r="D60" s="223" t="s">
        <v>21</v>
      </c>
      <c r="E60" s="223" t="s">
        <v>1090</v>
      </c>
      <c r="F60" s="224">
        <v>0.12027442180950954</v>
      </c>
      <c r="G60" s="224">
        <v>6.3112041306377653E-2</v>
      </c>
      <c r="H60" s="224">
        <v>2.9087232763747681E-2</v>
      </c>
      <c r="I60" s="224">
        <v>6.3311174422285533E-4</v>
      </c>
      <c r="J60" s="224">
        <v>1.1982066780828391E-2</v>
      </c>
      <c r="K60" s="224">
        <v>2.904239626614356E-2</v>
      </c>
      <c r="L60" s="224">
        <v>3.6673316653093035E-2</v>
      </c>
      <c r="M60" s="224">
        <v>2.442002442002442E-3</v>
      </c>
      <c r="N60" s="224">
        <v>0</v>
      </c>
      <c r="O60" s="224">
        <v>1.1178567986894093E-2</v>
      </c>
      <c r="P60" s="224">
        <v>3.3925318070148654E-2</v>
      </c>
      <c r="Q60" s="224">
        <v>1.5745668586970941E-2</v>
      </c>
      <c r="R60" s="224">
        <v>3.5700695410144537E-3</v>
      </c>
      <c r="S60" s="224">
        <v>1.5878239361287579E-2</v>
      </c>
      <c r="T60" s="224">
        <v>8.9187013207180452E-3</v>
      </c>
      <c r="U60" s="224">
        <v>0</v>
      </c>
      <c r="V60" s="224">
        <v>7.5497338529337361E-3</v>
      </c>
      <c r="W60" s="224">
        <v>1.2891420820328089E-2</v>
      </c>
      <c r="X60" s="224">
        <v>1.4098158428055335E-3</v>
      </c>
      <c r="Y60" s="224">
        <v>1.8327605956471937E-2</v>
      </c>
      <c r="Z60" s="224">
        <v>7.6365024818633069E-3</v>
      </c>
      <c r="AA60" s="224">
        <v>0</v>
      </c>
      <c r="AB60" s="224">
        <v>0</v>
      </c>
      <c r="AC60" s="224">
        <v>0</v>
      </c>
      <c r="AD60" s="224">
        <v>4.8538953983829243E-3</v>
      </c>
      <c r="AE60" s="224">
        <v>9.4301849695214036E-3</v>
      </c>
      <c r="AF60" s="224">
        <v>6.141907092255431E-3</v>
      </c>
      <c r="AG60" s="224">
        <v>2.8795069707537528E-2</v>
      </c>
      <c r="AH60" s="224">
        <v>1.4367463835570915E-2</v>
      </c>
      <c r="AI60" s="224">
        <v>2.0944980418493565E-2</v>
      </c>
      <c r="AJ60" s="224">
        <v>4.2647233001454864E-2</v>
      </c>
      <c r="AK60" s="224">
        <v>1.0302849480018104E-2</v>
      </c>
      <c r="AL60" s="224">
        <v>5.8365882268664893E-3</v>
      </c>
      <c r="AM60" s="224">
        <v>7.4074074074074077E-3</v>
      </c>
      <c r="AN60" s="224">
        <v>4.2393852840270564E-2</v>
      </c>
      <c r="AO60" s="224">
        <v>1.9942235759965701E-2</v>
      </c>
      <c r="AP60" s="224">
        <v>2.379156790921497E-3</v>
      </c>
      <c r="AQ60" s="224">
        <v>9.8635002466653365E-3</v>
      </c>
      <c r="AR60" s="224">
        <v>4.2867110602276139E-2</v>
      </c>
      <c r="AS60" s="224">
        <v>3.7178664247264084E-2</v>
      </c>
      <c r="AT60" s="224">
        <v>1.234317308693597E-2</v>
      </c>
      <c r="AU60" s="224">
        <v>0</v>
      </c>
      <c r="AV60" s="224">
        <v>8.0005428004670601E-3</v>
      </c>
      <c r="AW60" s="224">
        <v>1.2212514835493852E-2</v>
      </c>
      <c r="AX60" s="224">
        <v>1.2013539601143642E-2</v>
      </c>
      <c r="AY60" s="224">
        <v>2.4107346948602889E-2</v>
      </c>
      <c r="AZ60" s="224">
        <v>9.0465067826130483E-3</v>
      </c>
      <c r="BA60" s="224">
        <v>1.2334971571745205E-2</v>
      </c>
      <c r="BB60" s="224">
        <v>1.5189087354035807E-3</v>
      </c>
      <c r="BC60" s="224">
        <v>2.0313917092717973E-2</v>
      </c>
      <c r="BD60" s="224">
        <v>8.4437047986914662E-2</v>
      </c>
      <c r="BE60" s="224">
        <v>0</v>
      </c>
      <c r="BF60" s="224">
        <v>2.5605968785475889E-2</v>
      </c>
      <c r="BG60" s="224">
        <v>0</v>
      </c>
      <c r="BH60" s="224">
        <v>7.575106065818139E-3</v>
      </c>
      <c r="BI60" s="224">
        <v>0</v>
      </c>
      <c r="BJ60" s="224">
        <v>0</v>
      </c>
      <c r="BK60" s="224">
        <v>0</v>
      </c>
      <c r="BL60" s="224">
        <v>0</v>
      </c>
      <c r="BM60" s="224">
        <v>1.9273393080851884E-3</v>
      </c>
      <c r="BN60" s="224">
        <v>0</v>
      </c>
      <c r="BO60" s="224">
        <v>4.6256143394044526E-3</v>
      </c>
      <c r="BP60" s="224">
        <v>3.0837428929363013E-3</v>
      </c>
      <c r="BQ60" s="224">
        <v>3.0837428929363013E-3</v>
      </c>
      <c r="BR60" s="224">
        <v>0</v>
      </c>
      <c r="BS60" s="224">
        <v>0</v>
      </c>
      <c r="BT60" s="224">
        <v>0</v>
      </c>
      <c r="BU60" s="224">
        <v>0</v>
      </c>
      <c r="BV60" s="224">
        <v>0</v>
      </c>
      <c r="BW60" s="224">
        <v>0</v>
      </c>
      <c r="BX60" s="224">
        <v>3.0837428929363013E-3</v>
      </c>
      <c r="BY60" s="224">
        <v>0</v>
      </c>
      <c r="BZ60" s="224">
        <v>3.469210754553339E-3</v>
      </c>
      <c r="CA60" s="224">
        <v>0</v>
      </c>
      <c r="CB60" s="224">
        <v>0</v>
      </c>
      <c r="CC60" s="224">
        <v>0</v>
      </c>
      <c r="CD60" s="224">
        <v>0</v>
      </c>
      <c r="CE60" s="224">
        <v>0</v>
      </c>
      <c r="CF60" s="224">
        <v>0</v>
      </c>
      <c r="CG60" s="224">
        <v>0</v>
      </c>
      <c r="CH60" s="224">
        <v>8.9067022934758398E-3</v>
      </c>
      <c r="CI60" s="224">
        <v>2.22667557336896E-3</v>
      </c>
      <c r="CJ60" s="224">
        <v>2.22667557336896E-3</v>
      </c>
      <c r="CK60" s="224">
        <v>0</v>
      </c>
      <c r="CL60" s="224">
        <v>0</v>
      </c>
      <c r="CM60" s="224">
        <v>0</v>
      </c>
      <c r="CN60" s="224">
        <v>0</v>
      </c>
      <c r="CO60" s="224">
        <v>2.22667557336896E-3</v>
      </c>
      <c r="CP60" s="224">
        <v>0</v>
      </c>
      <c r="CQ60" s="224">
        <v>0</v>
      </c>
      <c r="CR60" s="224">
        <v>0</v>
      </c>
      <c r="CS60" s="224">
        <v>0</v>
      </c>
      <c r="CT60" s="224">
        <v>0</v>
      </c>
      <c r="CU60" s="224">
        <v>0</v>
      </c>
      <c r="CV60" s="224">
        <v>0</v>
      </c>
      <c r="CW60" s="224">
        <v>0</v>
      </c>
      <c r="CX60" s="224">
        <v>0</v>
      </c>
      <c r="CY60" s="224">
        <v>0</v>
      </c>
      <c r="CZ60" s="224">
        <v>0</v>
      </c>
      <c r="DA60" s="224">
        <v>0</v>
      </c>
      <c r="DB60" s="224">
        <v>0</v>
      </c>
      <c r="DC60" s="224">
        <v>0</v>
      </c>
      <c r="DD60" s="224">
        <v>0</v>
      </c>
      <c r="DE60" s="224">
        <v>0</v>
      </c>
      <c r="DF60" s="224">
        <v>0</v>
      </c>
      <c r="DG60" s="224">
        <v>0</v>
      </c>
      <c r="DH60" s="224">
        <v>0</v>
      </c>
      <c r="DI60" s="224">
        <v>0</v>
      </c>
      <c r="DJ60" s="224">
        <v>0</v>
      </c>
      <c r="DK60" s="224">
        <v>0</v>
      </c>
      <c r="DL60" s="224">
        <v>0</v>
      </c>
      <c r="DM60" s="224">
        <v>0</v>
      </c>
      <c r="DN60" s="224">
        <v>0</v>
      </c>
      <c r="DO60" s="224">
        <v>0</v>
      </c>
      <c r="DP60" s="224">
        <v>0</v>
      </c>
      <c r="DQ60" s="224">
        <f t="shared" si="0"/>
        <v>1.0000000000000002</v>
      </c>
    </row>
    <row r="61" spans="1:121" x14ac:dyDescent="0.3">
      <c r="A61" s="223" t="s">
        <v>1156</v>
      </c>
      <c r="B61" s="223" t="s">
        <v>1154</v>
      </c>
      <c r="C61" s="223" t="s">
        <v>1089</v>
      </c>
      <c r="D61" s="223" t="s">
        <v>21</v>
      </c>
      <c r="E61" s="223" t="s">
        <v>1096</v>
      </c>
      <c r="F61" s="224">
        <v>4.7609679323234309E-2</v>
      </c>
      <c r="G61" s="224">
        <v>3.9683768974382874E-2</v>
      </c>
      <c r="H61" s="224">
        <v>1.4170969343014031E-2</v>
      </c>
      <c r="I61" s="224">
        <v>0</v>
      </c>
      <c r="J61" s="224">
        <v>0</v>
      </c>
      <c r="K61" s="224">
        <v>9.0672570028113384E-3</v>
      </c>
      <c r="L61" s="224">
        <v>1.1151457159005599E-2</v>
      </c>
      <c r="M61" s="224">
        <v>3.1477473932716902E-3</v>
      </c>
      <c r="N61" s="224">
        <v>1.4296725817615494E-2</v>
      </c>
      <c r="O61" s="224">
        <v>2.8725314183123875E-3</v>
      </c>
      <c r="P61" s="224">
        <v>2.0769720413719456E-2</v>
      </c>
      <c r="Q61" s="224">
        <v>1.2634986611121881E-2</v>
      </c>
      <c r="R61" s="224">
        <v>2.0984982621811265E-3</v>
      </c>
      <c r="S61" s="224">
        <v>5.7450628366247751E-3</v>
      </c>
      <c r="T61" s="224">
        <v>1.149012567324955E-2</v>
      </c>
      <c r="U61" s="224">
        <v>0</v>
      </c>
      <c r="V61" s="224">
        <v>1.5481678503507826E-2</v>
      </c>
      <c r="W61" s="224">
        <v>1.3373033235187326E-2</v>
      </c>
      <c r="X61" s="224">
        <v>1.5628117108773071E-2</v>
      </c>
      <c r="Y61" s="224">
        <v>0</v>
      </c>
      <c r="Z61" s="224">
        <v>2.2022740873728307E-2</v>
      </c>
      <c r="AA61" s="224">
        <v>0</v>
      </c>
      <c r="AB61" s="224">
        <v>0</v>
      </c>
      <c r="AC61" s="224">
        <v>7.7556955889481333E-3</v>
      </c>
      <c r="AD61" s="224">
        <v>3.2443555471100734E-2</v>
      </c>
      <c r="AE61" s="224">
        <v>9.3924475228847112E-3</v>
      </c>
      <c r="AF61" s="224">
        <v>6.9986713409577218E-3</v>
      </c>
      <c r="AG61" s="224">
        <v>2.173520925090644E-2</v>
      </c>
      <c r="AH61" s="224">
        <v>1.425472963691761E-2</v>
      </c>
      <c r="AI61" s="224">
        <v>1.3940506234799898E-2</v>
      </c>
      <c r="AJ61" s="224">
        <v>6.2749461015359526E-2</v>
      </c>
      <c r="AK61" s="224">
        <v>4.5002528085243037E-3</v>
      </c>
      <c r="AL61" s="224">
        <v>4.1651473498037434E-3</v>
      </c>
      <c r="AM61" s="224">
        <v>2.5852318629827112E-3</v>
      </c>
      <c r="AN61" s="224">
        <v>1.6621581972056564E-2</v>
      </c>
      <c r="AO61" s="224">
        <v>2.890445421631704E-2</v>
      </c>
      <c r="AP61" s="224">
        <v>5.5085579382254573E-3</v>
      </c>
      <c r="AQ61" s="224">
        <v>8.6972493328865558E-3</v>
      </c>
      <c r="AR61" s="224">
        <v>3.7243779459649184E-2</v>
      </c>
      <c r="AS61" s="224">
        <v>4.984990564975203E-2</v>
      </c>
      <c r="AT61" s="224">
        <v>1.4916962189942541E-2</v>
      </c>
      <c r="AU61" s="224">
        <v>0</v>
      </c>
      <c r="AV61" s="224">
        <v>1.7119282690813812E-2</v>
      </c>
      <c r="AW61" s="224">
        <v>1.4725506508886821E-2</v>
      </c>
      <c r="AX61" s="224">
        <v>1.026921859684452E-2</v>
      </c>
      <c r="AY61" s="224">
        <v>5.463172631635943E-2</v>
      </c>
      <c r="AZ61" s="224">
        <v>3.2076368770329478E-3</v>
      </c>
      <c r="BA61" s="224">
        <v>0</v>
      </c>
      <c r="BB61" s="224">
        <v>0</v>
      </c>
      <c r="BC61" s="224">
        <v>3.8891266444049243E-2</v>
      </c>
      <c r="BD61" s="224">
        <v>9.8194561279755718E-2</v>
      </c>
      <c r="BE61" s="224">
        <v>0</v>
      </c>
      <c r="BF61" s="224">
        <v>1.6898734521246867E-2</v>
      </c>
      <c r="BG61" s="224">
        <v>0</v>
      </c>
      <c r="BH61" s="224">
        <v>6.4630796574567774E-3</v>
      </c>
      <c r="BI61" s="224">
        <v>0</v>
      </c>
      <c r="BJ61" s="224">
        <v>0</v>
      </c>
      <c r="BK61" s="224">
        <v>1.1082693947144076E-2</v>
      </c>
      <c r="BL61" s="224">
        <v>6.4630796574567781E-4</v>
      </c>
      <c r="BM61" s="224">
        <v>9.958394004174427E-3</v>
      </c>
      <c r="BN61" s="224">
        <v>4.4498360659489698E-3</v>
      </c>
      <c r="BO61" s="224">
        <v>8.5156764489249023E-3</v>
      </c>
      <c r="BP61" s="224">
        <v>0</v>
      </c>
      <c r="BQ61" s="224">
        <v>5.8925536211984946E-3</v>
      </c>
      <c r="BR61" s="224">
        <v>4.4498360659489698E-3</v>
      </c>
      <c r="BS61" s="224">
        <v>7.5975834592206595E-3</v>
      </c>
      <c r="BT61" s="224">
        <v>0</v>
      </c>
      <c r="BU61" s="224">
        <v>0</v>
      </c>
      <c r="BV61" s="224">
        <v>2.5725057574425905E-2</v>
      </c>
      <c r="BW61" s="224">
        <v>6.4630796574567781E-4</v>
      </c>
      <c r="BX61" s="224">
        <v>1.6385044932104131E-2</v>
      </c>
      <c r="BY61" s="224">
        <v>4.4498360659489698E-3</v>
      </c>
      <c r="BZ61" s="224">
        <v>8.5156764489249023E-3</v>
      </c>
      <c r="CA61" s="224">
        <v>0</v>
      </c>
      <c r="CB61" s="224">
        <v>5.8925536211984946E-3</v>
      </c>
      <c r="CC61" s="224">
        <v>4.4498360659489698E-3</v>
      </c>
      <c r="CD61" s="224">
        <v>5.8925536211984946E-3</v>
      </c>
      <c r="CE61" s="224">
        <v>0</v>
      </c>
      <c r="CF61" s="224">
        <v>0</v>
      </c>
      <c r="CG61" s="224">
        <v>1.1541740441996197E-2</v>
      </c>
      <c r="CH61" s="224">
        <v>0</v>
      </c>
      <c r="CI61" s="224">
        <v>0</v>
      </c>
      <c r="CJ61" s="224">
        <v>0</v>
      </c>
      <c r="CK61" s="224">
        <v>0</v>
      </c>
      <c r="CL61" s="224">
        <v>0</v>
      </c>
      <c r="CM61" s="224">
        <v>0</v>
      </c>
      <c r="CN61" s="224">
        <v>0</v>
      </c>
      <c r="CO61" s="224">
        <v>0</v>
      </c>
      <c r="CP61" s="224">
        <v>0</v>
      </c>
      <c r="CQ61" s="224">
        <v>0</v>
      </c>
      <c r="CR61" s="224">
        <v>0</v>
      </c>
      <c r="CS61" s="224">
        <v>0</v>
      </c>
      <c r="CT61" s="224">
        <v>0</v>
      </c>
      <c r="CU61" s="224">
        <v>0</v>
      </c>
      <c r="CV61" s="224">
        <v>0</v>
      </c>
      <c r="CW61" s="224">
        <v>0</v>
      </c>
      <c r="CX61" s="224">
        <v>0</v>
      </c>
      <c r="CY61" s="224">
        <v>0</v>
      </c>
      <c r="CZ61" s="224">
        <v>0</v>
      </c>
      <c r="DA61" s="224">
        <v>0</v>
      </c>
      <c r="DB61" s="224">
        <v>0</v>
      </c>
      <c r="DC61" s="224">
        <v>0</v>
      </c>
      <c r="DD61" s="224">
        <v>0</v>
      </c>
      <c r="DE61" s="224">
        <v>0</v>
      </c>
      <c r="DF61" s="224">
        <v>0</v>
      </c>
      <c r="DG61" s="224">
        <v>0</v>
      </c>
      <c r="DH61" s="224">
        <v>0</v>
      </c>
      <c r="DI61" s="224">
        <v>0</v>
      </c>
      <c r="DJ61" s="224">
        <v>0</v>
      </c>
      <c r="DK61" s="224">
        <v>0</v>
      </c>
      <c r="DL61" s="224">
        <v>0</v>
      </c>
      <c r="DM61" s="224">
        <v>0</v>
      </c>
      <c r="DN61" s="224">
        <v>0</v>
      </c>
      <c r="DO61" s="224">
        <v>0</v>
      </c>
      <c r="DP61" s="224">
        <v>0</v>
      </c>
      <c r="DQ61" s="224">
        <f t="shared" si="0"/>
        <v>0.99999999999999989</v>
      </c>
    </row>
    <row r="62" spans="1:121" x14ac:dyDescent="0.3">
      <c r="A62" s="223" t="s">
        <v>1157</v>
      </c>
      <c r="B62" s="223" t="s">
        <v>1154</v>
      </c>
      <c r="C62" s="223" t="s">
        <v>1086</v>
      </c>
      <c r="D62" s="223" t="s">
        <v>1087</v>
      </c>
      <c r="E62" s="223" t="s">
        <v>27</v>
      </c>
      <c r="F62" s="224">
        <v>0.25542310348310232</v>
      </c>
      <c r="G62" s="224">
        <v>6.288682364951477E-2</v>
      </c>
      <c r="H62" s="224">
        <v>9.211958184984782E-3</v>
      </c>
      <c r="I62" s="224">
        <v>0</v>
      </c>
      <c r="J62" s="224">
        <v>3.2295271049596307E-3</v>
      </c>
      <c r="K62" s="224">
        <v>6.5834870637028961E-3</v>
      </c>
      <c r="L62" s="224">
        <v>6.1919735330504197E-3</v>
      </c>
      <c r="M62" s="224">
        <v>4.5983480350424511E-3</v>
      </c>
      <c r="N62" s="224">
        <v>9.1966960700849022E-3</v>
      </c>
      <c r="O62" s="224">
        <v>1.3155222248261855E-2</v>
      </c>
      <c r="P62" s="224">
        <v>6.8567223708208306E-3</v>
      </c>
      <c r="Q62" s="224">
        <v>6.8567223708208306E-3</v>
      </c>
      <c r="R62" s="224">
        <v>0</v>
      </c>
      <c r="S62" s="224">
        <v>1.845444059976932E-3</v>
      </c>
      <c r="T62" s="224">
        <v>0</v>
      </c>
      <c r="U62" s="224">
        <v>6.3745019920318719E-3</v>
      </c>
      <c r="V62" s="224">
        <v>3.8267675599124068E-3</v>
      </c>
      <c r="W62" s="224">
        <v>1.6145240051750706E-2</v>
      </c>
      <c r="X62" s="224">
        <v>6.4437920950193841E-3</v>
      </c>
      <c r="Y62" s="224">
        <v>4.2068345043899747E-3</v>
      </c>
      <c r="Z62" s="224">
        <v>2.8650418195787782E-2</v>
      </c>
      <c r="AA62" s="224">
        <v>5.5210700650309176E-3</v>
      </c>
      <c r="AB62" s="224">
        <v>0</v>
      </c>
      <c r="AC62" s="224">
        <v>2.639395162437189E-2</v>
      </c>
      <c r="AD62" s="224">
        <v>9.1890650126349646E-4</v>
      </c>
      <c r="AE62" s="224">
        <v>5.8080910598478823E-3</v>
      </c>
      <c r="AF62" s="224">
        <v>5.0112783108438985E-3</v>
      </c>
      <c r="AG62" s="224">
        <v>4.7456740611759038E-3</v>
      </c>
      <c r="AH62" s="224">
        <v>6.87050805851986E-3</v>
      </c>
      <c r="AI62" s="224">
        <v>5.9900621374750903E-3</v>
      </c>
      <c r="AJ62" s="224">
        <v>3.2180194601909164E-2</v>
      </c>
      <c r="AK62" s="224">
        <v>3.6348263233111386E-3</v>
      </c>
      <c r="AL62" s="224">
        <v>1.7893822633342066E-3</v>
      </c>
      <c r="AM62" s="224">
        <v>2.9078610586489111E-3</v>
      </c>
      <c r="AN62" s="224">
        <v>8.539578289764432E-3</v>
      </c>
      <c r="AO62" s="224">
        <v>2.054986513002201E-3</v>
      </c>
      <c r="AP62" s="224">
        <v>9.1890650126349646E-4</v>
      </c>
      <c r="AQ62" s="224">
        <v>5.3505455735786195E-3</v>
      </c>
      <c r="AR62" s="224">
        <v>2.0213298633303772E-2</v>
      </c>
      <c r="AS62" s="224">
        <v>1.1978647847749333E-2</v>
      </c>
      <c r="AT62" s="224">
        <v>1.1447439348413344E-2</v>
      </c>
      <c r="AU62" s="224">
        <v>1.6128557881173308E-3</v>
      </c>
      <c r="AV62" s="224">
        <v>7.767997814634389E-3</v>
      </c>
      <c r="AW62" s="224">
        <v>6.8452757846459225E-3</v>
      </c>
      <c r="AX62" s="224">
        <v>6.9864471805302824E-3</v>
      </c>
      <c r="AY62" s="224">
        <v>1.165845822863946E-2</v>
      </c>
      <c r="AZ62" s="224">
        <v>3.7569200755706508E-3</v>
      </c>
      <c r="BA62" s="224">
        <v>9.22722029988466E-3</v>
      </c>
      <c r="BB62" s="224">
        <v>9.1890650126349646E-4</v>
      </c>
      <c r="BC62" s="224">
        <v>6.2675443104796306E-3</v>
      </c>
      <c r="BD62" s="224">
        <v>2.021687030768626E-2</v>
      </c>
      <c r="BE62" s="224">
        <v>2.9835917665235159E-2</v>
      </c>
      <c r="BF62" s="224">
        <v>4.3579760592483965E-3</v>
      </c>
      <c r="BG62" s="224">
        <v>4.2731816338270716E-2</v>
      </c>
      <c r="BH62" s="224">
        <v>2.1286800553658298E-2</v>
      </c>
      <c r="BI62" s="224">
        <v>1.8700605541320109E-2</v>
      </c>
      <c r="BJ62" s="224">
        <v>1.2060499299620242E-2</v>
      </c>
      <c r="BK62" s="224">
        <v>3.1872509960159359E-3</v>
      </c>
      <c r="BL62" s="224">
        <v>7.4715640421976074E-3</v>
      </c>
      <c r="BM62" s="224">
        <v>1.2300592584737176E-2</v>
      </c>
      <c r="BN62" s="224">
        <v>1.4252284298427587E-2</v>
      </c>
      <c r="BO62" s="224">
        <v>8.0450486504772909E-3</v>
      </c>
      <c r="BP62" s="224">
        <v>1.845444059976932E-3</v>
      </c>
      <c r="BQ62" s="224">
        <v>5.5210700650309176E-3</v>
      </c>
      <c r="BR62" s="224">
        <v>8.2892361549963146E-3</v>
      </c>
      <c r="BS62" s="224">
        <v>8.2892361549963146E-3</v>
      </c>
      <c r="BT62" s="224">
        <v>0</v>
      </c>
      <c r="BU62" s="224">
        <v>8.9877109984138805E-3</v>
      </c>
      <c r="BV62" s="224">
        <v>1.9813234999354751E-3</v>
      </c>
      <c r="BW62" s="224">
        <v>7.6459040623748755E-3</v>
      </c>
      <c r="BX62" s="224">
        <v>1.5753169139743981E-2</v>
      </c>
      <c r="BY62" s="224">
        <v>1.715251429962656E-2</v>
      </c>
      <c r="BZ62" s="224">
        <v>7.1146955630388862E-3</v>
      </c>
      <c r="CA62" s="224">
        <v>1.845444059976932E-3</v>
      </c>
      <c r="CB62" s="224">
        <v>1.845444059976932E-3</v>
      </c>
      <c r="CC62" s="224">
        <v>1.586585011438368E-2</v>
      </c>
      <c r="CD62" s="224">
        <v>1.586585011438368E-2</v>
      </c>
      <c r="CE62" s="224">
        <v>0</v>
      </c>
      <c r="CF62" s="224">
        <v>1.6955838488453719E-2</v>
      </c>
      <c r="CG62" s="224">
        <v>1.593625498007968E-3</v>
      </c>
      <c r="CH62" s="224">
        <v>0</v>
      </c>
      <c r="CI62" s="224">
        <v>0</v>
      </c>
      <c r="CJ62" s="224">
        <v>0</v>
      </c>
      <c r="CK62" s="224">
        <v>0</v>
      </c>
      <c r="CL62" s="224">
        <v>0</v>
      </c>
      <c r="CM62" s="224">
        <v>0</v>
      </c>
      <c r="CN62" s="224">
        <v>0</v>
      </c>
      <c r="CO62" s="224">
        <v>0</v>
      </c>
      <c r="CP62" s="224">
        <v>0</v>
      </c>
      <c r="CQ62" s="224">
        <v>0</v>
      </c>
      <c r="CR62" s="224">
        <v>0</v>
      </c>
      <c r="CS62" s="224">
        <v>0</v>
      </c>
      <c r="CT62" s="224">
        <v>0</v>
      </c>
      <c r="CU62" s="224">
        <v>0</v>
      </c>
      <c r="CV62" s="224">
        <v>0</v>
      </c>
      <c r="CW62" s="224">
        <v>0</v>
      </c>
      <c r="CX62" s="224">
        <v>0</v>
      </c>
      <c r="CY62" s="224">
        <v>0</v>
      </c>
      <c r="CZ62" s="224">
        <v>0</v>
      </c>
      <c r="DA62" s="224">
        <v>0</v>
      </c>
      <c r="DB62" s="224">
        <v>0</v>
      </c>
      <c r="DC62" s="224">
        <v>0</v>
      </c>
      <c r="DD62" s="224">
        <v>0</v>
      </c>
      <c r="DE62" s="224">
        <v>0</v>
      </c>
      <c r="DF62" s="224">
        <v>0</v>
      </c>
      <c r="DG62" s="224">
        <v>0</v>
      </c>
      <c r="DH62" s="224">
        <v>0</v>
      </c>
      <c r="DI62" s="224">
        <v>0</v>
      </c>
      <c r="DJ62" s="224">
        <v>0</v>
      </c>
      <c r="DK62" s="224">
        <v>0</v>
      </c>
      <c r="DL62" s="224">
        <v>0</v>
      </c>
      <c r="DM62" s="224">
        <v>0</v>
      </c>
      <c r="DN62" s="224">
        <v>0</v>
      </c>
      <c r="DO62" s="224">
        <v>0</v>
      </c>
      <c r="DP62" s="224">
        <v>0</v>
      </c>
      <c r="DQ62" s="224">
        <f t="shared" si="0"/>
        <v>1</v>
      </c>
    </row>
    <row r="63" spans="1:121" x14ac:dyDescent="0.3">
      <c r="A63" s="223" t="s">
        <v>1158</v>
      </c>
      <c r="B63" s="223" t="s">
        <v>1154</v>
      </c>
      <c r="C63" s="223" t="s">
        <v>1095</v>
      </c>
      <c r="D63" s="223" t="s">
        <v>21</v>
      </c>
      <c r="E63" s="223" t="s">
        <v>1090</v>
      </c>
      <c r="F63" s="224">
        <v>0</v>
      </c>
      <c r="G63" s="224">
        <v>5.6866835232266266E-2</v>
      </c>
      <c r="H63" s="224">
        <v>1.5902617125411137E-2</v>
      </c>
      <c r="I63" s="224">
        <v>7.4280408542246983E-3</v>
      </c>
      <c r="J63" s="224">
        <v>0</v>
      </c>
      <c r="K63" s="224">
        <v>2.6595116561800053E-2</v>
      </c>
      <c r="L63" s="224">
        <v>4.4178660994632739E-2</v>
      </c>
      <c r="M63" s="224">
        <v>7.4280408542246983E-3</v>
      </c>
      <c r="N63" s="224">
        <v>0</v>
      </c>
      <c r="O63" s="224">
        <v>0</v>
      </c>
      <c r="P63" s="224">
        <v>1.9411883467319698E-2</v>
      </c>
      <c r="Q63" s="224">
        <v>5.6497175141242938E-3</v>
      </c>
      <c r="R63" s="224">
        <v>0</v>
      </c>
      <c r="S63" s="224">
        <v>7.4280408542246983E-3</v>
      </c>
      <c r="T63" s="224">
        <v>0</v>
      </c>
      <c r="U63" s="224">
        <v>1.8570102135561744E-2</v>
      </c>
      <c r="V63" s="224">
        <v>5.6934345205406946E-3</v>
      </c>
      <c r="W63" s="224">
        <v>3.3527635708409699E-2</v>
      </c>
      <c r="X63" s="224">
        <v>1.0292953285827395E-2</v>
      </c>
      <c r="Y63" s="224">
        <v>5.6497175141242938E-2</v>
      </c>
      <c r="Z63" s="224">
        <v>0</v>
      </c>
      <c r="AA63" s="224">
        <v>0</v>
      </c>
      <c r="AB63" s="224">
        <v>0</v>
      </c>
      <c r="AC63" s="224">
        <v>0</v>
      </c>
      <c r="AD63" s="224">
        <v>5.7288940778614274E-2</v>
      </c>
      <c r="AE63" s="224">
        <v>1.0048145526083054E-2</v>
      </c>
      <c r="AF63" s="224">
        <v>3.7140204271123491E-3</v>
      </c>
      <c r="AG63" s="224">
        <v>7.0333252553127376E-2</v>
      </c>
      <c r="AH63" s="224">
        <v>4.1099032457980182E-2</v>
      </c>
      <c r="AI63" s="224">
        <v>1.3762165953195404E-2</v>
      </c>
      <c r="AJ63" s="224">
        <v>8.0110264794225602E-2</v>
      </c>
      <c r="AK63" s="224">
        <v>1.2091200665619925E-2</v>
      </c>
      <c r="AL63" s="224">
        <v>1.7740918179744221E-2</v>
      </c>
      <c r="AM63" s="224">
        <v>1.266825019794141E-2</v>
      </c>
      <c r="AN63" s="224">
        <v>1.8570102135561746E-3</v>
      </c>
      <c r="AO63" s="224">
        <v>5.0240727630415268E-3</v>
      </c>
      <c r="AP63" s="224">
        <v>1.738875236747495E-2</v>
      </c>
      <c r="AQ63" s="224">
        <v>7.5017467177574369E-3</v>
      </c>
      <c r="AR63" s="224">
        <v>6.5938590670622618E-2</v>
      </c>
      <c r="AS63" s="224">
        <v>3.5589400007169668E-2</v>
      </c>
      <c r="AT63" s="224">
        <v>5.9919213065474999E-3</v>
      </c>
      <c r="AU63" s="224">
        <v>6.3341250989707052E-3</v>
      </c>
      <c r="AV63" s="224">
        <v>1.4856081708449397E-2</v>
      </c>
      <c r="AW63" s="224">
        <v>7.4280408542246983E-3</v>
      </c>
      <c r="AX63" s="224">
        <v>8.2591499283239198E-3</v>
      </c>
      <c r="AY63" s="224">
        <v>2.0135634488893991E-2</v>
      </c>
      <c r="AZ63" s="224">
        <v>1.1739034853350658E-2</v>
      </c>
      <c r="BA63" s="224">
        <v>0</v>
      </c>
      <c r="BB63" s="224">
        <v>3.5629453681710211E-3</v>
      </c>
      <c r="BC63" s="224">
        <v>4.3379568693509694E-2</v>
      </c>
      <c r="BD63" s="224">
        <v>9.3093262485990091E-2</v>
      </c>
      <c r="BE63" s="224">
        <v>0</v>
      </c>
      <c r="BF63" s="224">
        <v>1.7594216690491406E-2</v>
      </c>
      <c r="BG63" s="224">
        <v>0</v>
      </c>
      <c r="BH63" s="224">
        <v>0</v>
      </c>
      <c r="BI63" s="224">
        <v>0</v>
      </c>
      <c r="BJ63" s="224">
        <v>0</v>
      </c>
      <c r="BK63" s="224">
        <v>0</v>
      </c>
      <c r="BL63" s="224">
        <v>0</v>
      </c>
      <c r="BM63" s="224">
        <v>0</v>
      </c>
      <c r="BN63" s="224">
        <v>0</v>
      </c>
      <c r="BO63" s="224">
        <v>0</v>
      </c>
      <c r="BP63" s="224">
        <v>0</v>
      </c>
      <c r="BQ63" s="224">
        <v>0</v>
      </c>
      <c r="BR63" s="224">
        <v>0</v>
      </c>
      <c r="BS63" s="224">
        <v>0</v>
      </c>
      <c r="BT63" s="224">
        <v>0</v>
      </c>
      <c r="BU63" s="224">
        <v>0</v>
      </c>
      <c r="BV63" s="224">
        <v>0</v>
      </c>
      <c r="BW63" s="224">
        <v>0</v>
      </c>
      <c r="BX63" s="224">
        <v>0</v>
      </c>
      <c r="BY63" s="224">
        <v>0</v>
      </c>
      <c r="BZ63" s="224">
        <v>0</v>
      </c>
      <c r="CA63" s="224">
        <v>0</v>
      </c>
      <c r="CB63" s="224">
        <v>0</v>
      </c>
      <c r="CC63" s="224">
        <v>0</v>
      </c>
      <c r="CD63" s="224">
        <v>0</v>
      </c>
      <c r="CE63" s="224">
        <v>0</v>
      </c>
      <c r="CF63" s="224">
        <v>0</v>
      </c>
      <c r="CG63" s="224">
        <v>0</v>
      </c>
      <c r="CH63" s="224">
        <v>0</v>
      </c>
      <c r="CI63" s="224">
        <v>0</v>
      </c>
      <c r="CJ63" s="224">
        <v>0</v>
      </c>
      <c r="CK63" s="224">
        <v>0</v>
      </c>
      <c r="CL63" s="224">
        <v>0</v>
      </c>
      <c r="CM63" s="224">
        <v>0</v>
      </c>
      <c r="CN63" s="224">
        <v>0</v>
      </c>
      <c r="CO63" s="224">
        <v>0</v>
      </c>
      <c r="CP63" s="224">
        <v>0</v>
      </c>
      <c r="CQ63" s="224">
        <v>0</v>
      </c>
      <c r="CR63" s="224">
        <v>0</v>
      </c>
      <c r="CS63" s="224">
        <v>0</v>
      </c>
      <c r="CT63" s="224">
        <v>0</v>
      </c>
      <c r="CU63" s="224">
        <v>0</v>
      </c>
      <c r="CV63" s="224">
        <v>0</v>
      </c>
      <c r="CW63" s="224">
        <v>0</v>
      </c>
      <c r="CX63" s="224">
        <v>0</v>
      </c>
      <c r="CY63" s="224">
        <v>0</v>
      </c>
      <c r="CZ63" s="224">
        <v>0</v>
      </c>
      <c r="DA63" s="224">
        <v>0</v>
      </c>
      <c r="DB63" s="224">
        <v>0</v>
      </c>
      <c r="DC63" s="224">
        <v>0</v>
      </c>
      <c r="DD63" s="224">
        <v>0</v>
      </c>
      <c r="DE63" s="224">
        <v>0</v>
      </c>
      <c r="DF63" s="224">
        <v>0</v>
      </c>
      <c r="DG63" s="224">
        <v>0</v>
      </c>
      <c r="DH63" s="224">
        <v>0</v>
      </c>
      <c r="DI63" s="224">
        <v>0</v>
      </c>
      <c r="DJ63" s="224">
        <v>0</v>
      </c>
      <c r="DK63" s="224">
        <v>0</v>
      </c>
      <c r="DL63" s="224">
        <v>0</v>
      </c>
      <c r="DM63" s="224">
        <v>0</v>
      </c>
      <c r="DN63" s="224">
        <v>0</v>
      </c>
      <c r="DO63" s="224">
        <v>0</v>
      </c>
      <c r="DP63" s="224">
        <v>0</v>
      </c>
      <c r="DQ63" s="224">
        <f t="shared" si="0"/>
        <v>0.99999999999999978</v>
      </c>
    </row>
    <row r="64" spans="1:121" x14ac:dyDescent="0.3">
      <c r="A64" s="223" t="s">
        <v>1159</v>
      </c>
      <c r="B64" s="223" t="s">
        <v>1154</v>
      </c>
      <c r="C64" s="223" t="s">
        <v>1092</v>
      </c>
      <c r="D64" s="223" t="s">
        <v>1087</v>
      </c>
      <c r="E64" s="223" t="s">
        <v>1093</v>
      </c>
      <c r="F64" s="224">
        <v>0.24414091592625786</v>
      </c>
      <c r="G64" s="224">
        <v>5.3365403158355321E-2</v>
      </c>
      <c r="H64" s="224">
        <v>8.7211760337103737E-3</v>
      </c>
      <c r="I64" s="224">
        <v>1.0682910388008649E-3</v>
      </c>
      <c r="J64" s="224">
        <v>0</v>
      </c>
      <c r="K64" s="224">
        <v>2.8945426379061788E-3</v>
      </c>
      <c r="L64" s="224">
        <v>1.0800074955119407E-2</v>
      </c>
      <c r="M64" s="224">
        <v>5.3496048758257028E-3</v>
      </c>
      <c r="N64" s="224">
        <v>2.3830160707335773E-2</v>
      </c>
      <c r="O64" s="224">
        <v>1.3373800543474059E-3</v>
      </c>
      <c r="P64" s="224">
        <v>3.8848579542053296E-3</v>
      </c>
      <c r="Q64" s="224">
        <v>3.7773853179806456E-3</v>
      </c>
      <c r="R64" s="224">
        <v>7.1219402586724333E-4</v>
      </c>
      <c r="S64" s="224">
        <v>3.0081177234096432E-3</v>
      </c>
      <c r="T64" s="224">
        <v>5.5064088799028372E-3</v>
      </c>
      <c r="U64" s="224">
        <v>0</v>
      </c>
      <c r="V64" s="224">
        <v>4.5040894818120028E-3</v>
      </c>
      <c r="W64" s="224">
        <v>6.4359363402740049E-3</v>
      </c>
      <c r="X64" s="224">
        <v>3.0816003241649777E-3</v>
      </c>
      <c r="Y64" s="224">
        <v>9.1684053733995415E-3</v>
      </c>
      <c r="Z64" s="224">
        <v>3.0387079722915263E-2</v>
      </c>
      <c r="AA64" s="224">
        <v>0</v>
      </c>
      <c r="AB64" s="224">
        <v>3.8992622916231572E-3</v>
      </c>
      <c r="AC64" s="224">
        <v>0</v>
      </c>
      <c r="AD64" s="224">
        <v>7.0471127125678701E-4</v>
      </c>
      <c r="AE64" s="224">
        <v>1.7907904440118375E-3</v>
      </c>
      <c r="AF64" s="224">
        <v>4.3576782290395677E-4</v>
      </c>
      <c r="AG64" s="224">
        <v>2.9828335821775638E-3</v>
      </c>
      <c r="AH64" s="224">
        <v>3.0616620078134449E-3</v>
      </c>
      <c r="AI64" s="224">
        <v>3.9229852953825105E-3</v>
      </c>
      <c r="AJ64" s="224">
        <v>1.5463148018416101E-2</v>
      </c>
      <c r="AK64" s="224">
        <v>3.6848575027416267E-3</v>
      </c>
      <c r="AL64" s="224">
        <v>3.7625687861949407E-3</v>
      </c>
      <c r="AM64" s="224">
        <v>3.1674593433503135E-3</v>
      </c>
      <c r="AN64" s="224">
        <v>1.3756691124967763E-2</v>
      </c>
      <c r="AO64" s="224">
        <v>1.0432250855393335E-2</v>
      </c>
      <c r="AP64" s="224">
        <v>1.3583630056127223E-3</v>
      </c>
      <c r="AQ64" s="224">
        <v>3.6229330501635821E-3</v>
      </c>
      <c r="AR64" s="224">
        <v>6.9862199185642447E-3</v>
      </c>
      <c r="AS64" s="224">
        <v>1.4893039171205968E-2</v>
      </c>
      <c r="AT64" s="224">
        <v>5.8200780584091207E-3</v>
      </c>
      <c r="AU64" s="224">
        <v>1.743071291615827E-4</v>
      </c>
      <c r="AV64" s="224">
        <v>2.6520207104760215E-3</v>
      </c>
      <c r="AW64" s="224">
        <v>2.5934784189647134E-3</v>
      </c>
      <c r="AX64" s="224">
        <v>1.2931399450917314E-3</v>
      </c>
      <c r="AY64" s="224">
        <v>3.5116459767087424E-3</v>
      </c>
      <c r="AZ64" s="224">
        <v>2.4673733339670308E-3</v>
      </c>
      <c r="BA64" s="224">
        <v>7.1219402586724333E-4</v>
      </c>
      <c r="BB64" s="224">
        <v>7.0471127125678701E-4</v>
      </c>
      <c r="BC64" s="224">
        <v>1.3020456483755877E-2</v>
      </c>
      <c r="BD64" s="224">
        <v>1.6115438681565022E-2</v>
      </c>
      <c r="BE64" s="224">
        <v>3.2750407028649169E-2</v>
      </c>
      <c r="BF64" s="224">
        <v>5.0823062737818713E-3</v>
      </c>
      <c r="BG64" s="224">
        <v>1.9263411138757364E-2</v>
      </c>
      <c r="BH64" s="224">
        <v>3.5883579386073512E-2</v>
      </c>
      <c r="BI64" s="224">
        <v>1.371875256502135E-2</v>
      </c>
      <c r="BJ64" s="224">
        <v>7.2664998521790782E-3</v>
      </c>
      <c r="BK64" s="224">
        <v>1.0284318041791451E-2</v>
      </c>
      <c r="BL64" s="224">
        <v>8.5949022864256017E-3</v>
      </c>
      <c r="BM64" s="224">
        <v>1.700553324988879E-2</v>
      </c>
      <c r="BN64" s="224">
        <v>1.1154360389941298E-2</v>
      </c>
      <c r="BO64" s="224">
        <v>1.5401051354400298E-2</v>
      </c>
      <c r="BP64" s="224">
        <v>1.2415803325176137E-2</v>
      </c>
      <c r="BQ64" s="224">
        <v>5.9842837892449628E-3</v>
      </c>
      <c r="BR64" s="224">
        <v>7.2761752928040694E-3</v>
      </c>
      <c r="BS64" s="224">
        <v>8.0389110958005959E-3</v>
      </c>
      <c r="BT64" s="224">
        <v>1.7325038160222784E-2</v>
      </c>
      <c r="BU64" s="224">
        <v>4.9084067150673961E-2</v>
      </c>
      <c r="BV64" s="224">
        <v>6.5760597561429646E-3</v>
      </c>
      <c r="BW64" s="224">
        <v>5.701698177289204E-3</v>
      </c>
      <c r="BX64" s="224">
        <v>1.2649672231619877E-2</v>
      </c>
      <c r="BY64" s="224">
        <v>8.2271172076049948E-3</v>
      </c>
      <c r="BZ64" s="224">
        <v>1.2936750848953026E-2</v>
      </c>
      <c r="CA64" s="224">
        <v>9.7062310511622906E-3</v>
      </c>
      <c r="CB64" s="224">
        <v>2.4552653174830705E-3</v>
      </c>
      <c r="CC64" s="224">
        <v>3.331016116993454E-3</v>
      </c>
      <c r="CD64" s="224">
        <v>4.8485835380219396E-3</v>
      </c>
      <c r="CE64" s="224">
        <v>1.0646139970700141E-2</v>
      </c>
      <c r="CF64" s="224">
        <v>6.6452616026312333E-2</v>
      </c>
      <c r="CG64" s="224">
        <v>1.4975437318290374E-2</v>
      </c>
      <c r="CH64" s="224">
        <v>0</v>
      </c>
      <c r="CI64" s="224">
        <v>0</v>
      </c>
      <c r="CJ64" s="224">
        <v>0</v>
      </c>
      <c r="CK64" s="224">
        <v>0</v>
      </c>
      <c r="CL64" s="224">
        <v>0</v>
      </c>
      <c r="CM64" s="224">
        <v>0</v>
      </c>
      <c r="CN64" s="224">
        <v>0</v>
      </c>
      <c r="CO64" s="224">
        <v>0</v>
      </c>
      <c r="CP64" s="224">
        <v>0</v>
      </c>
      <c r="CQ64" s="224">
        <v>0</v>
      </c>
      <c r="CR64" s="224">
        <v>0</v>
      </c>
      <c r="CS64" s="224">
        <v>0</v>
      </c>
      <c r="CT64" s="224">
        <v>0</v>
      </c>
      <c r="CU64" s="224">
        <v>0</v>
      </c>
      <c r="CV64" s="224">
        <v>0</v>
      </c>
      <c r="CW64" s="224">
        <v>0</v>
      </c>
      <c r="CX64" s="224">
        <v>0</v>
      </c>
      <c r="CY64" s="224">
        <v>0</v>
      </c>
      <c r="CZ64" s="224">
        <v>0</v>
      </c>
      <c r="DA64" s="224">
        <v>0</v>
      </c>
      <c r="DB64" s="224">
        <v>0</v>
      </c>
      <c r="DC64" s="224">
        <v>0</v>
      </c>
      <c r="DD64" s="224">
        <v>0</v>
      </c>
      <c r="DE64" s="224">
        <v>0</v>
      </c>
      <c r="DF64" s="224">
        <v>0</v>
      </c>
      <c r="DG64" s="224">
        <v>0</v>
      </c>
      <c r="DH64" s="224">
        <v>0</v>
      </c>
      <c r="DI64" s="224">
        <v>0</v>
      </c>
      <c r="DJ64" s="224">
        <v>0</v>
      </c>
      <c r="DK64" s="224">
        <v>0</v>
      </c>
      <c r="DL64" s="224">
        <v>0</v>
      </c>
      <c r="DM64" s="224">
        <v>0</v>
      </c>
      <c r="DN64" s="224">
        <v>0</v>
      </c>
      <c r="DO64" s="224">
        <v>0</v>
      </c>
      <c r="DP64" s="224">
        <v>0</v>
      </c>
      <c r="DQ64" s="224">
        <f t="shared" si="0"/>
        <v>1.0000000000000002</v>
      </c>
    </row>
    <row r="65" spans="1:121" x14ac:dyDescent="0.3">
      <c r="A65" s="223" t="s">
        <v>1160</v>
      </c>
      <c r="B65" s="223" t="s">
        <v>1154</v>
      </c>
      <c r="C65" s="223" t="s">
        <v>1086</v>
      </c>
      <c r="D65" s="223" t="s">
        <v>1087</v>
      </c>
      <c r="E65" s="223" t="s">
        <v>1096</v>
      </c>
      <c r="F65" s="224">
        <v>0.10152660979557972</v>
      </c>
      <c r="G65" s="224">
        <v>7.5768948279983678E-2</v>
      </c>
      <c r="H65" s="224">
        <v>2.7397471897954332E-2</v>
      </c>
      <c r="I65" s="224">
        <v>1.3647995450668183E-2</v>
      </c>
      <c r="J65" s="224">
        <v>7.4941451990632318E-3</v>
      </c>
      <c r="K65" s="224">
        <v>1.745346623526145E-2</v>
      </c>
      <c r="L65" s="224">
        <v>1.6668919580305495E-2</v>
      </c>
      <c r="M65" s="224">
        <v>2.8103044496487119E-3</v>
      </c>
      <c r="N65" s="224">
        <v>5.6206088992974239E-3</v>
      </c>
      <c r="O65" s="224">
        <v>2.1609326130224624E-2</v>
      </c>
      <c r="P65" s="224">
        <v>5.6206088992974239E-3</v>
      </c>
      <c r="Q65" s="224">
        <v>1.873536299765808E-3</v>
      </c>
      <c r="R65" s="224">
        <v>7.0257611241217799E-3</v>
      </c>
      <c r="S65" s="224">
        <v>2.2482435597189696E-2</v>
      </c>
      <c r="T65" s="224">
        <v>2.2482435597189696E-2</v>
      </c>
      <c r="U65" s="224">
        <v>4.6838407494145199E-3</v>
      </c>
      <c r="V65" s="224">
        <v>3.0024924105665422E-2</v>
      </c>
      <c r="W65" s="224">
        <v>2.0573474172620239E-2</v>
      </c>
      <c r="X65" s="224">
        <v>1.873536299765808E-3</v>
      </c>
      <c r="Y65" s="224">
        <v>9.4337373706433591E-3</v>
      </c>
      <c r="Z65" s="224">
        <v>1.9870298762983941E-2</v>
      </c>
      <c r="AA65" s="224">
        <v>0</v>
      </c>
      <c r="AB65" s="224">
        <v>0</v>
      </c>
      <c r="AC65" s="224">
        <v>2.8103044496487119E-3</v>
      </c>
      <c r="AD65" s="224">
        <v>5.6206088992974239E-3</v>
      </c>
      <c r="AE65" s="224">
        <v>9.4337373706433591E-3</v>
      </c>
      <c r="AF65" s="224">
        <v>9.4337373706433591E-3</v>
      </c>
      <c r="AG65" s="224">
        <v>1.6057170291638008E-2</v>
      </c>
      <c r="AH65" s="224">
        <v>9.718070609198947E-3</v>
      </c>
      <c r="AI65" s="224">
        <v>1.873536299765808E-3</v>
      </c>
      <c r="AJ65" s="224">
        <v>1.4318142924397323E-2</v>
      </c>
      <c r="AK65" s="224">
        <v>1.103945439980716E-2</v>
      </c>
      <c r="AL65" s="224">
        <v>9.4337373706433591E-3</v>
      </c>
      <c r="AM65" s="224">
        <v>0</v>
      </c>
      <c r="AN65" s="224">
        <v>2.5224286986127602E-2</v>
      </c>
      <c r="AO65" s="224">
        <v>1.1139736801976882E-2</v>
      </c>
      <c r="AP65" s="224">
        <v>4.6838407494145199E-4</v>
      </c>
      <c r="AQ65" s="224">
        <v>6.0217385079763125E-3</v>
      </c>
      <c r="AR65" s="224">
        <v>3.7734949482573436E-2</v>
      </c>
      <c r="AS65" s="224">
        <v>2.2482435597189696E-2</v>
      </c>
      <c r="AT65" s="224">
        <v>3.7470725995316159E-3</v>
      </c>
      <c r="AU65" s="224">
        <v>0</v>
      </c>
      <c r="AV65" s="224">
        <v>7.4941451990632318E-3</v>
      </c>
      <c r="AW65" s="224">
        <v>1.9672131147540985E-2</v>
      </c>
      <c r="AX65" s="224">
        <v>3.6379339161609819E-2</v>
      </c>
      <c r="AY65" s="224">
        <v>2.3751880295040682E-2</v>
      </c>
      <c r="AZ65" s="224">
        <v>8.1288675479887253E-3</v>
      </c>
      <c r="BA65" s="224">
        <v>1.4216661927779357E-2</v>
      </c>
      <c r="BB65" s="224">
        <v>9.3676814988290398E-4</v>
      </c>
      <c r="BC65" s="224">
        <v>2.7481240332170476E-2</v>
      </c>
      <c r="BD65" s="224">
        <v>5.7942719171318435E-2</v>
      </c>
      <c r="BE65" s="224">
        <v>4.8290704433933809E-2</v>
      </c>
      <c r="BF65" s="224">
        <v>6.5904049850874875E-3</v>
      </c>
      <c r="BG65" s="224">
        <v>2.2914195952879256E-2</v>
      </c>
      <c r="BH65" s="224">
        <v>1.2845736233310404E-2</v>
      </c>
      <c r="BI65" s="224">
        <v>1.4318142924397323E-2</v>
      </c>
      <c r="BJ65" s="224">
        <v>6.5904049850874875E-3</v>
      </c>
      <c r="BK65" s="224">
        <v>2.8433323855558716E-3</v>
      </c>
      <c r="BL65" s="224">
        <v>3.3117164604973236E-3</v>
      </c>
      <c r="BM65" s="224">
        <v>3.7801005354387756E-3</v>
      </c>
      <c r="BN65" s="224">
        <v>3.7635865674851957E-3</v>
      </c>
      <c r="BO65" s="224">
        <v>6.5904049850874875E-3</v>
      </c>
      <c r="BP65" s="224">
        <v>9.3676814988290398E-4</v>
      </c>
      <c r="BQ65" s="224">
        <v>3.3117164604973236E-3</v>
      </c>
      <c r="BR65" s="224">
        <v>1.8900502677193878E-3</v>
      </c>
      <c r="BS65" s="224">
        <v>3.3117164604973236E-3</v>
      </c>
      <c r="BT65" s="224">
        <v>9.3676814988290398E-4</v>
      </c>
      <c r="BU65" s="224">
        <v>0</v>
      </c>
      <c r="BV65" s="224">
        <v>4.6838407494145199E-4</v>
      </c>
      <c r="BW65" s="224">
        <v>3.3117164604973236E-3</v>
      </c>
      <c r="BX65" s="224">
        <v>3.7801005354387756E-3</v>
      </c>
      <c r="BY65" s="224">
        <v>2.3584343426608398E-3</v>
      </c>
      <c r="BZ65" s="224">
        <v>6.5904049850874875E-3</v>
      </c>
      <c r="CA65" s="224">
        <v>4.6838407494145199E-4</v>
      </c>
      <c r="CB65" s="224">
        <v>3.3117164604973236E-3</v>
      </c>
      <c r="CC65" s="224">
        <v>1.8900502677193878E-3</v>
      </c>
      <c r="CD65" s="224">
        <v>3.3117164604973236E-3</v>
      </c>
      <c r="CE65" s="224">
        <v>9.3676814988290398E-4</v>
      </c>
      <c r="CF65" s="224">
        <v>0</v>
      </c>
      <c r="CG65" s="224">
        <v>2.8433323855558716E-3</v>
      </c>
      <c r="CH65" s="224">
        <v>0</v>
      </c>
      <c r="CI65" s="224">
        <v>0</v>
      </c>
      <c r="CJ65" s="224">
        <v>0</v>
      </c>
      <c r="CK65" s="224">
        <v>0</v>
      </c>
      <c r="CL65" s="224">
        <v>0</v>
      </c>
      <c r="CM65" s="224">
        <v>0</v>
      </c>
      <c r="CN65" s="224">
        <v>0</v>
      </c>
      <c r="CO65" s="224">
        <v>0</v>
      </c>
      <c r="CP65" s="224">
        <v>0</v>
      </c>
      <c r="CQ65" s="224">
        <v>0</v>
      </c>
      <c r="CR65" s="224">
        <v>0</v>
      </c>
      <c r="CS65" s="224">
        <v>0</v>
      </c>
      <c r="CT65" s="224">
        <v>0</v>
      </c>
      <c r="CU65" s="224">
        <v>0</v>
      </c>
      <c r="CV65" s="224">
        <v>0</v>
      </c>
      <c r="CW65" s="224">
        <v>0</v>
      </c>
      <c r="CX65" s="224">
        <v>0</v>
      </c>
      <c r="CY65" s="224">
        <v>0</v>
      </c>
      <c r="CZ65" s="224">
        <v>0</v>
      </c>
      <c r="DA65" s="224">
        <v>0</v>
      </c>
      <c r="DB65" s="224">
        <v>0</v>
      </c>
      <c r="DC65" s="224">
        <v>0</v>
      </c>
      <c r="DD65" s="224">
        <v>0</v>
      </c>
      <c r="DE65" s="224">
        <v>0</v>
      </c>
      <c r="DF65" s="224">
        <v>0</v>
      </c>
      <c r="DG65" s="224">
        <v>0</v>
      </c>
      <c r="DH65" s="224">
        <v>0</v>
      </c>
      <c r="DI65" s="224">
        <v>0</v>
      </c>
      <c r="DJ65" s="224">
        <v>0</v>
      </c>
      <c r="DK65" s="224">
        <v>0</v>
      </c>
      <c r="DL65" s="224">
        <v>0</v>
      </c>
      <c r="DM65" s="224">
        <v>0</v>
      </c>
      <c r="DN65" s="224">
        <v>0</v>
      </c>
      <c r="DO65" s="224">
        <v>0</v>
      </c>
      <c r="DP65" s="224">
        <v>0</v>
      </c>
      <c r="DQ65" s="224">
        <f t="shared" si="0"/>
        <v>0.99999999999999967</v>
      </c>
    </row>
    <row r="66" spans="1:121" x14ac:dyDescent="0.3">
      <c r="A66" s="223" t="s">
        <v>1161</v>
      </c>
      <c r="B66" s="223" t="s">
        <v>1154</v>
      </c>
      <c r="C66" s="223" t="s">
        <v>1095</v>
      </c>
      <c r="D66" s="223" t="s">
        <v>1087</v>
      </c>
      <c r="E66" s="223" t="s">
        <v>1096</v>
      </c>
      <c r="F66" s="224">
        <v>0</v>
      </c>
      <c r="G66" s="224">
        <v>8.3437163197340181E-2</v>
      </c>
      <c r="H66" s="224">
        <v>2.051379318875381E-2</v>
      </c>
      <c r="I66" s="224">
        <v>0</v>
      </c>
      <c r="J66" s="224">
        <v>0</v>
      </c>
      <c r="K66" s="224">
        <v>1.5353964932627426E-2</v>
      </c>
      <c r="L66" s="224">
        <v>4.4909687266281993E-2</v>
      </c>
      <c r="M66" s="224">
        <v>9.5337493903369722E-3</v>
      </c>
      <c r="N66" s="224">
        <v>3.7705937233787533E-2</v>
      </c>
      <c r="O66" s="224">
        <v>2.2803487592219989E-2</v>
      </c>
      <c r="P66" s="224">
        <v>1.964816964461805E-2</v>
      </c>
      <c r="Q66" s="224">
        <v>0</v>
      </c>
      <c r="R66" s="224">
        <v>5.3295646259381262E-3</v>
      </c>
      <c r="S66" s="224">
        <v>8.6485502298693613E-4</v>
      </c>
      <c r="T66" s="224">
        <v>0</v>
      </c>
      <c r="U66" s="224">
        <v>0</v>
      </c>
      <c r="V66" s="224">
        <v>4.0817530244052509E-3</v>
      </c>
      <c r="W66" s="224">
        <v>9.3033167695771354E-3</v>
      </c>
      <c r="X66" s="224">
        <v>7.1677733568784917E-3</v>
      </c>
      <c r="Y66" s="224">
        <v>2.7019015120088048E-2</v>
      </c>
      <c r="Z66" s="224">
        <v>1.3989897782617229E-3</v>
      </c>
      <c r="AA66" s="224">
        <v>3.3102767617168038E-3</v>
      </c>
      <c r="AB66" s="224">
        <v>0</v>
      </c>
      <c r="AC66" s="224">
        <v>1.9778856052322723E-2</v>
      </c>
      <c r="AD66" s="224">
        <v>1.3109381401065138E-2</v>
      </c>
      <c r="AE66" s="224">
        <v>5.1639555899819266E-3</v>
      </c>
      <c r="AF66" s="224">
        <v>0</v>
      </c>
      <c r="AG66" s="224">
        <v>1.6060617610512237E-2</v>
      </c>
      <c r="AH66" s="224">
        <v>1.2382121672436699E-2</v>
      </c>
      <c r="AI66" s="224">
        <v>1.6420697400879345E-2</v>
      </c>
      <c r="AJ66" s="224">
        <v>5.7450116881875825E-2</v>
      </c>
      <c r="AK66" s="224">
        <v>5.3655264922870564E-3</v>
      </c>
      <c r="AL66" s="224">
        <v>2.6827632461435282E-3</v>
      </c>
      <c r="AM66" s="224">
        <v>3.8729666924864447E-3</v>
      </c>
      <c r="AN66" s="224">
        <v>6.786162559389808E-3</v>
      </c>
      <c r="AO66" s="224">
        <v>9.1881004591972178E-3</v>
      </c>
      <c r="AP66" s="224">
        <v>7.2829896672584092E-4</v>
      </c>
      <c r="AQ66" s="224">
        <v>1.2382121672436699E-2</v>
      </c>
      <c r="AR66" s="224">
        <v>2.4300867267504023E-2</v>
      </c>
      <c r="AS66" s="224">
        <v>3.3386103799353868E-2</v>
      </c>
      <c r="AT66" s="224">
        <v>4.9828764567009685E-3</v>
      </c>
      <c r="AU66" s="224">
        <v>4.1393611795952105E-3</v>
      </c>
      <c r="AV66" s="224">
        <v>9.2025313184245713E-3</v>
      </c>
      <c r="AW66" s="224">
        <v>1.0659129251876252E-2</v>
      </c>
      <c r="AX66" s="224">
        <v>2.4020517910519703E-2</v>
      </c>
      <c r="AY66" s="224">
        <v>1.9435717957032677E-2</v>
      </c>
      <c r="AZ66" s="224">
        <v>4.1393611795952105E-3</v>
      </c>
      <c r="BA66" s="224">
        <v>9.6824167312161112E-3</v>
      </c>
      <c r="BB66" s="224">
        <v>0</v>
      </c>
      <c r="BC66" s="224">
        <v>3.1913603408922527E-2</v>
      </c>
      <c r="BD66" s="224">
        <v>4.7670565245906682E-2</v>
      </c>
      <c r="BE66" s="224">
        <v>6.9441348660282412E-2</v>
      </c>
      <c r="BF66" s="224">
        <v>2.0602196638339756E-2</v>
      </c>
      <c r="BG66" s="224">
        <v>2.932325566450103E-2</v>
      </c>
      <c r="BH66" s="224">
        <v>2.714664145436024E-2</v>
      </c>
      <c r="BI66" s="224">
        <v>5.993040007860332E-3</v>
      </c>
      <c r="BJ66" s="224">
        <v>1.9024206202991886E-2</v>
      </c>
      <c r="BK66" s="224">
        <v>0</v>
      </c>
      <c r="BL66" s="224">
        <v>5.3295646259381262E-3</v>
      </c>
      <c r="BM66" s="224">
        <v>8.7226459056330297E-3</v>
      </c>
      <c r="BN66" s="224">
        <v>6.1406681106420669E-3</v>
      </c>
      <c r="BO66" s="224">
        <v>8.0771514568852894E-3</v>
      </c>
      <c r="BP66" s="224">
        <v>0</v>
      </c>
      <c r="BQ66" s="224">
        <v>6.1406681106420669E-3</v>
      </c>
      <c r="BR66" s="224">
        <v>3.2274722437387036E-3</v>
      </c>
      <c r="BS66" s="224">
        <v>6.1406681106420669E-3</v>
      </c>
      <c r="BT66" s="224">
        <v>6.4549444874774083E-4</v>
      </c>
      <c r="BU66" s="224">
        <v>0</v>
      </c>
      <c r="BV66" s="224">
        <v>7.6682084987956152E-3</v>
      </c>
      <c r="BW66" s="224">
        <v>2.9131958669033637E-3</v>
      </c>
      <c r="BX66" s="224">
        <v>9.5337493903369722E-3</v>
      </c>
      <c r="BY66" s="224">
        <v>4.3697938003550455E-3</v>
      </c>
      <c r="BZ66" s="224">
        <v>1.4052210531571158E-2</v>
      </c>
      <c r="CA66" s="224">
        <v>0</v>
      </c>
      <c r="CB66" s="224">
        <v>4.3697938003550455E-3</v>
      </c>
      <c r="CC66" s="224">
        <v>0</v>
      </c>
      <c r="CD66" s="224">
        <v>4.3697938003550455E-3</v>
      </c>
      <c r="CE66" s="224">
        <v>0</v>
      </c>
      <c r="CF66" s="224">
        <v>0</v>
      </c>
      <c r="CG66" s="224">
        <v>0</v>
      </c>
      <c r="CH66" s="224">
        <v>0</v>
      </c>
      <c r="CI66" s="224">
        <v>0</v>
      </c>
      <c r="CJ66" s="224">
        <v>0</v>
      </c>
      <c r="CK66" s="224">
        <v>0</v>
      </c>
      <c r="CL66" s="224">
        <v>0</v>
      </c>
      <c r="CM66" s="224">
        <v>0</v>
      </c>
      <c r="CN66" s="224">
        <v>0</v>
      </c>
      <c r="CO66" s="224">
        <v>1.3109381401065138E-2</v>
      </c>
      <c r="CP66" s="224">
        <v>0</v>
      </c>
      <c r="CQ66" s="224">
        <v>0</v>
      </c>
      <c r="CR66" s="224">
        <v>6.3726159588511086E-3</v>
      </c>
      <c r="CS66" s="224">
        <v>0</v>
      </c>
      <c r="CT66" s="224">
        <v>0</v>
      </c>
      <c r="CU66" s="224">
        <v>0</v>
      </c>
      <c r="CV66" s="224">
        <v>0</v>
      </c>
      <c r="CW66" s="224">
        <v>0</v>
      </c>
      <c r="CX66" s="224">
        <v>0</v>
      </c>
      <c r="CY66" s="224">
        <v>0</v>
      </c>
      <c r="CZ66" s="224">
        <v>0</v>
      </c>
      <c r="DA66" s="224">
        <v>0</v>
      </c>
      <c r="DB66" s="224">
        <v>0</v>
      </c>
      <c r="DC66" s="224">
        <v>0</v>
      </c>
      <c r="DD66" s="224">
        <v>0</v>
      </c>
      <c r="DE66" s="224">
        <v>0</v>
      </c>
      <c r="DF66" s="224">
        <v>0</v>
      </c>
      <c r="DG66" s="224">
        <v>0</v>
      </c>
      <c r="DH66" s="224">
        <v>0</v>
      </c>
      <c r="DI66" s="224">
        <v>0</v>
      </c>
      <c r="DJ66" s="224">
        <v>0</v>
      </c>
      <c r="DK66" s="224">
        <v>0</v>
      </c>
      <c r="DL66" s="224">
        <v>0</v>
      </c>
      <c r="DM66" s="224">
        <v>0</v>
      </c>
      <c r="DN66" s="224">
        <v>0</v>
      </c>
      <c r="DO66" s="224">
        <v>0</v>
      </c>
      <c r="DP66" s="224">
        <v>0</v>
      </c>
      <c r="DQ66" s="224">
        <f t="shared" si="0"/>
        <v>1</v>
      </c>
    </row>
    <row r="67" spans="1:121" x14ac:dyDescent="0.3">
      <c r="A67" s="223" t="s">
        <v>1162</v>
      </c>
      <c r="B67" s="223" t="s">
        <v>1154</v>
      </c>
      <c r="C67" s="223" t="s">
        <v>1089</v>
      </c>
      <c r="D67" s="223" t="s">
        <v>1087</v>
      </c>
      <c r="E67" s="223" t="s">
        <v>1090</v>
      </c>
      <c r="F67" s="224">
        <v>7.7432497430444322E-2</v>
      </c>
      <c r="G67" s="224">
        <v>3.1750222795448528E-2</v>
      </c>
      <c r="H67" s="224">
        <v>2.6407021637302689E-2</v>
      </c>
      <c r="I67" s="224">
        <v>7.9231439915586638E-3</v>
      </c>
      <c r="J67" s="224">
        <v>0</v>
      </c>
      <c r="K67" s="224">
        <v>2.1948122326375875E-2</v>
      </c>
      <c r="L67" s="224">
        <v>3.1892465852963771E-2</v>
      </c>
      <c r="M67" s="224">
        <v>2.7539898440072496E-2</v>
      </c>
      <c r="N67" s="224">
        <v>2.5005044194191636E-2</v>
      </c>
      <c r="O67" s="224">
        <v>2.2207501397281556E-2</v>
      </c>
      <c r="P67" s="224">
        <v>1.1222502920516603E-2</v>
      </c>
      <c r="Q67" s="224">
        <v>1.1674019670385312E-2</v>
      </c>
      <c r="R67" s="224">
        <v>6.6203243958953991E-4</v>
      </c>
      <c r="S67" s="224">
        <v>2.5348542458808617E-3</v>
      </c>
      <c r="T67" s="224">
        <v>3.8022813688212928E-3</v>
      </c>
      <c r="U67" s="224">
        <v>0</v>
      </c>
      <c r="V67" s="224">
        <v>8.4684409800836746E-3</v>
      </c>
      <c r="W67" s="224">
        <v>2.5459229552052483E-2</v>
      </c>
      <c r="X67" s="224">
        <v>7.4070531908700223E-3</v>
      </c>
      <c r="Y67" s="224">
        <v>8.665819593569048E-3</v>
      </c>
      <c r="Z67" s="224">
        <v>9.0964703120056563E-3</v>
      </c>
      <c r="AA67" s="224">
        <v>3.3217601319368898E-3</v>
      </c>
      <c r="AB67" s="224">
        <v>7.6045627376425855E-3</v>
      </c>
      <c r="AC67" s="224">
        <v>1.6873296782602139E-2</v>
      </c>
      <c r="AD67" s="224">
        <v>3.5200779431317545E-3</v>
      </c>
      <c r="AE67" s="224">
        <v>5.7236812011857699E-3</v>
      </c>
      <c r="AF67" s="224">
        <v>4.2512307346093585E-3</v>
      </c>
      <c r="AG67" s="224">
        <v>1.4878280970848071E-2</v>
      </c>
      <c r="AH67" s="224">
        <v>1.0305410667761776E-2</v>
      </c>
      <c r="AI67" s="224">
        <v>1.0237202669748285E-2</v>
      </c>
      <c r="AJ67" s="224">
        <v>3.2993992714627059E-2</v>
      </c>
      <c r="AK67" s="224">
        <v>2.2585762318985589E-3</v>
      </c>
      <c r="AL67" s="224">
        <v>2.2585762318985589E-3</v>
      </c>
      <c r="AM67" s="224">
        <v>1.5098126615741411E-2</v>
      </c>
      <c r="AN67" s="224">
        <v>4.186046992307399E-2</v>
      </c>
      <c r="AO67" s="224">
        <v>2.863335093095358E-2</v>
      </c>
      <c r="AP67" s="224">
        <v>0</v>
      </c>
      <c r="AQ67" s="224">
        <v>1.4251512305516502E-2</v>
      </c>
      <c r="AR67" s="224">
        <v>4.0872000661258366E-2</v>
      </c>
      <c r="AS67" s="224">
        <v>5.190895412977075E-2</v>
      </c>
      <c r="AT67" s="224">
        <v>1.3275480949613802E-2</v>
      </c>
      <c r="AU67" s="224">
        <v>4.302447016740772E-3</v>
      </c>
      <c r="AV67" s="224">
        <v>9.8690751857184785E-3</v>
      </c>
      <c r="AW67" s="224">
        <v>2.2030844933661618E-2</v>
      </c>
      <c r="AX67" s="224">
        <v>9.6928001634454235E-3</v>
      </c>
      <c r="AY67" s="224">
        <v>3.8213266785254156E-2</v>
      </c>
      <c r="AZ67" s="224">
        <v>7.9970844010406762E-3</v>
      </c>
      <c r="BA67" s="224">
        <v>8.3219586763170188E-3</v>
      </c>
      <c r="BB67" s="224">
        <v>1.4185151138043095E-3</v>
      </c>
      <c r="BC67" s="224">
        <v>1.4042540469833378E-2</v>
      </c>
      <c r="BD67" s="224">
        <v>3.7264249908861874E-2</v>
      </c>
      <c r="BE67" s="224">
        <v>3.4100597097379622E-2</v>
      </c>
      <c r="BF67" s="224">
        <v>1.5124897171521802E-2</v>
      </c>
      <c r="BG67" s="224">
        <v>1.1709830687385075E-2</v>
      </c>
      <c r="BH67" s="224">
        <v>1.5124416026771224E-2</v>
      </c>
      <c r="BI67" s="224">
        <v>1.2935111765439237E-2</v>
      </c>
      <c r="BJ67" s="224">
        <v>1.1943561262480052E-2</v>
      </c>
      <c r="BK67" s="224">
        <v>0</v>
      </c>
      <c r="BL67" s="224">
        <v>0</v>
      </c>
      <c r="BM67" s="224">
        <v>1.4119806558650146E-3</v>
      </c>
      <c r="BN67" s="224">
        <v>5.6479226234600586E-4</v>
      </c>
      <c r="BO67" s="224">
        <v>1.1295845246920117E-3</v>
      </c>
      <c r="BP67" s="224">
        <v>0</v>
      </c>
      <c r="BQ67" s="224">
        <v>0</v>
      </c>
      <c r="BR67" s="224">
        <v>5.6479226234600586E-4</v>
      </c>
      <c r="BS67" s="224">
        <v>5.6479226234600586E-4</v>
      </c>
      <c r="BT67" s="224">
        <v>0</v>
      </c>
      <c r="BU67" s="224">
        <v>2.1179709837975222E-2</v>
      </c>
      <c r="BV67" s="224">
        <v>9.3270984880663868E-4</v>
      </c>
      <c r="BW67" s="224">
        <v>0</v>
      </c>
      <c r="BX67" s="224">
        <v>3.388753574076035E-3</v>
      </c>
      <c r="BY67" s="224">
        <v>1.9767729182110206E-3</v>
      </c>
      <c r="BZ67" s="224">
        <v>2.8239613117300292E-3</v>
      </c>
      <c r="CA67" s="224">
        <v>0</v>
      </c>
      <c r="CB67" s="224">
        <v>0</v>
      </c>
      <c r="CC67" s="224">
        <v>5.6479226234600586E-4</v>
      </c>
      <c r="CD67" s="224">
        <v>5.6479226234600586E-4</v>
      </c>
      <c r="CE67" s="224">
        <v>0</v>
      </c>
      <c r="CF67" s="224">
        <v>2.9016202478026051E-2</v>
      </c>
      <c r="CG67" s="224">
        <v>0</v>
      </c>
      <c r="CH67" s="224">
        <v>0</v>
      </c>
      <c r="CI67" s="224">
        <v>0</v>
      </c>
      <c r="CJ67" s="224">
        <v>0</v>
      </c>
      <c r="CK67" s="224">
        <v>0</v>
      </c>
      <c r="CL67" s="224">
        <v>0</v>
      </c>
      <c r="CM67" s="224">
        <v>0</v>
      </c>
      <c r="CN67" s="224">
        <v>0</v>
      </c>
      <c r="CO67" s="224">
        <v>0</v>
      </c>
      <c r="CP67" s="224">
        <v>0</v>
      </c>
      <c r="CQ67" s="224">
        <v>0</v>
      </c>
      <c r="CR67" s="224">
        <v>0</v>
      </c>
      <c r="CS67" s="224">
        <v>0</v>
      </c>
      <c r="CT67" s="224">
        <v>0</v>
      </c>
      <c r="CU67" s="224">
        <v>0</v>
      </c>
      <c r="CV67" s="224">
        <v>0</v>
      </c>
      <c r="CW67" s="224">
        <v>0</v>
      </c>
      <c r="CX67" s="224">
        <v>0</v>
      </c>
      <c r="CY67" s="224">
        <v>0</v>
      </c>
      <c r="CZ67" s="224">
        <v>0</v>
      </c>
      <c r="DA67" s="224">
        <v>0</v>
      </c>
      <c r="DB67" s="224">
        <v>0</v>
      </c>
      <c r="DC67" s="224">
        <v>0</v>
      </c>
      <c r="DD67" s="224">
        <v>0</v>
      </c>
      <c r="DE67" s="224">
        <v>0</v>
      </c>
      <c r="DF67" s="224">
        <v>0</v>
      </c>
      <c r="DG67" s="224">
        <v>0</v>
      </c>
      <c r="DH67" s="224">
        <v>0</v>
      </c>
      <c r="DI67" s="224">
        <v>0</v>
      </c>
      <c r="DJ67" s="224">
        <v>0</v>
      </c>
      <c r="DK67" s="224">
        <v>0</v>
      </c>
      <c r="DL67" s="224">
        <v>0</v>
      </c>
      <c r="DM67" s="224">
        <v>0</v>
      </c>
      <c r="DN67" s="224">
        <v>0</v>
      </c>
      <c r="DO67" s="224">
        <v>0</v>
      </c>
      <c r="DP67" s="224">
        <v>0</v>
      </c>
      <c r="DQ67" s="224">
        <f t="shared" ref="DQ67:DQ111" si="1">SUM(F67:DP67)</f>
        <v>0.99999999999999956</v>
      </c>
    </row>
    <row r="68" spans="1:121" x14ac:dyDescent="0.3">
      <c r="A68" s="223" t="s">
        <v>1163</v>
      </c>
      <c r="B68" s="223" t="s">
        <v>1154</v>
      </c>
      <c r="C68" s="223" t="s">
        <v>1095</v>
      </c>
      <c r="D68" s="223" t="s">
        <v>1087</v>
      </c>
      <c r="E68" s="223" t="s">
        <v>1090</v>
      </c>
      <c r="F68" s="224">
        <v>0</v>
      </c>
      <c r="G68" s="224">
        <v>1.9298245614035089E-2</v>
      </c>
      <c r="H68" s="224">
        <v>2.8070175438596492E-2</v>
      </c>
      <c r="I68" s="224">
        <v>0</v>
      </c>
      <c r="J68" s="224">
        <v>0</v>
      </c>
      <c r="K68" s="224">
        <v>7.0175438596491229E-3</v>
      </c>
      <c r="L68" s="224">
        <v>8.1871345029239772E-3</v>
      </c>
      <c r="M68" s="224">
        <v>0</v>
      </c>
      <c r="N68" s="224">
        <v>0</v>
      </c>
      <c r="O68" s="224">
        <v>0</v>
      </c>
      <c r="P68" s="224">
        <v>9.3567251461988306E-3</v>
      </c>
      <c r="Q68" s="224">
        <v>9.3567251461988306E-3</v>
      </c>
      <c r="R68" s="224">
        <v>0</v>
      </c>
      <c r="S68" s="224">
        <v>0</v>
      </c>
      <c r="T68" s="224">
        <v>0</v>
      </c>
      <c r="U68" s="224">
        <v>0</v>
      </c>
      <c r="V68" s="224">
        <v>2.1052631578947368E-2</v>
      </c>
      <c r="W68" s="224">
        <v>2.5730994152046785E-2</v>
      </c>
      <c r="X68" s="224">
        <v>0</v>
      </c>
      <c r="Y68" s="224">
        <v>2.3391812865497076E-3</v>
      </c>
      <c r="Z68" s="224">
        <v>0</v>
      </c>
      <c r="AA68" s="224">
        <v>2.3391812865497076E-3</v>
      </c>
      <c r="AB68" s="224">
        <v>0</v>
      </c>
      <c r="AC68" s="224">
        <v>0</v>
      </c>
      <c r="AD68" s="224">
        <v>0</v>
      </c>
      <c r="AE68" s="224">
        <v>0</v>
      </c>
      <c r="AF68" s="224">
        <v>0</v>
      </c>
      <c r="AG68" s="224">
        <v>2.3391812865497075E-2</v>
      </c>
      <c r="AH68" s="224">
        <v>9.3567251461988306E-3</v>
      </c>
      <c r="AI68" s="224">
        <v>1.0526315789473684E-2</v>
      </c>
      <c r="AJ68" s="224">
        <v>3.7426900584795322E-2</v>
      </c>
      <c r="AK68" s="224">
        <v>4.6783625730994153E-3</v>
      </c>
      <c r="AL68" s="224">
        <v>0</v>
      </c>
      <c r="AM68" s="224">
        <v>0.17777777777777778</v>
      </c>
      <c r="AN68" s="224">
        <v>0</v>
      </c>
      <c r="AO68" s="224">
        <v>5.8479532163742687E-3</v>
      </c>
      <c r="AP68" s="224">
        <v>0</v>
      </c>
      <c r="AQ68" s="224">
        <v>1.4035087719298246E-2</v>
      </c>
      <c r="AR68" s="224">
        <v>0.11286549707602339</v>
      </c>
      <c r="AS68" s="224">
        <v>0.14385964912280702</v>
      </c>
      <c r="AT68" s="224">
        <v>0</v>
      </c>
      <c r="AU68" s="224">
        <v>1.1695906432748537E-2</v>
      </c>
      <c r="AV68" s="224">
        <v>7.0175438596491229E-3</v>
      </c>
      <c r="AW68" s="224">
        <v>0</v>
      </c>
      <c r="AX68" s="224">
        <v>6.0818713450292397E-2</v>
      </c>
      <c r="AY68" s="224">
        <v>4.6783625730994153E-3</v>
      </c>
      <c r="AZ68" s="224">
        <v>1.4035087719298246E-2</v>
      </c>
      <c r="BA68" s="224">
        <v>0</v>
      </c>
      <c r="BB68" s="224">
        <v>0</v>
      </c>
      <c r="BC68" s="224">
        <v>5.8479532163742687E-2</v>
      </c>
      <c r="BD68" s="224">
        <v>3.9766081871345033E-2</v>
      </c>
      <c r="BE68" s="224">
        <v>2.8070175438596492E-2</v>
      </c>
      <c r="BF68" s="224">
        <v>9.3567251461988306E-3</v>
      </c>
      <c r="BG68" s="224">
        <v>2.3391812865497075E-2</v>
      </c>
      <c r="BH68" s="224">
        <v>1.8713450292397661E-2</v>
      </c>
      <c r="BI68" s="224">
        <v>3.7426900584795322E-2</v>
      </c>
      <c r="BJ68" s="224">
        <v>1.4035087719298246E-2</v>
      </c>
      <c r="BK68" s="224">
        <v>0</v>
      </c>
      <c r="BL68" s="224">
        <v>0</v>
      </c>
      <c r="BM68" s="224">
        <v>0</v>
      </c>
      <c r="BN68" s="224">
        <v>0</v>
      </c>
      <c r="BO68" s="224">
        <v>0</v>
      </c>
      <c r="BP68" s="224">
        <v>0</v>
      </c>
      <c r="BQ68" s="224">
        <v>0</v>
      </c>
      <c r="BR68" s="224">
        <v>0</v>
      </c>
      <c r="BS68" s="224">
        <v>0</v>
      </c>
      <c r="BT68" s="224">
        <v>0</v>
      </c>
      <c r="BU68" s="224">
        <v>0</v>
      </c>
      <c r="BV68" s="224">
        <v>0</v>
      </c>
      <c r="BW68" s="224">
        <v>0</v>
      </c>
      <c r="BX68" s="224">
        <v>0</v>
      </c>
      <c r="BY68" s="224">
        <v>0</v>
      </c>
      <c r="BZ68" s="224">
        <v>0</v>
      </c>
      <c r="CA68" s="224">
        <v>0</v>
      </c>
      <c r="CB68" s="224">
        <v>0</v>
      </c>
      <c r="CC68" s="224">
        <v>0</v>
      </c>
      <c r="CD68" s="224">
        <v>0</v>
      </c>
      <c r="CE68" s="224">
        <v>0</v>
      </c>
      <c r="CF68" s="224">
        <v>0</v>
      </c>
      <c r="CG68" s="224">
        <v>0</v>
      </c>
      <c r="CH68" s="224">
        <v>0</v>
      </c>
      <c r="CI68" s="224">
        <v>0</v>
      </c>
      <c r="CJ68" s="224">
        <v>0</v>
      </c>
      <c r="CK68" s="224">
        <v>0</v>
      </c>
      <c r="CL68" s="224">
        <v>0</v>
      </c>
      <c r="CM68" s="224">
        <v>0</v>
      </c>
      <c r="CN68" s="224">
        <v>0</v>
      </c>
      <c r="CO68" s="224">
        <v>0</v>
      </c>
      <c r="CP68" s="224">
        <v>0</v>
      </c>
      <c r="CQ68" s="224">
        <v>0</v>
      </c>
      <c r="CR68" s="224">
        <v>0</v>
      </c>
      <c r="CS68" s="224">
        <v>0</v>
      </c>
      <c r="CT68" s="224">
        <v>0</v>
      </c>
      <c r="CU68" s="224">
        <v>0</v>
      </c>
      <c r="CV68" s="224">
        <v>0</v>
      </c>
      <c r="CW68" s="224">
        <v>0</v>
      </c>
      <c r="CX68" s="224">
        <v>0</v>
      </c>
      <c r="CY68" s="224">
        <v>0</v>
      </c>
      <c r="CZ68" s="224">
        <v>0</v>
      </c>
      <c r="DA68" s="224">
        <v>0</v>
      </c>
      <c r="DB68" s="224">
        <v>0</v>
      </c>
      <c r="DC68" s="224">
        <v>0</v>
      </c>
      <c r="DD68" s="224">
        <v>0</v>
      </c>
      <c r="DE68" s="224">
        <v>0</v>
      </c>
      <c r="DF68" s="224">
        <v>0</v>
      </c>
      <c r="DG68" s="224">
        <v>0</v>
      </c>
      <c r="DH68" s="224">
        <v>0</v>
      </c>
      <c r="DI68" s="224">
        <v>0</v>
      </c>
      <c r="DJ68" s="224">
        <v>0</v>
      </c>
      <c r="DK68" s="224">
        <v>0</v>
      </c>
      <c r="DL68" s="224">
        <v>0</v>
      </c>
      <c r="DM68" s="224">
        <v>0</v>
      </c>
      <c r="DN68" s="224">
        <v>0</v>
      </c>
      <c r="DO68" s="224">
        <v>0</v>
      </c>
      <c r="DP68" s="224">
        <v>0</v>
      </c>
      <c r="DQ68" s="224">
        <f t="shared" si="1"/>
        <v>1</v>
      </c>
    </row>
    <row r="69" spans="1:121" x14ac:dyDescent="0.3">
      <c r="A69" s="223" t="s">
        <v>1164</v>
      </c>
      <c r="B69" s="223" t="s">
        <v>1154</v>
      </c>
      <c r="C69" s="223" t="s">
        <v>1086</v>
      </c>
      <c r="D69" s="223" t="s">
        <v>21</v>
      </c>
      <c r="E69" s="223" t="s">
        <v>27</v>
      </c>
      <c r="F69" s="224">
        <v>9.6528925619834713E-2</v>
      </c>
      <c r="G69" s="224">
        <v>0.10347107438016528</v>
      </c>
      <c r="H69" s="224">
        <v>2.6446280991735537E-2</v>
      </c>
      <c r="I69" s="224">
        <v>0</v>
      </c>
      <c r="J69" s="224">
        <v>0</v>
      </c>
      <c r="K69" s="224">
        <v>1.9834710743801653E-3</v>
      </c>
      <c r="L69" s="224">
        <v>3.239669421487603E-2</v>
      </c>
      <c r="M69" s="224">
        <v>1.322314049586777E-3</v>
      </c>
      <c r="N69" s="224">
        <v>0</v>
      </c>
      <c r="O69" s="224">
        <v>0</v>
      </c>
      <c r="P69" s="224">
        <v>7.9338842975206613E-3</v>
      </c>
      <c r="Q69" s="224">
        <v>1.3223140495867768E-2</v>
      </c>
      <c r="R69" s="224">
        <v>0</v>
      </c>
      <c r="S69" s="224">
        <v>0</v>
      </c>
      <c r="T69" s="224">
        <v>0</v>
      </c>
      <c r="U69" s="224">
        <v>0</v>
      </c>
      <c r="V69" s="224">
        <v>2.6446280991735539E-3</v>
      </c>
      <c r="W69" s="224">
        <v>8.727272727272728E-2</v>
      </c>
      <c r="X69" s="224">
        <v>0</v>
      </c>
      <c r="Y69" s="224">
        <v>0</v>
      </c>
      <c r="Z69" s="224">
        <v>1.0578512396694216E-2</v>
      </c>
      <c r="AA69" s="224">
        <v>0</v>
      </c>
      <c r="AB69" s="224">
        <v>0</v>
      </c>
      <c r="AC69" s="224">
        <v>0</v>
      </c>
      <c r="AD69" s="224">
        <v>0</v>
      </c>
      <c r="AE69" s="224">
        <v>2.6446280991735539E-3</v>
      </c>
      <c r="AF69" s="224">
        <v>2.6446280991735539E-3</v>
      </c>
      <c r="AG69" s="224">
        <v>5.2892561983471078E-3</v>
      </c>
      <c r="AH69" s="224">
        <v>2.6446280991735537E-2</v>
      </c>
      <c r="AI69" s="224">
        <v>6.6115702479338841E-3</v>
      </c>
      <c r="AJ69" s="224">
        <v>6.2809917355371905E-2</v>
      </c>
      <c r="AK69" s="224">
        <v>8.5950413223140499E-3</v>
      </c>
      <c r="AL69" s="224">
        <v>0</v>
      </c>
      <c r="AM69" s="224">
        <v>1.8512396694214877E-2</v>
      </c>
      <c r="AN69" s="224">
        <v>1.0578512396694216E-2</v>
      </c>
      <c r="AO69" s="224">
        <v>4.2314049586776863E-2</v>
      </c>
      <c r="AP69" s="224">
        <v>0</v>
      </c>
      <c r="AQ69" s="224">
        <v>5.2892561983471078E-3</v>
      </c>
      <c r="AR69" s="224">
        <v>2.1157024793388431E-2</v>
      </c>
      <c r="AS69" s="224">
        <v>3.43801652892562E-2</v>
      </c>
      <c r="AT69" s="224">
        <v>2.6446280991735539E-3</v>
      </c>
      <c r="AU69" s="224">
        <v>0</v>
      </c>
      <c r="AV69" s="224">
        <v>5.2892561983471078E-3</v>
      </c>
      <c r="AW69" s="224">
        <v>2.6446280991735539E-3</v>
      </c>
      <c r="AX69" s="224">
        <v>1.322314049586777E-3</v>
      </c>
      <c r="AY69" s="224">
        <v>3.7024793388429754E-2</v>
      </c>
      <c r="AZ69" s="224">
        <v>1.322314049586777E-3</v>
      </c>
      <c r="BA69" s="224">
        <v>0</v>
      </c>
      <c r="BB69" s="224">
        <v>0</v>
      </c>
      <c r="BC69" s="224">
        <v>2.1157024793388431E-2</v>
      </c>
      <c r="BD69" s="224">
        <v>3.9669421487603308E-2</v>
      </c>
      <c r="BE69" s="224">
        <v>0</v>
      </c>
      <c r="BF69" s="224">
        <v>1.5867768595041323E-2</v>
      </c>
      <c r="BG69" s="224">
        <v>0</v>
      </c>
      <c r="BH69" s="224">
        <v>0</v>
      </c>
      <c r="BI69" s="224">
        <v>0</v>
      </c>
      <c r="BJ69" s="224">
        <v>0</v>
      </c>
      <c r="BK69" s="224">
        <v>0</v>
      </c>
      <c r="BL69" s="224">
        <v>1.8512396694214877E-2</v>
      </c>
      <c r="BM69" s="224">
        <v>2.9090909090909091E-2</v>
      </c>
      <c r="BN69" s="224">
        <v>1.0578512396694216E-2</v>
      </c>
      <c r="BO69" s="224">
        <v>2.1157024793388431E-2</v>
      </c>
      <c r="BP69" s="224">
        <v>1.0578512396694216E-2</v>
      </c>
      <c r="BQ69" s="224">
        <v>1.0578512396694216E-2</v>
      </c>
      <c r="BR69" s="224">
        <v>1.0578512396694216E-2</v>
      </c>
      <c r="BS69" s="224">
        <v>1.0578512396694216E-2</v>
      </c>
      <c r="BT69" s="224">
        <v>0</v>
      </c>
      <c r="BU69" s="224">
        <v>0</v>
      </c>
      <c r="BV69" s="224">
        <v>1.0578512396694216E-2</v>
      </c>
      <c r="BW69" s="224">
        <v>0</v>
      </c>
      <c r="BX69" s="224">
        <v>1.322314049586777E-2</v>
      </c>
      <c r="BY69" s="224">
        <v>2.3801652892561982E-2</v>
      </c>
      <c r="BZ69" s="224">
        <v>5.2892561983471078E-3</v>
      </c>
      <c r="CA69" s="224">
        <v>5.2892561983471078E-3</v>
      </c>
      <c r="CB69" s="224">
        <v>7.9338842975206613E-3</v>
      </c>
      <c r="CC69" s="224">
        <v>2.3801652892561982E-2</v>
      </c>
      <c r="CD69" s="224">
        <v>3.0413223140495868E-2</v>
      </c>
      <c r="CE69" s="224">
        <v>0</v>
      </c>
      <c r="CF69" s="224">
        <v>0</v>
      </c>
      <c r="CG69" s="224">
        <v>0</v>
      </c>
      <c r="CH69" s="224">
        <v>0</v>
      </c>
      <c r="CI69" s="224">
        <v>0</v>
      </c>
      <c r="CJ69" s="224">
        <v>0</v>
      </c>
      <c r="CK69" s="224">
        <v>0</v>
      </c>
      <c r="CL69" s="224">
        <v>0</v>
      </c>
      <c r="CM69" s="224">
        <v>0</v>
      </c>
      <c r="CN69" s="224">
        <v>0</v>
      </c>
      <c r="CO69" s="224">
        <v>0</v>
      </c>
      <c r="CP69" s="224">
        <v>0</v>
      </c>
      <c r="CQ69" s="224">
        <v>0</v>
      </c>
      <c r="CR69" s="224">
        <v>0</v>
      </c>
      <c r="CS69" s="224">
        <v>0</v>
      </c>
      <c r="CT69" s="224">
        <v>0</v>
      </c>
      <c r="CU69" s="224">
        <v>0</v>
      </c>
      <c r="CV69" s="224">
        <v>0</v>
      </c>
      <c r="CW69" s="224">
        <v>0</v>
      </c>
      <c r="CX69" s="224">
        <v>0</v>
      </c>
      <c r="CY69" s="224">
        <v>0</v>
      </c>
      <c r="CZ69" s="224">
        <v>0</v>
      </c>
      <c r="DA69" s="224">
        <v>0</v>
      </c>
      <c r="DB69" s="224">
        <v>0</v>
      </c>
      <c r="DC69" s="224">
        <v>0</v>
      </c>
      <c r="DD69" s="224">
        <v>0</v>
      </c>
      <c r="DE69" s="224">
        <v>0</v>
      </c>
      <c r="DF69" s="224">
        <v>0</v>
      </c>
      <c r="DG69" s="224">
        <v>0</v>
      </c>
      <c r="DH69" s="224">
        <v>0</v>
      </c>
      <c r="DI69" s="224">
        <v>0</v>
      </c>
      <c r="DJ69" s="224">
        <v>0</v>
      </c>
      <c r="DK69" s="224">
        <v>0</v>
      </c>
      <c r="DL69" s="224">
        <v>0</v>
      </c>
      <c r="DM69" s="224">
        <v>0</v>
      </c>
      <c r="DN69" s="224">
        <v>0</v>
      </c>
      <c r="DO69" s="224">
        <v>0</v>
      </c>
      <c r="DP69" s="224">
        <v>0</v>
      </c>
      <c r="DQ69" s="224">
        <f t="shared" si="1"/>
        <v>0.99999999999999967</v>
      </c>
    </row>
    <row r="70" spans="1:121" x14ac:dyDescent="0.3">
      <c r="A70" s="223" t="s">
        <v>1165</v>
      </c>
      <c r="B70" s="223" t="s">
        <v>1154</v>
      </c>
      <c r="C70" s="223" t="s">
        <v>1092</v>
      </c>
      <c r="D70" s="223" t="s">
        <v>1087</v>
      </c>
      <c r="E70" s="223" t="s">
        <v>27</v>
      </c>
      <c r="F70" s="224">
        <v>0.29673727071978984</v>
      </c>
      <c r="G70" s="224">
        <v>3.3663909453367211E-2</v>
      </c>
      <c r="H70" s="224">
        <v>7.106206655698508E-3</v>
      </c>
      <c r="I70" s="224">
        <v>6.6530544833221048E-4</v>
      </c>
      <c r="J70" s="224">
        <v>0</v>
      </c>
      <c r="K70" s="224">
        <v>5.2508679008152872E-3</v>
      </c>
      <c r="L70" s="224">
        <v>5.0505771708254481E-3</v>
      </c>
      <c r="M70" s="224">
        <v>6.5094303405053931E-3</v>
      </c>
      <c r="N70" s="224">
        <v>9.9399652594294834E-3</v>
      </c>
      <c r="O70" s="224">
        <v>2.8165177727148593E-3</v>
      </c>
      <c r="P70" s="224">
        <v>5.4666872223023593E-3</v>
      </c>
      <c r="Q70" s="224">
        <v>4.5457306441695515E-3</v>
      </c>
      <c r="R70" s="224">
        <v>3.5450198969405808E-3</v>
      </c>
      <c r="S70" s="224">
        <v>8.8495791560630618E-4</v>
      </c>
      <c r="T70" s="224">
        <v>9.5854143289843263E-4</v>
      </c>
      <c r="U70" s="224">
        <v>0</v>
      </c>
      <c r="V70" s="224">
        <v>6.2686886064803743E-3</v>
      </c>
      <c r="W70" s="224">
        <v>7.6002127635721155E-3</v>
      </c>
      <c r="X70" s="224">
        <v>1.6249449658329272E-3</v>
      </c>
      <c r="Y70" s="224">
        <v>4.6929249497353071E-3</v>
      </c>
      <c r="Z70" s="224">
        <v>4.5774290973889784E-2</v>
      </c>
      <c r="AA70" s="224">
        <v>2.7548579656981888E-3</v>
      </c>
      <c r="AB70" s="224">
        <v>2.1069007785119085E-2</v>
      </c>
      <c r="AC70" s="224">
        <v>2.1805525339470538E-2</v>
      </c>
      <c r="AD70" s="224">
        <v>1.8833448998538734E-3</v>
      </c>
      <c r="AE70" s="224">
        <v>3.5619602561551222E-3</v>
      </c>
      <c r="AF70" s="224">
        <v>3.5250094170904181E-3</v>
      </c>
      <c r="AG70" s="224">
        <v>5.2606089698320662E-3</v>
      </c>
      <c r="AH70" s="224">
        <v>3.255178508663535E-3</v>
      </c>
      <c r="AI70" s="224">
        <v>4.0976038751469775E-3</v>
      </c>
      <c r="AJ70" s="224">
        <v>2.2102821278091662E-2</v>
      </c>
      <c r="AK70" s="224">
        <v>2.7538454774413482E-3</v>
      </c>
      <c r="AL70" s="224">
        <v>4.6952531061726799E-3</v>
      </c>
      <c r="AM70" s="224">
        <v>8.1853326486287011E-3</v>
      </c>
      <c r="AN70" s="224">
        <v>1.5405448113029355E-2</v>
      </c>
      <c r="AO70" s="224">
        <v>8.5225107066695428E-3</v>
      </c>
      <c r="AP70" s="224">
        <v>2.4342434254944292E-3</v>
      </c>
      <c r="AQ70" s="224">
        <v>2.9934650034472206E-3</v>
      </c>
      <c r="AR70" s="224">
        <v>1.4648976804949804E-2</v>
      </c>
      <c r="AS70" s="224">
        <v>2.0820793881298968E-2</v>
      </c>
      <c r="AT70" s="224">
        <v>4.0694203679676345E-3</v>
      </c>
      <c r="AU70" s="224">
        <v>2.0316100190404104E-3</v>
      </c>
      <c r="AV70" s="224">
        <v>3.50951993752189E-3</v>
      </c>
      <c r="AW70" s="224">
        <v>3.4504405047272868E-3</v>
      </c>
      <c r="AX70" s="224">
        <v>6.7751242955594645E-3</v>
      </c>
      <c r="AY70" s="224">
        <v>5.1777308075596547E-3</v>
      </c>
      <c r="AZ70" s="224">
        <v>2.7358024623728872E-3</v>
      </c>
      <c r="BA70" s="224">
        <v>3.5684671286199871E-3</v>
      </c>
      <c r="BB70" s="224">
        <v>1.7679601231118248E-3</v>
      </c>
      <c r="BC70" s="224">
        <v>1.3180964947099749E-2</v>
      </c>
      <c r="BD70" s="224">
        <v>1.6068369438677781E-2</v>
      </c>
      <c r="BE70" s="224">
        <v>2.6375375600583471E-2</v>
      </c>
      <c r="BF70" s="224">
        <v>5.256457092526712E-3</v>
      </c>
      <c r="BG70" s="224">
        <v>1.9391994298524076E-2</v>
      </c>
      <c r="BH70" s="224">
        <v>1.1203845924746608E-2</v>
      </c>
      <c r="BI70" s="224">
        <v>7.3485828359795306E-3</v>
      </c>
      <c r="BJ70" s="224">
        <v>6.343594079899156E-3</v>
      </c>
      <c r="BK70" s="224">
        <v>4.6780870123042471E-3</v>
      </c>
      <c r="BL70" s="224">
        <v>8.1398268335948504E-3</v>
      </c>
      <c r="BM70" s="224">
        <v>1.538179769758034E-2</v>
      </c>
      <c r="BN70" s="224">
        <v>1.3867739433789692E-2</v>
      </c>
      <c r="BO70" s="224">
        <v>1.3592047072945526E-2</v>
      </c>
      <c r="BP70" s="224">
        <v>2.0662056084819061E-3</v>
      </c>
      <c r="BQ70" s="224">
        <v>3.5411974561687216E-3</v>
      </c>
      <c r="BR70" s="224">
        <v>7.8947547975871703E-3</v>
      </c>
      <c r="BS70" s="224">
        <v>6.19127854105054E-3</v>
      </c>
      <c r="BT70" s="224">
        <v>0</v>
      </c>
      <c r="BU70" s="224">
        <v>4.732931296691778E-2</v>
      </c>
      <c r="BV70" s="224">
        <v>2.897337704694661E-3</v>
      </c>
      <c r="BW70" s="224">
        <v>5.1301174643621373E-3</v>
      </c>
      <c r="BX70" s="224">
        <v>1.6414697718950415E-2</v>
      </c>
      <c r="BY70" s="224">
        <v>1.7097074820331893E-2</v>
      </c>
      <c r="BZ70" s="224">
        <v>8.7794102386072916E-3</v>
      </c>
      <c r="CA70" s="224">
        <v>1.7699158312126124E-3</v>
      </c>
      <c r="CB70" s="224">
        <v>2.9515514637813152E-3</v>
      </c>
      <c r="CC70" s="224">
        <v>8.4361166108641427E-3</v>
      </c>
      <c r="CD70" s="224">
        <v>7.8445149103759486E-3</v>
      </c>
      <c r="CE70" s="224">
        <v>0</v>
      </c>
      <c r="CF70" s="224">
        <v>4.2931000174249188E-2</v>
      </c>
      <c r="CG70" s="224">
        <v>5.9329182224719737E-3</v>
      </c>
      <c r="CH70" s="224">
        <v>0</v>
      </c>
      <c r="CI70" s="224">
        <v>0</v>
      </c>
      <c r="CJ70" s="224">
        <v>0</v>
      </c>
      <c r="CK70" s="224">
        <v>0</v>
      </c>
      <c r="CL70" s="224">
        <v>0</v>
      </c>
      <c r="CM70" s="224">
        <v>0</v>
      </c>
      <c r="CN70" s="224">
        <v>0</v>
      </c>
      <c r="CO70" s="224">
        <v>0</v>
      </c>
      <c r="CP70" s="224">
        <v>0</v>
      </c>
      <c r="CQ70" s="224">
        <v>0</v>
      </c>
      <c r="CR70" s="224">
        <v>0</v>
      </c>
      <c r="CS70" s="224">
        <v>0</v>
      </c>
      <c r="CT70" s="224">
        <v>0</v>
      </c>
      <c r="CU70" s="224">
        <v>0</v>
      </c>
      <c r="CV70" s="224">
        <v>0</v>
      </c>
      <c r="CW70" s="224">
        <v>0</v>
      </c>
      <c r="CX70" s="224">
        <v>0</v>
      </c>
      <c r="CY70" s="224">
        <v>0</v>
      </c>
      <c r="CZ70" s="224">
        <v>0</v>
      </c>
      <c r="DA70" s="224">
        <v>0</v>
      </c>
      <c r="DB70" s="224">
        <v>0</v>
      </c>
      <c r="DC70" s="224">
        <v>0</v>
      </c>
      <c r="DD70" s="224">
        <v>0</v>
      </c>
      <c r="DE70" s="224">
        <v>0</v>
      </c>
      <c r="DF70" s="224">
        <v>0</v>
      </c>
      <c r="DG70" s="224">
        <v>0</v>
      </c>
      <c r="DH70" s="224">
        <v>0</v>
      </c>
      <c r="DI70" s="224">
        <v>0</v>
      </c>
      <c r="DJ70" s="224">
        <v>0</v>
      </c>
      <c r="DK70" s="224">
        <v>0</v>
      </c>
      <c r="DL70" s="224">
        <v>0</v>
      </c>
      <c r="DM70" s="224">
        <v>0</v>
      </c>
      <c r="DN70" s="224">
        <v>0</v>
      </c>
      <c r="DO70" s="224">
        <v>0</v>
      </c>
      <c r="DP70" s="224">
        <v>0</v>
      </c>
      <c r="DQ70" s="224">
        <f t="shared" si="1"/>
        <v>1.0000000000000004</v>
      </c>
    </row>
    <row r="71" spans="1:121" x14ac:dyDescent="0.3">
      <c r="A71" s="223" t="s">
        <v>1166</v>
      </c>
      <c r="B71" s="223" t="s">
        <v>1154</v>
      </c>
      <c r="C71" s="223" t="s">
        <v>1095</v>
      </c>
      <c r="D71" s="223" t="s">
        <v>21</v>
      </c>
      <c r="E71" s="223" t="s">
        <v>1096</v>
      </c>
      <c r="F71" s="224">
        <v>0</v>
      </c>
      <c r="G71" s="224">
        <v>4.0267927501970051E-2</v>
      </c>
      <c r="H71" s="224">
        <v>2.2278509512552062E-2</v>
      </c>
      <c r="I71" s="224">
        <v>3.7037037037037038E-3</v>
      </c>
      <c r="J71" s="224">
        <v>0</v>
      </c>
      <c r="K71" s="224">
        <v>2.1907013396375099E-2</v>
      </c>
      <c r="L71" s="224">
        <v>4.101091973432399E-2</v>
      </c>
      <c r="M71" s="224">
        <v>8.8371045817854325E-3</v>
      </c>
      <c r="N71" s="224">
        <v>0</v>
      </c>
      <c r="O71" s="224">
        <v>0</v>
      </c>
      <c r="P71" s="224">
        <v>1.8732410221771925E-2</v>
      </c>
      <c r="Q71" s="224">
        <v>1.6616008105369808E-2</v>
      </c>
      <c r="R71" s="224">
        <v>3.174603174603175E-3</v>
      </c>
      <c r="S71" s="224">
        <v>2.1878869751210176E-2</v>
      </c>
      <c r="T71" s="224">
        <v>2.6455026455026454E-2</v>
      </c>
      <c r="U71" s="224">
        <v>6.3492063492063501E-3</v>
      </c>
      <c r="V71" s="224">
        <v>1.8732410221771925E-2</v>
      </c>
      <c r="W71" s="224">
        <v>2.5610717100078801E-2</v>
      </c>
      <c r="X71" s="224">
        <v>2.6139817629179329E-2</v>
      </c>
      <c r="Y71" s="224">
        <v>0</v>
      </c>
      <c r="Z71" s="224">
        <v>0</v>
      </c>
      <c r="AA71" s="224">
        <v>0</v>
      </c>
      <c r="AB71" s="224">
        <v>0</v>
      </c>
      <c r="AC71" s="224">
        <v>0</v>
      </c>
      <c r="AD71" s="224">
        <v>1.6086907576269276E-2</v>
      </c>
      <c r="AE71" s="224">
        <v>1.5028706518068221E-2</v>
      </c>
      <c r="AF71" s="224">
        <v>6.3492063492063501E-3</v>
      </c>
      <c r="AG71" s="224">
        <v>2.4023415512777216E-2</v>
      </c>
      <c r="AH71" s="224">
        <v>1.8732410221771925E-2</v>
      </c>
      <c r="AI71" s="224">
        <v>1.7145108634470337E-2</v>
      </c>
      <c r="AJ71" s="224">
        <v>4.0166610379376334E-2</v>
      </c>
      <c r="AK71" s="224">
        <v>4.2328042328042331E-3</v>
      </c>
      <c r="AL71" s="224">
        <v>1.26984126984127E-2</v>
      </c>
      <c r="AM71" s="224">
        <v>0</v>
      </c>
      <c r="AN71" s="224">
        <v>2.1220308454351008E-2</v>
      </c>
      <c r="AO71" s="224">
        <v>2.5453112687155239E-2</v>
      </c>
      <c r="AP71" s="224">
        <v>1.8732410221771925E-2</v>
      </c>
      <c r="AQ71" s="224">
        <v>1.7674209163570865E-2</v>
      </c>
      <c r="AR71" s="224">
        <v>1.9261510750872454E-2</v>
      </c>
      <c r="AS71" s="224">
        <v>4.2440616908702017E-2</v>
      </c>
      <c r="AT71" s="224">
        <v>1.555780704716875E-2</v>
      </c>
      <c r="AU71" s="224">
        <v>1.1325002814364516E-2</v>
      </c>
      <c r="AV71" s="224">
        <v>1.7145108634470337E-2</v>
      </c>
      <c r="AW71" s="224">
        <v>2.0477316221997072E-2</v>
      </c>
      <c r="AX71" s="224">
        <v>2.031971180907351E-2</v>
      </c>
      <c r="AY71" s="224">
        <v>2.031971180907351E-2</v>
      </c>
      <c r="AZ71" s="224">
        <v>1.8732410221771925E-2</v>
      </c>
      <c r="BA71" s="224">
        <v>0</v>
      </c>
      <c r="BB71" s="224">
        <v>0</v>
      </c>
      <c r="BC71" s="224">
        <v>1.7302713047393895E-2</v>
      </c>
      <c r="BD71" s="224">
        <v>7.6832151300236393E-2</v>
      </c>
      <c r="BE71" s="224">
        <v>0</v>
      </c>
      <c r="BF71" s="224">
        <v>3.5562310030395138E-2</v>
      </c>
      <c r="BG71" s="224">
        <v>0</v>
      </c>
      <c r="BH71" s="224">
        <v>0</v>
      </c>
      <c r="BI71" s="224">
        <v>0</v>
      </c>
      <c r="BJ71" s="224">
        <v>0</v>
      </c>
      <c r="BK71" s="224">
        <v>2.6455026455026454E-3</v>
      </c>
      <c r="BL71" s="224">
        <v>9.3662051108859608E-3</v>
      </c>
      <c r="BM71" s="224">
        <v>1.0052910052910053E-2</v>
      </c>
      <c r="BN71" s="224">
        <v>9.3662051108859608E-3</v>
      </c>
      <c r="BO71" s="224">
        <v>9.3662051108859608E-3</v>
      </c>
      <c r="BP71" s="224">
        <v>5.82010582010582E-3</v>
      </c>
      <c r="BQ71" s="224">
        <v>5.82010582010582E-3</v>
      </c>
      <c r="BR71" s="224">
        <v>5.82010582010582E-3</v>
      </c>
      <c r="BS71" s="224">
        <v>9.3662051108859608E-3</v>
      </c>
      <c r="BT71" s="224">
        <v>0</v>
      </c>
      <c r="BU71" s="224">
        <v>2.1164021164021165E-3</v>
      </c>
      <c r="BV71" s="224">
        <v>9.1804570527974794E-3</v>
      </c>
      <c r="BW71" s="224">
        <v>7.7789035235843748E-3</v>
      </c>
      <c r="BX71" s="224">
        <v>7.4074074074074077E-3</v>
      </c>
      <c r="BY71" s="224">
        <v>8.8371045817854325E-3</v>
      </c>
      <c r="BZ71" s="224">
        <v>1.0424406169087019E-2</v>
      </c>
      <c r="CA71" s="224">
        <v>6.8783068783068784E-3</v>
      </c>
      <c r="CB71" s="224">
        <v>6.8783068783068784E-3</v>
      </c>
      <c r="CC71" s="224">
        <v>5.2910052910052907E-3</v>
      </c>
      <c r="CD71" s="224">
        <v>8.8371045817854325E-3</v>
      </c>
      <c r="CE71" s="224">
        <v>0</v>
      </c>
      <c r="CF71" s="224">
        <v>2.1164021164021165E-3</v>
      </c>
      <c r="CG71" s="224">
        <v>2.1164021164021165E-3</v>
      </c>
      <c r="CH71" s="224">
        <v>0</v>
      </c>
      <c r="CI71" s="224">
        <v>0</v>
      </c>
      <c r="CJ71" s="224">
        <v>0</v>
      </c>
      <c r="CK71" s="224">
        <v>0</v>
      </c>
      <c r="CL71" s="224">
        <v>0</v>
      </c>
      <c r="CM71" s="224">
        <v>0</v>
      </c>
      <c r="CN71" s="224">
        <v>0</v>
      </c>
      <c r="CO71" s="224">
        <v>0</v>
      </c>
      <c r="CP71" s="224">
        <v>0</v>
      </c>
      <c r="CQ71" s="224">
        <v>0</v>
      </c>
      <c r="CR71" s="224">
        <v>0</v>
      </c>
      <c r="CS71" s="224">
        <v>0</v>
      </c>
      <c r="CT71" s="224">
        <v>0</v>
      </c>
      <c r="CU71" s="224">
        <v>0</v>
      </c>
      <c r="CV71" s="224">
        <v>0</v>
      </c>
      <c r="CW71" s="224">
        <v>0</v>
      </c>
      <c r="CX71" s="224">
        <v>0</v>
      </c>
      <c r="CY71" s="224">
        <v>0</v>
      </c>
      <c r="CZ71" s="224">
        <v>0</v>
      </c>
      <c r="DA71" s="224">
        <v>0</v>
      </c>
      <c r="DB71" s="224">
        <v>0</v>
      </c>
      <c r="DC71" s="224">
        <v>0</v>
      </c>
      <c r="DD71" s="224">
        <v>0</v>
      </c>
      <c r="DE71" s="224">
        <v>0</v>
      </c>
      <c r="DF71" s="224">
        <v>0</v>
      </c>
      <c r="DG71" s="224">
        <v>0</v>
      </c>
      <c r="DH71" s="224">
        <v>0</v>
      </c>
      <c r="DI71" s="224">
        <v>0</v>
      </c>
      <c r="DJ71" s="224">
        <v>0</v>
      </c>
      <c r="DK71" s="224">
        <v>0</v>
      </c>
      <c r="DL71" s="224">
        <v>0</v>
      </c>
      <c r="DM71" s="224">
        <v>0</v>
      </c>
      <c r="DN71" s="224">
        <v>0</v>
      </c>
      <c r="DO71" s="224">
        <v>0</v>
      </c>
      <c r="DP71" s="224">
        <v>0</v>
      </c>
      <c r="DQ71" s="224">
        <f t="shared" si="1"/>
        <v>1.0000000000000002</v>
      </c>
    </row>
    <row r="72" spans="1:121" x14ac:dyDescent="0.3">
      <c r="A72" s="223" t="s">
        <v>1167</v>
      </c>
      <c r="B72" s="223" t="s">
        <v>1154</v>
      </c>
      <c r="C72" s="223" t="s">
        <v>1089</v>
      </c>
      <c r="D72" s="223" t="s">
        <v>1087</v>
      </c>
      <c r="E72" s="223" t="s">
        <v>1096</v>
      </c>
      <c r="F72" s="224">
        <v>0</v>
      </c>
      <c r="G72" s="224">
        <v>0.11302982731554161</v>
      </c>
      <c r="H72" s="224">
        <v>2.0931449502878074E-2</v>
      </c>
      <c r="I72" s="224">
        <v>6.2794348508634227E-3</v>
      </c>
      <c r="J72" s="224">
        <v>0</v>
      </c>
      <c r="K72" s="224">
        <v>8.3725798011512302E-3</v>
      </c>
      <c r="L72" s="224">
        <v>1.2558869701726845E-2</v>
      </c>
      <c r="M72" s="224">
        <v>8.3725798011512302E-3</v>
      </c>
      <c r="N72" s="224">
        <v>1.4652014652014652E-2</v>
      </c>
      <c r="O72" s="224">
        <v>4.6572475143903717E-2</v>
      </c>
      <c r="P72" s="224">
        <v>8.3725798011512302E-3</v>
      </c>
      <c r="Q72" s="224">
        <v>2.0931449502878074E-2</v>
      </c>
      <c r="R72" s="224">
        <v>4.1862899005756151E-3</v>
      </c>
      <c r="S72" s="224">
        <v>0</v>
      </c>
      <c r="T72" s="224">
        <v>0</v>
      </c>
      <c r="U72" s="224">
        <v>0</v>
      </c>
      <c r="V72" s="224">
        <v>1.674515960230246E-2</v>
      </c>
      <c r="W72" s="224">
        <v>3.3490319204604921E-2</v>
      </c>
      <c r="X72" s="224">
        <v>2.0931449502878074E-2</v>
      </c>
      <c r="Y72" s="224">
        <v>1.2558869701726845E-2</v>
      </c>
      <c r="Z72" s="224">
        <v>1.674515960230246E-2</v>
      </c>
      <c r="AA72" s="224">
        <v>0</v>
      </c>
      <c r="AB72" s="224">
        <v>6.2794348508634218E-2</v>
      </c>
      <c r="AC72" s="224">
        <v>6.2794348508634218E-2</v>
      </c>
      <c r="AD72" s="224">
        <v>0</v>
      </c>
      <c r="AE72" s="224">
        <v>0</v>
      </c>
      <c r="AF72" s="224">
        <v>0</v>
      </c>
      <c r="AG72" s="224">
        <v>1.674515960230246E-2</v>
      </c>
      <c r="AH72" s="224">
        <v>4.1862899005756151E-3</v>
      </c>
      <c r="AI72" s="224">
        <v>8.3725798011512302E-3</v>
      </c>
      <c r="AJ72" s="224">
        <v>2.9304029304029304E-2</v>
      </c>
      <c r="AK72" s="224">
        <v>6.2794348508634227E-3</v>
      </c>
      <c r="AL72" s="224">
        <v>4.1862899005756151E-3</v>
      </c>
      <c r="AM72" s="224">
        <v>2.0931449502878076E-3</v>
      </c>
      <c r="AN72" s="224">
        <v>4.9188906331763475E-2</v>
      </c>
      <c r="AO72" s="224">
        <v>1.4652014652014652E-2</v>
      </c>
      <c r="AP72" s="224">
        <v>0</v>
      </c>
      <c r="AQ72" s="224">
        <v>4.1862899005756151E-3</v>
      </c>
      <c r="AR72" s="224">
        <v>1.674515960230246E-2</v>
      </c>
      <c r="AS72" s="224">
        <v>4.1862899005756148E-2</v>
      </c>
      <c r="AT72" s="224">
        <v>1.2558869701726845E-2</v>
      </c>
      <c r="AU72" s="224">
        <v>0</v>
      </c>
      <c r="AV72" s="224">
        <v>4.1862899005756151E-3</v>
      </c>
      <c r="AW72" s="224">
        <v>1.2558869701726845E-2</v>
      </c>
      <c r="AX72" s="224">
        <v>1.674515960230246E-2</v>
      </c>
      <c r="AY72" s="224">
        <v>2.0931449502878074E-2</v>
      </c>
      <c r="AZ72" s="224">
        <v>8.3725798011512302E-3</v>
      </c>
      <c r="BA72" s="224">
        <v>0</v>
      </c>
      <c r="BB72" s="224">
        <v>0</v>
      </c>
      <c r="BC72" s="224">
        <v>4.1862899005756148E-2</v>
      </c>
      <c r="BD72" s="224">
        <v>2.0931449502878074E-2</v>
      </c>
      <c r="BE72" s="224">
        <v>2.0931449502878074E-2</v>
      </c>
      <c r="BF72" s="224">
        <v>8.3725798011512302E-3</v>
      </c>
      <c r="BG72" s="224">
        <v>1.674515960230246E-2</v>
      </c>
      <c r="BH72" s="224">
        <v>4.1862899005756151E-3</v>
      </c>
      <c r="BI72" s="224">
        <v>2.0931449502878074E-2</v>
      </c>
      <c r="BJ72" s="224">
        <v>1.2558869701726845E-2</v>
      </c>
      <c r="BK72" s="224">
        <v>0</v>
      </c>
      <c r="BL72" s="224">
        <v>4.1862899005756151E-3</v>
      </c>
      <c r="BM72" s="224">
        <v>1.2558869701726844E-2</v>
      </c>
      <c r="BN72" s="224">
        <v>8.3725798011512302E-3</v>
      </c>
      <c r="BO72" s="224">
        <v>1.0465724751439037E-2</v>
      </c>
      <c r="BP72" s="224">
        <v>0</v>
      </c>
      <c r="BQ72" s="224">
        <v>8.3725798011512302E-3</v>
      </c>
      <c r="BR72" s="224">
        <v>8.3725798011512302E-3</v>
      </c>
      <c r="BS72" s="224">
        <v>8.3725798011512302E-3</v>
      </c>
      <c r="BT72" s="224">
        <v>0</v>
      </c>
      <c r="BU72" s="224">
        <v>0</v>
      </c>
      <c r="BV72" s="224">
        <v>4.1862899005756151E-3</v>
      </c>
      <c r="BW72" s="224">
        <v>0</v>
      </c>
      <c r="BX72" s="224">
        <v>4.1862899005756151E-3</v>
      </c>
      <c r="BY72" s="224">
        <v>4.1862899005756151E-3</v>
      </c>
      <c r="BZ72" s="224">
        <v>4.1862899005756151E-3</v>
      </c>
      <c r="CA72" s="224">
        <v>0</v>
      </c>
      <c r="CB72" s="224">
        <v>4.1862899005756151E-3</v>
      </c>
      <c r="CC72" s="224">
        <v>4.1862899005756151E-3</v>
      </c>
      <c r="CD72" s="224">
        <v>4.1862899005756151E-3</v>
      </c>
      <c r="CE72" s="224">
        <v>0</v>
      </c>
      <c r="CF72" s="224">
        <v>0</v>
      </c>
      <c r="CG72" s="224">
        <v>0</v>
      </c>
      <c r="CH72" s="224">
        <v>0</v>
      </c>
      <c r="CI72" s="224">
        <v>0</v>
      </c>
      <c r="CJ72" s="224">
        <v>0</v>
      </c>
      <c r="CK72" s="224">
        <v>0</v>
      </c>
      <c r="CL72" s="224">
        <v>0</v>
      </c>
      <c r="CM72" s="224">
        <v>0</v>
      </c>
      <c r="CN72" s="224">
        <v>0</v>
      </c>
      <c r="CO72" s="224">
        <v>0</v>
      </c>
      <c r="CP72" s="224">
        <v>0</v>
      </c>
      <c r="CQ72" s="224">
        <v>0</v>
      </c>
      <c r="CR72" s="224">
        <v>0</v>
      </c>
      <c r="CS72" s="224">
        <v>0</v>
      </c>
      <c r="CT72" s="224">
        <v>0</v>
      </c>
      <c r="CU72" s="224">
        <v>0</v>
      </c>
      <c r="CV72" s="224">
        <v>0</v>
      </c>
      <c r="CW72" s="224">
        <v>0</v>
      </c>
      <c r="CX72" s="224">
        <v>0</v>
      </c>
      <c r="CY72" s="224">
        <v>0</v>
      </c>
      <c r="CZ72" s="224">
        <v>0</v>
      </c>
      <c r="DA72" s="224">
        <v>0</v>
      </c>
      <c r="DB72" s="224">
        <v>0</v>
      </c>
      <c r="DC72" s="224">
        <v>0</v>
      </c>
      <c r="DD72" s="224">
        <v>0</v>
      </c>
      <c r="DE72" s="224">
        <v>0</v>
      </c>
      <c r="DF72" s="224">
        <v>0</v>
      </c>
      <c r="DG72" s="224">
        <v>0</v>
      </c>
      <c r="DH72" s="224">
        <v>0</v>
      </c>
      <c r="DI72" s="224">
        <v>0</v>
      </c>
      <c r="DJ72" s="224">
        <v>0</v>
      </c>
      <c r="DK72" s="224">
        <v>0</v>
      </c>
      <c r="DL72" s="224">
        <v>0</v>
      </c>
      <c r="DM72" s="224">
        <v>0</v>
      </c>
      <c r="DN72" s="224">
        <v>0</v>
      </c>
      <c r="DO72" s="224">
        <v>0</v>
      </c>
      <c r="DP72" s="224">
        <v>0</v>
      </c>
      <c r="DQ72" s="224">
        <f t="shared" si="1"/>
        <v>0.99999999999999933</v>
      </c>
    </row>
    <row r="73" spans="1:121" x14ac:dyDescent="0.3">
      <c r="A73" s="223" t="s">
        <v>1168</v>
      </c>
      <c r="B73" s="223" t="s">
        <v>1169</v>
      </c>
      <c r="C73" s="223" t="s">
        <v>1089</v>
      </c>
      <c r="D73" s="223" t="s">
        <v>21</v>
      </c>
      <c r="E73" s="223" t="s">
        <v>1096</v>
      </c>
      <c r="F73" s="224">
        <v>0.22098075729360644</v>
      </c>
      <c r="G73" s="224">
        <v>1.4897579143389199E-2</v>
      </c>
      <c r="H73" s="224">
        <v>1.4897579143389199E-2</v>
      </c>
      <c r="I73" s="224">
        <v>0</v>
      </c>
      <c r="J73" s="224">
        <v>0</v>
      </c>
      <c r="K73" s="224">
        <v>4.9658597144630664E-3</v>
      </c>
      <c r="L73" s="224">
        <v>9.9317194289261328E-3</v>
      </c>
      <c r="M73" s="224">
        <v>4.9658597144630664E-3</v>
      </c>
      <c r="N73" s="224">
        <v>9.9317194289261328E-3</v>
      </c>
      <c r="O73" s="224">
        <v>0</v>
      </c>
      <c r="P73" s="224">
        <v>0</v>
      </c>
      <c r="Q73" s="224">
        <v>0</v>
      </c>
      <c r="R73" s="224">
        <v>0</v>
      </c>
      <c r="S73" s="224">
        <v>0</v>
      </c>
      <c r="T73" s="224">
        <v>0</v>
      </c>
      <c r="U73" s="224">
        <v>0</v>
      </c>
      <c r="V73" s="224">
        <v>0</v>
      </c>
      <c r="W73" s="224">
        <v>1.9863438857852266E-2</v>
      </c>
      <c r="X73" s="224">
        <v>9.9317194289261328E-3</v>
      </c>
      <c r="Y73" s="224">
        <v>4.9658597144630664E-3</v>
      </c>
      <c r="Z73" s="224">
        <v>9.9317194289261328E-3</v>
      </c>
      <c r="AA73" s="224">
        <v>0</v>
      </c>
      <c r="AB73" s="224">
        <v>0</v>
      </c>
      <c r="AC73" s="224">
        <v>0</v>
      </c>
      <c r="AD73" s="224">
        <v>2.4829298572315332E-3</v>
      </c>
      <c r="AE73" s="224">
        <v>0</v>
      </c>
      <c r="AF73" s="224">
        <v>0</v>
      </c>
      <c r="AG73" s="224">
        <v>1.4897579143389199E-2</v>
      </c>
      <c r="AH73" s="224">
        <v>4.9658597144630664E-3</v>
      </c>
      <c r="AI73" s="224">
        <v>9.9317194289261328E-3</v>
      </c>
      <c r="AJ73" s="224">
        <v>2.4829298572315332E-3</v>
      </c>
      <c r="AK73" s="224">
        <v>0</v>
      </c>
      <c r="AL73" s="224">
        <v>9.9317194289261328E-3</v>
      </c>
      <c r="AM73" s="224">
        <v>0</v>
      </c>
      <c r="AN73" s="224">
        <v>2.4829298572315334E-2</v>
      </c>
      <c r="AO73" s="224">
        <v>1.4897579143389199E-2</v>
      </c>
      <c r="AP73" s="224">
        <v>9.9317194289261328E-3</v>
      </c>
      <c r="AQ73" s="224">
        <v>3.1036623215394167E-3</v>
      </c>
      <c r="AR73" s="224">
        <v>0</v>
      </c>
      <c r="AS73" s="224">
        <v>0</v>
      </c>
      <c r="AT73" s="224">
        <v>0</v>
      </c>
      <c r="AU73" s="224">
        <v>9.9317194289261328E-3</v>
      </c>
      <c r="AV73" s="224">
        <v>0</v>
      </c>
      <c r="AW73" s="224">
        <v>0</v>
      </c>
      <c r="AX73" s="224">
        <v>3.7243947858473E-2</v>
      </c>
      <c r="AY73" s="224">
        <v>1.4897579143389199E-2</v>
      </c>
      <c r="AZ73" s="224">
        <v>4.9658597144630664E-3</v>
      </c>
      <c r="BA73" s="224">
        <v>9.9317194289261328E-3</v>
      </c>
      <c r="BB73" s="224">
        <v>4.9658597144630664E-3</v>
      </c>
      <c r="BC73" s="224">
        <v>1.4897579143389199E-2</v>
      </c>
      <c r="BD73" s="224">
        <v>3.9726877715704531E-2</v>
      </c>
      <c r="BE73" s="224">
        <v>0</v>
      </c>
      <c r="BF73" s="224">
        <v>2.4829298572315334E-2</v>
      </c>
      <c r="BG73" s="224">
        <v>0</v>
      </c>
      <c r="BH73" s="224">
        <v>0</v>
      </c>
      <c r="BI73" s="224">
        <v>0</v>
      </c>
      <c r="BJ73" s="224">
        <v>0</v>
      </c>
      <c r="BK73" s="224">
        <v>0</v>
      </c>
      <c r="BL73" s="224">
        <v>4.9658597144630664E-3</v>
      </c>
      <c r="BM73" s="224">
        <v>9.9317194289261328E-3</v>
      </c>
      <c r="BN73" s="224">
        <v>4.9658597144630664E-3</v>
      </c>
      <c r="BO73" s="224">
        <v>0</v>
      </c>
      <c r="BP73" s="224">
        <v>0</v>
      </c>
      <c r="BQ73" s="224">
        <v>0</v>
      </c>
      <c r="BR73" s="224">
        <v>0</v>
      </c>
      <c r="BS73" s="224">
        <v>0</v>
      </c>
      <c r="BT73" s="224">
        <v>0</v>
      </c>
      <c r="BU73" s="224">
        <v>2.4829298572315334E-2</v>
      </c>
      <c r="BV73" s="224">
        <v>2.4829298572315332E-3</v>
      </c>
      <c r="BW73" s="224">
        <v>4.9658597144630664E-3</v>
      </c>
      <c r="BX73" s="224">
        <v>9.9317194289261328E-3</v>
      </c>
      <c r="BY73" s="224">
        <v>4.9658597144630664E-3</v>
      </c>
      <c r="BZ73" s="224">
        <v>0</v>
      </c>
      <c r="CA73" s="224">
        <v>0</v>
      </c>
      <c r="CB73" s="224">
        <v>0</v>
      </c>
      <c r="CC73" s="224">
        <v>0</v>
      </c>
      <c r="CD73" s="224">
        <v>0</v>
      </c>
      <c r="CE73" s="224">
        <v>0</v>
      </c>
      <c r="CF73" s="224">
        <v>3.1036623215394164E-2</v>
      </c>
      <c r="CG73" s="224">
        <v>0</v>
      </c>
      <c r="CH73" s="224">
        <v>0</v>
      </c>
      <c r="CI73" s="224">
        <v>0</v>
      </c>
      <c r="CJ73" s="224">
        <v>0</v>
      </c>
      <c r="CK73" s="224">
        <v>0</v>
      </c>
      <c r="CL73" s="224">
        <v>0</v>
      </c>
      <c r="CM73" s="224">
        <v>4.4692737430167599E-2</v>
      </c>
      <c r="CN73" s="224">
        <v>3.4761018001241463E-2</v>
      </c>
      <c r="CO73" s="224">
        <v>0</v>
      </c>
      <c r="CP73" s="224">
        <v>8.1936685288640593E-2</v>
      </c>
      <c r="CQ73" s="224">
        <v>4.9658597144630667E-2</v>
      </c>
      <c r="CR73" s="224">
        <v>3.7243947858473E-2</v>
      </c>
      <c r="CS73" s="224">
        <v>4.9658597144630664E-3</v>
      </c>
      <c r="CT73" s="224">
        <v>0</v>
      </c>
      <c r="CU73" s="224">
        <v>0</v>
      </c>
      <c r="CV73" s="224">
        <v>0</v>
      </c>
      <c r="CW73" s="224">
        <v>0</v>
      </c>
      <c r="CX73" s="224">
        <v>9.9317194289261328E-3</v>
      </c>
      <c r="CY73" s="224">
        <v>9.9317194289261328E-3</v>
      </c>
      <c r="CZ73" s="224">
        <v>9.9317194289261328E-3</v>
      </c>
      <c r="DA73" s="224">
        <v>4.9658597144630664E-3</v>
      </c>
      <c r="DB73" s="224">
        <v>0</v>
      </c>
      <c r="DC73" s="224">
        <v>0</v>
      </c>
      <c r="DD73" s="224">
        <v>0</v>
      </c>
      <c r="DE73" s="224">
        <v>0</v>
      </c>
      <c r="DF73" s="224">
        <v>9.9317194289261328E-3</v>
      </c>
      <c r="DG73" s="224">
        <v>9.9317194289261328E-3</v>
      </c>
      <c r="DH73" s="224">
        <v>9.9317194289261328E-3</v>
      </c>
      <c r="DI73" s="224">
        <v>0</v>
      </c>
      <c r="DJ73" s="224">
        <v>0</v>
      </c>
      <c r="DK73" s="224">
        <v>0</v>
      </c>
      <c r="DL73" s="224">
        <v>0</v>
      </c>
      <c r="DM73" s="224">
        <v>0</v>
      </c>
      <c r="DN73" s="224">
        <v>0</v>
      </c>
      <c r="DO73" s="224">
        <v>0</v>
      </c>
      <c r="DP73" s="224">
        <v>0</v>
      </c>
      <c r="DQ73" s="224">
        <f t="shared" si="1"/>
        <v>0.99999999999999956</v>
      </c>
    </row>
    <row r="74" spans="1:121" x14ac:dyDescent="0.3">
      <c r="A74" s="223" t="s">
        <v>1170</v>
      </c>
      <c r="B74" s="223" t="s">
        <v>1169</v>
      </c>
      <c r="C74" s="223" t="s">
        <v>1092</v>
      </c>
      <c r="D74" s="223" t="s">
        <v>21</v>
      </c>
      <c r="E74" s="223" t="s">
        <v>27</v>
      </c>
      <c r="F74" s="224">
        <v>0.25630252100840334</v>
      </c>
      <c r="G74" s="224">
        <v>8.6134453781512611E-3</v>
      </c>
      <c r="H74" s="224">
        <v>6.8277310924369748E-3</v>
      </c>
      <c r="I74" s="224">
        <v>0</v>
      </c>
      <c r="J74" s="224">
        <v>0</v>
      </c>
      <c r="K74" s="224">
        <v>1.7857142857142857E-3</v>
      </c>
      <c r="L74" s="224">
        <v>1.5546218487394958E-2</v>
      </c>
      <c r="M74" s="224">
        <v>1.1974789915966387E-2</v>
      </c>
      <c r="N74" s="224">
        <v>1.9957983193277309E-2</v>
      </c>
      <c r="O74" s="224">
        <v>1.5651260504201681E-2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7.3529411764705881E-4</v>
      </c>
      <c r="W74" s="224">
        <v>1.0504201680672268E-3</v>
      </c>
      <c r="X74" s="224">
        <v>5.2521008403361342E-4</v>
      </c>
      <c r="Y74" s="224">
        <v>1.4705882352941176E-3</v>
      </c>
      <c r="Z74" s="224">
        <v>0</v>
      </c>
      <c r="AA74" s="224">
        <v>0</v>
      </c>
      <c r="AB74" s="224">
        <v>0</v>
      </c>
      <c r="AC74" s="224">
        <v>0</v>
      </c>
      <c r="AD74" s="224">
        <v>0</v>
      </c>
      <c r="AE74" s="224">
        <v>0</v>
      </c>
      <c r="AF74" s="224">
        <v>0</v>
      </c>
      <c r="AG74" s="224">
        <v>4.2016806722689074E-3</v>
      </c>
      <c r="AH74" s="224">
        <v>1.7857142857142857E-3</v>
      </c>
      <c r="AI74" s="224">
        <v>6.8277310924369748E-3</v>
      </c>
      <c r="AJ74" s="224">
        <v>4.3067226890756306E-3</v>
      </c>
      <c r="AK74" s="224">
        <v>1.6806722689075631E-3</v>
      </c>
      <c r="AL74" s="224">
        <v>4.2016806722689078E-4</v>
      </c>
      <c r="AM74" s="224">
        <v>0</v>
      </c>
      <c r="AN74" s="224">
        <v>4.2016806722689074E-3</v>
      </c>
      <c r="AO74" s="224">
        <v>3.7815126050420168E-3</v>
      </c>
      <c r="AP74" s="224">
        <v>1.1869747899159663E-2</v>
      </c>
      <c r="AQ74" s="224">
        <v>2.8361344537815125E-3</v>
      </c>
      <c r="AR74" s="224">
        <v>0</v>
      </c>
      <c r="AS74" s="224">
        <v>0</v>
      </c>
      <c r="AT74" s="224">
        <v>0</v>
      </c>
      <c r="AU74" s="224">
        <v>0</v>
      </c>
      <c r="AV74" s="224">
        <v>0</v>
      </c>
      <c r="AW74" s="224">
        <v>0</v>
      </c>
      <c r="AX74" s="224">
        <v>1.5861344537815125E-2</v>
      </c>
      <c r="AY74" s="224">
        <v>6.3025210084033617E-4</v>
      </c>
      <c r="AZ74" s="224">
        <v>2.1008403361344539E-4</v>
      </c>
      <c r="BA74" s="224">
        <v>0</v>
      </c>
      <c r="BB74" s="224">
        <v>0</v>
      </c>
      <c r="BC74" s="224">
        <v>4.3067226890756306E-3</v>
      </c>
      <c r="BD74" s="224">
        <v>2.8991596638655463E-2</v>
      </c>
      <c r="BE74" s="224">
        <v>0</v>
      </c>
      <c r="BF74" s="224">
        <v>1.4705882352941176E-3</v>
      </c>
      <c r="BG74" s="224">
        <v>0</v>
      </c>
      <c r="BH74" s="224">
        <v>0</v>
      </c>
      <c r="BI74" s="224">
        <v>0</v>
      </c>
      <c r="BJ74" s="224">
        <v>0</v>
      </c>
      <c r="BK74" s="224">
        <v>0</v>
      </c>
      <c r="BL74" s="224">
        <v>1.6806722689075631E-3</v>
      </c>
      <c r="BM74" s="224">
        <v>2.5210084033613447E-3</v>
      </c>
      <c r="BN74" s="224">
        <v>1.2605042016806723E-3</v>
      </c>
      <c r="BO74" s="224">
        <v>0</v>
      </c>
      <c r="BP74" s="224">
        <v>0</v>
      </c>
      <c r="BQ74" s="224">
        <v>0</v>
      </c>
      <c r="BR74" s="224">
        <v>1.6806722689075631E-3</v>
      </c>
      <c r="BS74" s="224">
        <v>5.2521008403361342E-4</v>
      </c>
      <c r="BT74" s="224">
        <v>0</v>
      </c>
      <c r="BU74" s="224">
        <v>8.4033613445378148E-3</v>
      </c>
      <c r="BV74" s="224">
        <v>2.0588235294117647E-2</v>
      </c>
      <c r="BW74" s="224">
        <v>6.6176470588235293E-3</v>
      </c>
      <c r="BX74" s="224">
        <v>9.8739495798319324E-3</v>
      </c>
      <c r="BY74" s="224">
        <v>7.0378151260504203E-3</v>
      </c>
      <c r="BZ74" s="224">
        <v>0</v>
      </c>
      <c r="CA74" s="224">
        <v>0</v>
      </c>
      <c r="CB74" s="224">
        <v>0</v>
      </c>
      <c r="CC74" s="224">
        <v>2.2058823529411764E-3</v>
      </c>
      <c r="CD74" s="224">
        <v>2.2058823529411764E-3</v>
      </c>
      <c r="CE74" s="224">
        <v>0</v>
      </c>
      <c r="CF74" s="224">
        <v>3.8970588235294118E-2</v>
      </c>
      <c r="CG74" s="224">
        <v>0</v>
      </c>
      <c r="CH74" s="224">
        <v>4.8319327731092439E-3</v>
      </c>
      <c r="CI74" s="224">
        <v>3.4663865546218486E-3</v>
      </c>
      <c r="CJ74" s="224">
        <v>2.4159663865546219E-3</v>
      </c>
      <c r="CK74" s="224">
        <v>0</v>
      </c>
      <c r="CL74" s="224">
        <v>0</v>
      </c>
      <c r="CM74" s="224">
        <v>4.8319327731092439E-3</v>
      </c>
      <c r="CN74" s="224">
        <v>3.2352941176470591E-2</v>
      </c>
      <c r="CO74" s="224">
        <v>0</v>
      </c>
      <c r="CP74" s="224">
        <v>0.14936974789915966</v>
      </c>
      <c r="CQ74" s="224">
        <v>0.11733193277310924</v>
      </c>
      <c r="CR74" s="224">
        <v>0</v>
      </c>
      <c r="CS74" s="224">
        <v>3.9915966386554619E-3</v>
      </c>
      <c r="CT74" s="224">
        <v>2.4159663865546219E-3</v>
      </c>
      <c r="CU74" s="224">
        <v>2.7310924369747898E-3</v>
      </c>
      <c r="CV74" s="224">
        <v>2.7310924369747898E-3</v>
      </c>
      <c r="CW74" s="224">
        <v>0</v>
      </c>
      <c r="CX74" s="224">
        <v>1.523109243697479E-2</v>
      </c>
      <c r="CY74" s="224">
        <v>4.2016806722689074E-3</v>
      </c>
      <c r="CZ74" s="224">
        <v>5.672268907563025E-3</v>
      </c>
      <c r="DA74" s="224">
        <v>1.5966386554621848E-2</v>
      </c>
      <c r="DB74" s="224">
        <v>9.5588235294117654E-3</v>
      </c>
      <c r="DC74" s="224">
        <v>1.0924369747899159E-2</v>
      </c>
      <c r="DD74" s="224">
        <v>6.4075630252100838E-3</v>
      </c>
      <c r="DE74" s="224">
        <v>0</v>
      </c>
      <c r="DF74" s="224">
        <v>4.149159663865546E-2</v>
      </c>
      <c r="DG74" s="224">
        <v>1.5021008403361345E-2</v>
      </c>
      <c r="DH74" s="224">
        <v>1.1659663865546219E-2</v>
      </c>
      <c r="DI74" s="224">
        <v>0</v>
      </c>
      <c r="DJ74" s="224">
        <v>0</v>
      </c>
      <c r="DK74" s="224">
        <v>0</v>
      </c>
      <c r="DL74" s="224">
        <v>0</v>
      </c>
      <c r="DM74" s="224">
        <v>0</v>
      </c>
      <c r="DN74" s="224">
        <v>0</v>
      </c>
      <c r="DO74" s="224">
        <v>0</v>
      </c>
      <c r="DP74" s="224">
        <v>0</v>
      </c>
      <c r="DQ74" s="224">
        <f t="shared" si="1"/>
        <v>0.99999999999999944</v>
      </c>
    </row>
    <row r="75" spans="1:121" x14ac:dyDescent="0.3">
      <c r="A75" s="223" t="s">
        <v>1171</v>
      </c>
      <c r="B75" s="223" t="s">
        <v>1169</v>
      </c>
      <c r="C75" s="223" t="s">
        <v>1095</v>
      </c>
      <c r="D75" s="223" t="s">
        <v>21</v>
      </c>
      <c r="E75" s="223" t="s">
        <v>1096</v>
      </c>
      <c r="F75" s="224">
        <v>0.18096272167933405</v>
      </c>
      <c r="G75" s="224">
        <v>2.0527028379285859E-2</v>
      </c>
      <c r="H75" s="224">
        <v>8.7842081975494386E-3</v>
      </c>
      <c r="I75" s="224">
        <v>5.8485031521153346E-4</v>
      </c>
      <c r="J75" s="224">
        <v>0</v>
      </c>
      <c r="K75" s="224">
        <v>8.2108113517143436E-3</v>
      </c>
      <c r="L75" s="224">
        <v>9.6672104050549591E-3</v>
      </c>
      <c r="M75" s="224">
        <v>1.258000851173619E-2</v>
      </c>
      <c r="N75" s="224">
        <v>1.7878021756769304E-2</v>
      </c>
      <c r="O75" s="224">
        <v>3.2224034683516526E-3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7.3278091442088239E-3</v>
      </c>
      <c r="W75" s="224">
        <v>3.2224034683516526E-3</v>
      </c>
      <c r="X75" s="224">
        <v>3.2224034683516526E-3</v>
      </c>
      <c r="Y75" s="224">
        <v>0</v>
      </c>
      <c r="Z75" s="224">
        <v>0</v>
      </c>
      <c r="AA75" s="224">
        <v>0</v>
      </c>
      <c r="AB75" s="224">
        <v>0</v>
      </c>
      <c r="AC75" s="224">
        <v>0</v>
      </c>
      <c r="AD75" s="224">
        <v>0</v>
      </c>
      <c r="AE75" s="224">
        <v>0</v>
      </c>
      <c r="AF75" s="224">
        <v>0</v>
      </c>
      <c r="AG75" s="224">
        <v>4.6788025216922676E-3</v>
      </c>
      <c r="AH75" s="224">
        <v>4.6788025216922676E-3</v>
      </c>
      <c r="AI75" s="224">
        <v>4.6788025216922676E-3</v>
      </c>
      <c r="AJ75" s="224">
        <v>7.0182037825384028E-3</v>
      </c>
      <c r="AK75" s="224">
        <v>0</v>
      </c>
      <c r="AL75" s="224">
        <v>0</v>
      </c>
      <c r="AM75" s="224">
        <v>0</v>
      </c>
      <c r="AN75" s="224">
        <v>2.3394012608461338E-3</v>
      </c>
      <c r="AO75" s="224">
        <v>7.0182037825384028E-3</v>
      </c>
      <c r="AP75" s="224">
        <v>0</v>
      </c>
      <c r="AQ75" s="224">
        <v>7.0182037825384028E-3</v>
      </c>
      <c r="AR75" s="224">
        <v>0</v>
      </c>
      <c r="AS75" s="224">
        <v>0</v>
      </c>
      <c r="AT75" s="224">
        <v>0</v>
      </c>
      <c r="AU75" s="224">
        <v>7.0182037825384028E-3</v>
      </c>
      <c r="AV75" s="224">
        <v>0</v>
      </c>
      <c r="AW75" s="224">
        <v>0</v>
      </c>
      <c r="AX75" s="224">
        <v>8.7842081975494386E-3</v>
      </c>
      <c r="AY75" s="224">
        <v>8.7842081975494386E-3</v>
      </c>
      <c r="AZ75" s="224">
        <v>7.0182037825384028E-3</v>
      </c>
      <c r="BA75" s="224">
        <v>2.3394012608461338E-3</v>
      </c>
      <c r="BB75" s="224">
        <v>0</v>
      </c>
      <c r="BC75" s="224">
        <v>1.1697006304230671E-2</v>
      </c>
      <c r="BD75" s="224">
        <v>2.9357050454341047E-2</v>
      </c>
      <c r="BE75" s="224">
        <v>0</v>
      </c>
      <c r="BF75" s="224">
        <v>4.1054056758571718E-3</v>
      </c>
      <c r="BG75" s="224">
        <v>0</v>
      </c>
      <c r="BH75" s="224">
        <v>0</v>
      </c>
      <c r="BI75" s="224">
        <v>0</v>
      </c>
      <c r="BJ75" s="224">
        <v>0</v>
      </c>
      <c r="BK75" s="224">
        <v>2.3394012608461338E-3</v>
      </c>
      <c r="BL75" s="224">
        <v>2.3394012608461338E-3</v>
      </c>
      <c r="BM75" s="224">
        <v>1.7545509456346003E-3</v>
      </c>
      <c r="BN75" s="224">
        <v>5.8485031521153346E-4</v>
      </c>
      <c r="BO75" s="224">
        <v>0</v>
      </c>
      <c r="BP75" s="224">
        <v>0</v>
      </c>
      <c r="BQ75" s="224">
        <v>0</v>
      </c>
      <c r="BR75" s="224">
        <v>5.8485031521153346E-4</v>
      </c>
      <c r="BS75" s="224">
        <v>5.8485031521153346E-4</v>
      </c>
      <c r="BT75" s="224">
        <v>0</v>
      </c>
      <c r="BU75" s="224">
        <v>2.3394012608461338E-3</v>
      </c>
      <c r="BV75" s="224">
        <v>2.3394012608461338E-3</v>
      </c>
      <c r="BW75" s="224">
        <v>2.3394012608461338E-3</v>
      </c>
      <c r="BX75" s="224">
        <v>4.6788025216922676E-3</v>
      </c>
      <c r="BY75" s="224">
        <v>2.3394012608461338E-3</v>
      </c>
      <c r="BZ75" s="224">
        <v>0</v>
      </c>
      <c r="CA75" s="224">
        <v>0</v>
      </c>
      <c r="CB75" s="224">
        <v>0</v>
      </c>
      <c r="CC75" s="224">
        <v>2.3394012608461338E-3</v>
      </c>
      <c r="CD75" s="224">
        <v>1.1697006304230669E-3</v>
      </c>
      <c r="CE75" s="224">
        <v>0</v>
      </c>
      <c r="CF75" s="224">
        <v>4.3921040987747205E-2</v>
      </c>
      <c r="CG75" s="224">
        <v>0</v>
      </c>
      <c r="CH75" s="224">
        <v>0</v>
      </c>
      <c r="CI75" s="224">
        <v>0</v>
      </c>
      <c r="CJ75" s="224">
        <v>0</v>
      </c>
      <c r="CK75" s="224">
        <v>0</v>
      </c>
      <c r="CL75" s="224">
        <v>0</v>
      </c>
      <c r="CM75" s="224">
        <v>3.4309471967598031E-2</v>
      </c>
      <c r="CN75" s="224">
        <v>2.9177286161282106E-2</v>
      </c>
      <c r="CO75" s="224">
        <v>0</v>
      </c>
      <c r="CP75" s="224">
        <v>0.22268516649314585</v>
      </c>
      <c r="CQ75" s="224">
        <v>0.16398270297434395</v>
      </c>
      <c r="CR75" s="224">
        <v>2.3394012608461338E-3</v>
      </c>
      <c r="CS75" s="224">
        <v>2.3394012608461338E-3</v>
      </c>
      <c r="CT75" s="224">
        <v>1.1697006304230669E-3</v>
      </c>
      <c r="CU75" s="224">
        <v>0</v>
      </c>
      <c r="CV75" s="224">
        <v>0</v>
      </c>
      <c r="CW75" s="224">
        <v>0</v>
      </c>
      <c r="CX75" s="224">
        <v>1.3118616237947514E-2</v>
      </c>
      <c r="CY75" s="224">
        <v>9.8433108184136069E-3</v>
      </c>
      <c r="CZ75" s="224">
        <v>4.6788025216922676E-3</v>
      </c>
      <c r="DA75" s="224">
        <v>7.3278091442088239E-3</v>
      </c>
      <c r="DB75" s="224">
        <v>2.3394012608461338E-3</v>
      </c>
      <c r="DC75" s="224">
        <v>0</v>
      </c>
      <c r="DD75" s="224">
        <v>0</v>
      </c>
      <c r="DE75" s="224">
        <v>0</v>
      </c>
      <c r="DF75" s="224">
        <v>2.5329157387533632E-2</v>
      </c>
      <c r="DG75" s="224">
        <v>1.3109918958041573E-2</v>
      </c>
      <c r="DH75" s="224">
        <v>5.8714100908682093E-3</v>
      </c>
      <c r="DI75" s="224">
        <v>0</v>
      </c>
      <c r="DJ75" s="224">
        <v>0</v>
      </c>
      <c r="DK75" s="224">
        <v>0</v>
      </c>
      <c r="DL75" s="224">
        <v>0</v>
      </c>
      <c r="DM75" s="224">
        <v>0</v>
      </c>
      <c r="DN75" s="224">
        <v>0</v>
      </c>
      <c r="DO75" s="224">
        <v>0</v>
      </c>
      <c r="DP75" s="224">
        <v>0</v>
      </c>
      <c r="DQ75" s="224">
        <f t="shared" si="1"/>
        <v>1</v>
      </c>
    </row>
    <row r="76" spans="1:121" x14ac:dyDescent="0.3">
      <c r="A76" s="223" t="s">
        <v>1172</v>
      </c>
      <c r="B76" s="223" t="s">
        <v>1169</v>
      </c>
      <c r="C76" s="223" t="s">
        <v>1095</v>
      </c>
      <c r="D76" s="223" t="s">
        <v>1087</v>
      </c>
      <c r="E76" s="223" t="s">
        <v>1093</v>
      </c>
      <c r="F76" s="224">
        <v>0.40784920779457295</v>
      </c>
      <c r="G76" s="224">
        <v>1.1655436168275359E-2</v>
      </c>
      <c r="H76" s="224">
        <v>1.1655436168275359E-2</v>
      </c>
      <c r="I76" s="224">
        <v>4.3707885631032598E-3</v>
      </c>
      <c r="J76" s="224">
        <v>0</v>
      </c>
      <c r="K76" s="224">
        <v>4.3707885631032598E-3</v>
      </c>
      <c r="L76" s="224">
        <v>1.311236568930978E-2</v>
      </c>
      <c r="M76" s="224">
        <v>6.5561828446548901E-3</v>
      </c>
      <c r="N76" s="224">
        <v>1.8940083773447459E-2</v>
      </c>
      <c r="O76" s="224">
        <v>5.8277180841376794E-3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2.1853942815516299E-3</v>
      </c>
      <c r="W76" s="224">
        <v>7.2846476051720993E-4</v>
      </c>
      <c r="X76" s="224">
        <v>7.2846476051720993E-4</v>
      </c>
      <c r="Y76" s="224">
        <v>2.1853942815516299E-3</v>
      </c>
      <c r="Z76" s="224">
        <v>8.0131123656893097E-3</v>
      </c>
      <c r="AA76" s="224">
        <v>0</v>
      </c>
      <c r="AB76" s="224">
        <v>0</v>
      </c>
      <c r="AC76" s="224">
        <v>0</v>
      </c>
      <c r="AD76" s="224">
        <v>7.2846476051720993E-4</v>
      </c>
      <c r="AE76" s="224">
        <v>0</v>
      </c>
      <c r="AF76" s="224">
        <v>0</v>
      </c>
      <c r="AG76" s="224">
        <v>6.5561828446548901E-3</v>
      </c>
      <c r="AH76" s="224">
        <v>1.4569295210344199E-3</v>
      </c>
      <c r="AI76" s="224">
        <v>2.9138590420688397E-3</v>
      </c>
      <c r="AJ76" s="224">
        <v>4.3707885631032598E-3</v>
      </c>
      <c r="AK76" s="224">
        <v>1.4569295210344199E-3</v>
      </c>
      <c r="AL76" s="224">
        <v>2.1853942815516299E-3</v>
      </c>
      <c r="AM76" s="224">
        <v>1.4569295210344199E-3</v>
      </c>
      <c r="AN76" s="224">
        <v>1.4569295210344199E-3</v>
      </c>
      <c r="AO76" s="224">
        <v>2.9138590420688397E-3</v>
      </c>
      <c r="AP76" s="224">
        <v>7.2846476051720993E-4</v>
      </c>
      <c r="AQ76" s="224">
        <v>4.3707885631032598E-3</v>
      </c>
      <c r="AR76" s="224">
        <v>0</v>
      </c>
      <c r="AS76" s="224">
        <v>0</v>
      </c>
      <c r="AT76" s="224">
        <v>0</v>
      </c>
      <c r="AU76" s="224">
        <v>2.1853942815516299E-3</v>
      </c>
      <c r="AV76" s="224">
        <v>0</v>
      </c>
      <c r="AW76" s="224">
        <v>0</v>
      </c>
      <c r="AX76" s="224">
        <v>2.9138590420688397E-3</v>
      </c>
      <c r="AY76" s="224">
        <v>2.9138590420688397E-3</v>
      </c>
      <c r="AZ76" s="224">
        <v>1.4569295210344199E-3</v>
      </c>
      <c r="BA76" s="224">
        <v>1.4569295210344199E-3</v>
      </c>
      <c r="BB76" s="224">
        <v>7.2846476051720993E-4</v>
      </c>
      <c r="BC76" s="224">
        <v>6.5561828446548901E-3</v>
      </c>
      <c r="BD76" s="224">
        <v>9.4700418867237294E-3</v>
      </c>
      <c r="BE76" s="224">
        <v>9.4700418867237294E-3</v>
      </c>
      <c r="BF76" s="224">
        <v>5.8277180841376794E-3</v>
      </c>
      <c r="BG76" s="224">
        <v>2.9138590420688397E-3</v>
      </c>
      <c r="BH76" s="224">
        <v>4.3707885631032598E-3</v>
      </c>
      <c r="BI76" s="224">
        <v>4.3707885631032598E-3</v>
      </c>
      <c r="BJ76" s="224">
        <v>5.8277180841376794E-3</v>
      </c>
      <c r="BK76" s="224">
        <v>0</v>
      </c>
      <c r="BL76" s="224">
        <v>4.3707885631032598E-3</v>
      </c>
      <c r="BM76" s="224">
        <v>1.0198506647240939E-2</v>
      </c>
      <c r="BN76" s="224">
        <v>5.0992533236204696E-3</v>
      </c>
      <c r="BO76" s="224">
        <v>0</v>
      </c>
      <c r="BP76" s="224">
        <v>0</v>
      </c>
      <c r="BQ76" s="224">
        <v>0</v>
      </c>
      <c r="BR76" s="224">
        <v>2.9138590420688397E-3</v>
      </c>
      <c r="BS76" s="224">
        <v>2.9138590420688397E-3</v>
      </c>
      <c r="BT76" s="224">
        <v>2.9138590420688397E-3</v>
      </c>
      <c r="BU76" s="224">
        <v>4.3707885631032598E-3</v>
      </c>
      <c r="BV76" s="224">
        <v>3.64232380258605E-3</v>
      </c>
      <c r="BW76" s="224">
        <v>4.3707885631032598E-3</v>
      </c>
      <c r="BX76" s="224">
        <v>2.1853942815516302E-2</v>
      </c>
      <c r="BY76" s="224">
        <v>1.311236568930978E-2</v>
      </c>
      <c r="BZ76" s="224">
        <v>0</v>
      </c>
      <c r="CA76" s="224">
        <v>0</v>
      </c>
      <c r="CB76" s="224">
        <v>0</v>
      </c>
      <c r="CC76" s="224">
        <v>8.7415771262065196E-3</v>
      </c>
      <c r="CD76" s="224">
        <v>8.7415771262065196E-3</v>
      </c>
      <c r="CE76" s="224">
        <v>8.7415771262065196E-3</v>
      </c>
      <c r="CF76" s="224">
        <v>8.7415771262065196E-3</v>
      </c>
      <c r="CG76" s="224">
        <v>0</v>
      </c>
      <c r="CH76" s="224">
        <v>1.311236568930978E-2</v>
      </c>
      <c r="CI76" s="224">
        <v>1.311236568930978E-2</v>
      </c>
      <c r="CJ76" s="224">
        <v>6.5561828446548901E-3</v>
      </c>
      <c r="CK76" s="224">
        <v>4.3707885631032598E-3</v>
      </c>
      <c r="CL76" s="224">
        <v>2.1853942815516299E-3</v>
      </c>
      <c r="CM76" s="224">
        <v>9.8342742669823343E-3</v>
      </c>
      <c r="CN76" s="224">
        <v>1.1655436168275359E-2</v>
      </c>
      <c r="CO76" s="224">
        <v>0</v>
      </c>
      <c r="CP76" s="224">
        <v>2.5951557093425604E-2</v>
      </c>
      <c r="CQ76" s="224">
        <v>2.7499544709524676E-2</v>
      </c>
      <c r="CR76" s="224">
        <v>1.4569295210344199E-3</v>
      </c>
      <c r="CS76" s="224">
        <v>4.3707885631032598E-3</v>
      </c>
      <c r="CT76" s="224">
        <v>4.3707885631032598E-3</v>
      </c>
      <c r="CU76" s="224">
        <v>4.3707885631032598E-3</v>
      </c>
      <c r="CV76" s="224">
        <v>4.3707885631032598E-3</v>
      </c>
      <c r="CW76" s="224">
        <v>2.1853942815516299E-3</v>
      </c>
      <c r="CX76" s="224">
        <v>4.3707885631032598E-3</v>
      </c>
      <c r="CY76" s="224">
        <v>4.3707885631032598E-3</v>
      </c>
      <c r="CZ76" s="224">
        <v>4.3707885631032598E-3</v>
      </c>
      <c r="DA76" s="224">
        <v>1.8940083773447459E-2</v>
      </c>
      <c r="DB76" s="224">
        <v>1.8940083773447459E-2</v>
      </c>
      <c r="DC76" s="224">
        <v>1.8940083773447459E-2</v>
      </c>
      <c r="DD76" s="224">
        <v>1.8940083773447459E-2</v>
      </c>
      <c r="DE76" s="224">
        <v>1.8940083773447459E-2</v>
      </c>
      <c r="DF76" s="224">
        <v>1.8940083773447459E-2</v>
      </c>
      <c r="DG76" s="224">
        <v>1.8940083773447459E-2</v>
      </c>
      <c r="DH76" s="224">
        <v>1.8940083773447459E-2</v>
      </c>
      <c r="DI76" s="224">
        <v>0</v>
      </c>
      <c r="DJ76" s="224">
        <v>0</v>
      </c>
      <c r="DK76" s="224">
        <v>0</v>
      </c>
      <c r="DL76" s="224">
        <v>0</v>
      </c>
      <c r="DM76" s="224">
        <v>0</v>
      </c>
      <c r="DN76" s="224">
        <v>0</v>
      </c>
      <c r="DO76" s="224">
        <v>0</v>
      </c>
      <c r="DP76" s="224">
        <v>0</v>
      </c>
      <c r="DQ76" s="224">
        <f t="shared" si="1"/>
        <v>0.99999999999999956</v>
      </c>
    </row>
    <row r="77" spans="1:121" x14ac:dyDescent="0.3">
      <c r="A77" s="223" t="s">
        <v>1173</v>
      </c>
      <c r="B77" s="223" t="s">
        <v>1169</v>
      </c>
      <c r="C77" s="223" t="s">
        <v>1095</v>
      </c>
      <c r="D77" s="223" t="s">
        <v>1087</v>
      </c>
      <c r="E77" s="223" t="s">
        <v>1096</v>
      </c>
      <c r="F77" s="224">
        <v>0.16087263232739801</v>
      </c>
      <c r="G77" s="224">
        <v>2.0769784373785301E-2</v>
      </c>
      <c r="H77" s="224">
        <v>7.9978748790682595E-3</v>
      </c>
      <c r="I77" s="224">
        <v>8.3279386589558784E-4</v>
      </c>
      <c r="J77" s="224">
        <v>8.3251891265790712E-4</v>
      </c>
      <c r="K77" s="224">
        <v>5.0774229872907108E-3</v>
      </c>
      <c r="L77" s="224">
        <v>1.4353218544785284E-2</v>
      </c>
      <c r="M77" s="224">
        <v>1.7813483155338487E-2</v>
      </c>
      <c r="N77" s="224">
        <v>2.107335428236122E-2</v>
      </c>
      <c r="O77" s="224">
        <v>1.5110006476858517E-2</v>
      </c>
      <c r="P77" s="224">
        <v>0</v>
      </c>
      <c r="Q77" s="224">
        <v>0</v>
      </c>
      <c r="R77" s="224">
        <v>0</v>
      </c>
      <c r="S77" s="224">
        <v>0</v>
      </c>
      <c r="T77" s="224">
        <v>0</v>
      </c>
      <c r="U77" s="224">
        <v>0</v>
      </c>
      <c r="V77" s="224">
        <v>3.5659878092942146E-3</v>
      </c>
      <c r="W77" s="224">
        <v>1.0678652512684477E-2</v>
      </c>
      <c r="X77" s="224">
        <v>3.6862101087916117E-3</v>
      </c>
      <c r="Y77" s="224">
        <v>1.9688493899970823E-3</v>
      </c>
      <c r="Z77" s="224">
        <v>1.7194177051861031E-3</v>
      </c>
      <c r="AA77" s="224">
        <v>0</v>
      </c>
      <c r="AB77" s="224">
        <v>0</v>
      </c>
      <c r="AC77" s="224">
        <v>0</v>
      </c>
      <c r="AD77" s="224">
        <v>0</v>
      </c>
      <c r="AE77" s="224">
        <v>0</v>
      </c>
      <c r="AF77" s="224">
        <v>0</v>
      </c>
      <c r="AG77" s="224">
        <v>6.6687311201139533E-3</v>
      </c>
      <c r="AH77" s="224">
        <v>4.3442971784322494E-3</v>
      </c>
      <c r="AI77" s="224">
        <v>3.5121578358992878E-3</v>
      </c>
      <c r="AJ77" s="224">
        <v>6.7068142446184984E-3</v>
      </c>
      <c r="AK77" s="224">
        <v>0</v>
      </c>
      <c r="AL77" s="224">
        <v>0</v>
      </c>
      <c r="AM77" s="224">
        <v>0</v>
      </c>
      <c r="AN77" s="224">
        <v>6.7064346744935529E-3</v>
      </c>
      <c r="AO77" s="224">
        <v>5.4480008479076084E-3</v>
      </c>
      <c r="AP77" s="224">
        <v>3.710394137022819E-3</v>
      </c>
      <c r="AQ77" s="224">
        <v>3.6657604832186067E-3</v>
      </c>
      <c r="AR77" s="224">
        <v>0</v>
      </c>
      <c r="AS77" s="224">
        <v>0</v>
      </c>
      <c r="AT77" s="224">
        <v>0</v>
      </c>
      <c r="AU77" s="224">
        <v>1.602011532330171E-3</v>
      </c>
      <c r="AV77" s="224">
        <v>0</v>
      </c>
      <c r="AW77" s="224">
        <v>0</v>
      </c>
      <c r="AX77" s="224">
        <v>4.6250522246735776E-3</v>
      </c>
      <c r="AY77" s="224">
        <v>3.3850054369772785E-3</v>
      </c>
      <c r="AZ77" s="224">
        <v>1.4210291600132347E-3</v>
      </c>
      <c r="BA77" s="224">
        <v>8.9149695232355365E-4</v>
      </c>
      <c r="BB77" s="224">
        <v>1.176470588235294E-3</v>
      </c>
      <c r="BC77" s="224">
        <v>5.5661605607216467E-3</v>
      </c>
      <c r="BD77" s="224">
        <v>2.5280252152536195E-2</v>
      </c>
      <c r="BE77" s="224">
        <v>2.2979452332610336E-2</v>
      </c>
      <c r="BF77" s="224">
        <v>8.0638876350457838E-3</v>
      </c>
      <c r="BG77" s="224">
        <v>1.3170378964184309E-2</v>
      </c>
      <c r="BH77" s="224">
        <v>3.4288911511151697E-3</v>
      </c>
      <c r="BI77" s="224">
        <v>3.270035820637866E-3</v>
      </c>
      <c r="BJ77" s="224">
        <v>7.5659537420241316E-3</v>
      </c>
      <c r="BK77" s="224">
        <v>0</v>
      </c>
      <c r="BL77" s="224">
        <v>1.986535197372255E-3</v>
      </c>
      <c r="BM77" s="224">
        <v>2.6426175890649512E-3</v>
      </c>
      <c r="BN77" s="224">
        <v>2.7466611611033876E-3</v>
      </c>
      <c r="BO77" s="224">
        <v>0</v>
      </c>
      <c r="BP77" s="224">
        <v>0</v>
      </c>
      <c r="BQ77" s="224">
        <v>0</v>
      </c>
      <c r="BR77" s="224">
        <v>7.5585506561708787E-4</v>
      </c>
      <c r="BS77" s="224">
        <v>1.986535197372255E-3</v>
      </c>
      <c r="BT77" s="224">
        <v>1.1990295086435052E-3</v>
      </c>
      <c r="BU77" s="224">
        <v>9.9789982575156852E-3</v>
      </c>
      <c r="BV77" s="224">
        <v>1.1178198102509604E-3</v>
      </c>
      <c r="BW77" s="224">
        <v>2.2310937691501958E-3</v>
      </c>
      <c r="BX77" s="224">
        <v>3.3851100538645432E-3</v>
      </c>
      <c r="BY77" s="224">
        <v>2.9100100344887836E-3</v>
      </c>
      <c r="BZ77" s="224">
        <v>0</v>
      </c>
      <c r="CA77" s="224">
        <v>0</v>
      </c>
      <c r="CB77" s="224">
        <v>0</v>
      </c>
      <c r="CC77" s="224">
        <v>1.2175924841753524E-3</v>
      </c>
      <c r="CD77" s="224">
        <v>3.0000364823470982E-3</v>
      </c>
      <c r="CE77" s="224">
        <v>1.5609942532773778E-3</v>
      </c>
      <c r="CF77" s="224">
        <v>2.3590731608949912E-2</v>
      </c>
      <c r="CG77" s="224">
        <v>2.941176470588235E-4</v>
      </c>
      <c r="CH77" s="224">
        <v>1.4478589785354907E-3</v>
      </c>
      <c r="CI77" s="224">
        <v>7.2392948926774535E-4</v>
      </c>
      <c r="CJ77" s="224">
        <v>1.0858942339016179E-3</v>
      </c>
      <c r="CK77" s="224">
        <v>3.6196474463387268E-4</v>
      </c>
      <c r="CL77" s="224">
        <v>3.6196474463387268E-4</v>
      </c>
      <c r="CM77" s="224">
        <v>2.6860242729726348E-2</v>
      </c>
      <c r="CN77" s="224">
        <v>1.9628954753246244E-2</v>
      </c>
      <c r="CO77" s="224">
        <v>1.4569506812389414E-3</v>
      </c>
      <c r="CP77" s="224">
        <v>0.22290184737648872</v>
      </c>
      <c r="CQ77" s="224">
        <v>9.2677276654556329E-2</v>
      </c>
      <c r="CR77" s="224">
        <v>5.8536532734884128E-3</v>
      </c>
      <c r="CS77" s="224">
        <v>3.0000364823470982E-3</v>
      </c>
      <c r="CT77" s="224">
        <v>9.3229158658229892E-4</v>
      </c>
      <c r="CU77" s="224">
        <v>9.0491186158468163E-4</v>
      </c>
      <c r="CV77" s="224">
        <v>5.067506424874217E-4</v>
      </c>
      <c r="CW77" s="224">
        <v>2.8957179570709811E-4</v>
      </c>
      <c r="CX77" s="224">
        <v>3.6789527476856865E-3</v>
      </c>
      <c r="CY77" s="224">
        <v>1.4073916059580587E-3</v>
      </c>
      <c r="CZ77" s="224">
        <v>2.2310937691501958E-3</v>
      </c>
      <c r="DA77" s="224">
        <v>3.9685245433927849E-3</v>
      </c>
      <c r="DB77" s="224">
        <v>1.3304528056795589E-3</v>
      </c>
      <c r="DC77" s="224">
        <v>1.0496977594382307E-3</v>
      </c>
      <c r="DD77" s="224">
        <v>5.4294711695080896E-4</v>
      </c>
      <c r="DE77" s="224">
        <v>2.8957179570709811E-4</v>
      </c>
      <c r="DF77" s="224">
        <v>7.6140446348129161E-3</v>
      </c>
      <c r="DG77" s="224">
        <v>2.3533730550391661E-3</v>
      </c>
      <c r="DH77" s="224">
        <v>3.8334848716053125E-3</v>
      </c>
      <c r="DI77" s="224">
        <v>0</v>
      </c>
      <c r="DJ77" s="224">
        <v>0</v>
      </c>
      <c r="DK77" s="224">
        <v>6.9424064563462951E-2</v>
      </c>
      <c r="DL77" s="224">
        <v>3.3137686475910984E-2</v>
      </c>
      <c r="DM77" s="224">
        <v>0</v>
      </c>
      <c r="DN77" s="224">
        <v>0</v>
      </c>
      <c r="DO77" s="224">
        <v>0</v>
      </c>
      <c r="DP77" s="224">
        <v>0</v>
      </c>
      <c r="DQ77" s="224">
        <f t="shared" si="1"/>
        <v>0.99999999999999978</v>
      </c>
    </row>
    <row r="78" spans="1:121" x14ac:dyDescent="0.3">
      <c r="A78" s="223" t="s">
        <v>1174</v>
      </c>
      <c r="B78" s="223" t="s">
        <v>1169</v>
      </c>
      <c r="C78" s="223" t="s">
        <v>1092</v>
      </c>
      <c r="D78" s="223" t="s">
        <v>1087</v>
      </c>
      <c r="E78" s="223" t="s">
        <v>1093</v>
      </c>
      <c r="F78" s="224">
        <v>0.33747433711221997</v>
      </c>
      <c r="G78" s="224">
        <v>1.0336853486766178E-2</v>
      </c>
      <c r="H78" s="224">
        <v>3.8851985730466152E-3</v>
      </c>
      <c r="I78" s="224">
        <v>6.3098829097448092E-4</v>
      </c>
      <c r="J78" s="224">
        <v>0</v>
      </c>
      <c r="K78" s="224">
        <v>2.2526932779776267E-3</v>
      </c>
      <c r="L78" s="224">
        <v>1.2540711465304805E-2</v>
      </c>
      <c r="M78" s="224">
        <v>4.0514429419550683E-3</v>
      </c>
      <c r="N78" s="224">
        <v>1.5210802163802786E-2</v>
      </c>
      <c r="O78" s="224">
        <v>5.0339937777512762E-3</v>
      </c>
      <c r="P78" s="224">
        <v>0</v>
      </c>
      <c r="Q78" s="224">
        <v>0</v>
      </c>
      <c r="R78" s="224">
        <v>0</v>
      </c>
      <c r="S78" s="224">
        <v>0</v>
      </c>
      <c r="T78" s="224">
        <v>0</v>
      </c>
      <c r="U78" s="224">
        <v>0</v>
      </c>
      <c r="V78" s="224">
        <v>8.9932101263546019E-4</v>
      </c>
      <c r="W78" s="224">
        <v>2.9970480239158181E-3</v>
      </c>
      <c r="X78" s="224">
        <v>1.2619765819489618E-3</v>
      </c>
      <c r="Y78" s="224">
        <v>1.2619765819489618E-3</v>
      </c>
      <c r="Z78" s="224">
        <v>2.2526932779776267E-3</v>
      </c>
      <c r="AA78" s="224">
        <v>3.5972840505418412E-4</v>
      </c>
      <c r="AB78" s="224">
        <v>5.3959260758127618E-4</v>
      </c>
      <c r="AC78" s="224">
        <v>9.9071669602866503E-4</v>
      </c>
      <c r="AD78" s="224">
        <v>1.0910918057082091E-3</v>
      </c>
      <c r="AE78" s="224">
        <v>0</v>
      </c>
      <c r="AF78" s="224">
        <v>0</v>
      </c>
      <c r="AG78" s="224">
        <v>1.8015691895302379E-3</v>
      </c>
      <c r="AH78" s="224">
        <v>1.3504451010828492E-3</v>
      </c>
      <c r="AI78" s="224">
        <v>1.6217049870031457E-3</v>
      </c>
      <c r="AJ78" s="224">
        <v>2.5239531638979237E-3</v>
      </c>
      <c r="AK78" s="224">
        <v>3.5972840505418412E-4</v>
      </c>
      <c r="AL78" s="224">
        <v>5.3959260758127618E-4</v>
      </c>
      <c r="AM78" s="224">
        <v>0</v>
      </c>
      <c r="AN78" s="224">
        <v>1.8015691895302379E-3</v>
      </c>
      <c r="AO78" s="224">
        <v>2.4427508279773937E-3</v>
      </c>
      <c r="AP78" s="224">
        <v>1.450820210762393E-3</v>
      </c>
      <c r="AQ78" s="224">
        <v>1.2619765819489618E-3</v>
      </c>
      <c r="AR78" s="224">
        <v>0</v>
      </c>
      <c r="AS78" s="224">
        <v>0</v>
      </c>
      <c r="AT78" s="224">
        <v>0</v>
      </c>
      <c r="AU78" s="224">
        <v>7.7335280364938374E-4</v>
      </c>
      <c r="AV78" s="224">
        <v>0</v>
      </c>
      <c r="AW78" s="224">
        <v>0</v>
      </c>
      <c r="AX78" s="224">
        <v>1.3129454112306598E-3</v>
      </c>
      <c r="AY78" s="224">
        <v>1.6171937461186721E-3</v>
      </c>
      <c r="AZ78" s="224">
        <v>7.7335280364938374E-4</v>
      </c>
      <c r="BA78" s="224">
        <v>0</v>
      </c>
      <c r="BB78" s="224">
        <v>5.9348860112229168E-4</v>
      </c>
      <c r="BC78" s="224">
        <v>4.0527988853782055E-3</v>
      </c>
      <c r="BD78" s="224">
        <v>1.0797706480144158E-2</v>
      </c>
      <c r="BE78" s="224">
        <v>1.0797706480144158E-2</v>
      </c>
      <c r="BF78" s="224">
        <v>3.6002112148011585E-3</v>
      </c>
      <c r="BG78" s="224">
        <v>6.5440111693334134E-3</v>
      </c>
      <c r="BH78" s="224">
        <v>3.6060655433197935E-3</v>
      </c>
      <c r="BI78" s="224">
        <v>1.3076744236455641E-3</v>
      </c>
      <c r="BJ78" s="224">
        <v>3.6002112148011585E-3</v>
      </c>
      <c r="BK78" s="224">
        <v>2.2380963283269999E-3</v>
      </c>
      <c r="BL78" s="224">
        <v>3.1194800161310852E-3</v>
      </c>
      <c r="BM78" s="224">
        <v>7.2585004721532707E-3</v>
      </c>
      <c r="BN78" s="224">
        <v>2.6170405626228057E-3</v>
      </c>
      <c r="BO78" s="224">
        <v>3.5972840505418412E-4</v>
      </c>
      <c r="BP78" s="224">
        <v>0</v>
      </c>
      <c r="BQ78" s="224">
        <v>3.5972840505418412E-4</v>
      </c>
      <c r="BR78" s="224">
        <v>2.1005034813505459E-3</v>
      </c>
      <c r="BS78" s="224">
        <v>3.6078218418753838E-3</v>
      </c>
      <c r="BT78" s="224">
        <v>9.9130212888052854E-4</v>
      </c>
      <c r="BU78" s="224">
        <v>6.5435806145073272E-3</v>
      </c>
      <c r="BV78" s="224">
        <v>1.9837751234647841E-3</v>
      </c>
      <c r="BW78" s="224">
        <v>3.2889657934660915E-3</v>
      </c>
      <c r="BX78" s="224">
        <v>6.1249220334813788E-3</v>
      </c>
      <c r="BY78" s="224">
        <v>5.2898862034496718E-3</v>
      </c>
      <c r="BZ78" s="224">
        <v>8.9932101263546019E-4</v>
      </c>
      <c r="CA78" s="224">
        <v>0</v>
      </c>
      <c r="CB78" s="224">
        <v>8.9932101263546019E-4</v>
      </c>
      <c r="CC78" s="224">
        <v>3.3049402142811615E-3</v>
      </c>
      <c r="CD78" s="224">
        <v>4.8883857647314963E-3</v>
      </c>
      <c r="CE78" s="224">
        <v>2.5233677310460599E-3</v>
      </c>
      <c r="CF78" s="224">
        <v>1.7527888034881412E-2</v>
      </c>
      <c r="CG78" s="224">
        <v>4.8427094507761982E-3</v>
      </c>
      <c r="CH78" s="224">
        <v>4.6267337934320103E-3</v>
      </c>
      <c r="CI78" s="224">
        <v>3.1520142906130873E-3</v>
      </c>
      <c r="CJ78" s="224">
        <v>2.2497661137183093E-3</v>
      </c>
      <c r="CK78" s="224">
        <v>9.9071669602866503E-4</v>
      </c>
      <c r="CL78" s="224">
        <v>8.1085249350157287E-4</v>
      </c>
      <c r="CM78" s="224">
        <v>2.6293529694290569E-2</v>
      </c>
      <c r="CN78" s="224">
        <v>1.2649019813899105E-2</v>
      </c>
      <c r="CO78" s="224">
        <v>3.5972840505418412E-4</v>
      </c>
      <c r="CP78" s="224">
        <v>0.28913063907835052</v>
      </c>
      <c r="CQ78" s="224">
        <v>4.6977961219936554E-2</v>
      </c>
      <c r="CR78" s="224">
        <v>4.4869283814959289E-3</v>
      </c>
      <c r="CS78" s="224">
        <v>4.1965387772992264E-3</v>
      </c>
      <c r="CT78" s="224">
        <v>2.6717393583470515E-3</v>
      </c>
      <c r="CU78" s="224">
        <v>2.3491856351071688E-3</v>
      </c>
      <c r="CV78" s="224">
        <v>1.171751764259484E-3</v>
      </c>
      <c r="CW78" s="224">
        <v>3.5972840505418412E-4</v>
      </c>
      <c r="CX78" s="224">
        <v>7.2168145494544943E-3</v>
      </c>
      <c r="CY78" s="224">
        <v>3.404816002074059E-3</v>
      </c>
      <c r="CZ78" s="224">
        <v>4.9837503116399199E-3</v>
      </c>
      <c r="DA78" s="224">
        <v>5.7917617518473919E-3</v>
      </c>
      <c r="DB78" s="224">
        <v>3.5665921855806467E-3</v>
      </c>
      <c r="DC78" s="224">
        <v>4.4062468952033489E-3</v>
      </c>
      <c r="DD78" s="224">
        <v>1.7113443718407603E-3</v>
      </c>
      <c r="DE78" s="224">
        <v>0</v>
      </c>
      <c r="DF78" s="224">
        <v>8.1517046395377952E-3</v>
      </c>
      <c r="DG78" s="224">
        <v>3.9444086096553348E-3</v>
      </c>
      <c r="DH78" s="224">
        <v>5.9744670076685852E-3</v>
      </c>
      <c r="DI78" s="224">
        <v>0</v>
      </c>
      <c r="DJ78" s="224">
        <v>0</v>
      </c>
      <c r="DK78" s="224">
        <v>0</v>
      </c>
      <c r="DL78" s="224">
        <v>0</v>
      </c>
      <c r="DM78" s="224">
        <v>0</v>
      </c>
      <c r="DN78" s="224">
        <v>0</v>
      </c>
      <c r="DO78" s="224">
        <v>0</v>
      </c>
      <c r="DP78" s="224">
        <v>0</v>
      </c>
      <c r="DQ78" s="224">
        <f t="shared" si="1"/>
        <v>0.99999999999999956</v>
      </c>
    </row>
    <row r="79" spans="1:121" x14ac:dyDescent="0.3">
      <c r="A79" s="223" t="s">
        <v>1175</v>
      </c>
      <c r="B79" s="223" t="s">
        <v>1169</v>
      </c>
      <c r="C79" s="223" t="s">
        <v>1089</v>
      </c>
      <c r="D79" s="223" t="s">
        <v>21</v>
      </c>
      <c r="E79" s="223" t="s">
        <v>1090</v>
      </c>
      <c r="F79" s="224">
        <v>0</v>
      </c>
      <c r="G79" s="224">
        <v>2.219626168224299E-2</v>
      </c>
      <c r="H79" s="224">
        <v>1.8691588785046728E-2</v>
      </c>
      <c r="I79" s="224">
        <v>9.3457943925233638E-3</v>
      </c>
      <c r="J79" s="224">
        <v>0</v>
      </c>
      <c r="K79" s="224">
        <v>1.8691588785046728E-2</v>
      </c>
      <c r="L79" s="224">
        <v>2.9205607476635514E-2</v>
      </c>
      <c r="M79" s="224">
        <v>7.0093457943925228E-2</v>
      </c>
      <c r="N79" s="224">
        <v>4.6728971962616821E-2</v>
      </c>
      <c r="O79" s="224">
        <v>0</v>
      </c>
      <c r="P79" s="224">
        <v>0</v>
      </c>
      <c r="Q79" s="224">
        <v>0</v>
      </c>
      <c r="R79" s="224">
        <v>0</v>
      </c>
      <c r="S79" s="224">
        <v>0</v>
      </c>
      <c r="T79" s="224">
        <v>0</v>
      </c>
      <c r="U79" s="224">
        <v>0</v>
      </c>
      <c r="V79" s="224">
        <v>7.476635514018691E-2</v>
      </c>
      <c r="W79" s="224">
        <v>2.8037383177570093E-2</v>
      </c>
      <c r="X79" s="224">
        <v>0</v>
      </c>
      <c r="Y79" s="224">
        <v>0</v>
      </c>
      <c r="Z79" s="224">
        <v>0</v>
      </c>
      <c r="AA79" s="224">
        <v>0</v>
      </c>
      <c r="AB79" s="224">
        <v>0</v>
      </c>
      <c r="AC79" s="224">
        <v>0</v>
      </c>
      <c r="AD79" s="224">
        <v>0</v>
      </c>
      <c r="AE79" s="224">
        <v>0</v>
      </c>
      <c r="AF79" s="224">
        <v>0</v>
      </c>
      <c r="AG79" s="224">
        <v>3.5046728971962614E-2</v>
      </c>
      <c r="AH79" s="224">
        <v>0</v>
      </c>
      <c r="AI79" s="224">
        <v>1.8691588785046728E-2</v>
      </c>
      <c r="AJ79" s="224">
        <v>3.0373831775700934E-2</v>
      </c>
      <c r="AK79" s="224">
        <v>0</v>
      </c>
      <c r="AL79" s="224">
        <v>0</v>
      </c>
      <c r="AM79" s="224">
        <v>0</v>
      </c>
      <c r="AN79" s="224">
        <v>2.8037383177570093E-2</v>
      </c>
      <c r="AO79" s="224">
        <v>0</v>
      </c>
      <c r="AP79" s="224">
        <v>0</v>
      </c>
      <c r="AQ79" s="224">
        <v>2.8037383177570093E-2</v>
      </c>
      <c r="AR79" s="224">
        <v>0</v>
      </c>
      <c r="AS79" s="224">
        <v>0</v>
      </c>
      <c r="AT79" s="224">
        <v>0</v>
      </c>
      <c r="AU79" s="224">
        <v>0</v>
      </c>
      <c r="AV79" s="224">
        <v>0</v>
      </c>
      <c r="AW79" s="224">
        <v>0</v>
      </c>
      <c r="AX79" s="224">
        <v>4.6728971962616819E-3</v>
      </c>
      <c r="AY79" s="224">
        <v>9.3457943925233638E-3</v>
      </c>
      <c r="AZ79" s="224">
        <v>4.6728971962616819E-3</v>
      </c>
      <c r="BA79" s="224">
        <v>0</v>
      </c>
      <c r="BB79" s="224">
        <v>0</v>
      </c>
      <c r="BC79" s="224">
        <v>9.3457943925233638E-3</v>
      </c>
      <c r="BD79" s="224">
        <v>4.6728971962616821E-2</v>
      </c>
      <c r="BE79" s="224">
        <v>0</v>
      </c>
      <c r="BF79" s="224">
        <v>9.3457943925233638E-3</v>
      </c>
      <c r="BG79" s="224">
        <v>0</v>
      </c>
      <c r="BH79" s="224">
        <v>0</v>
      </c>
      <c r="BI79" s="224">
        <v>0</v>
      </c>
      <c r="BJ79" s="224">
        <v>0</v>
      </c>
      <c r="BK79" s="224">
        <v>0</v>
      </c>
      <c r="BL79" s="224">
        <v>0</v>
      </c>
      <c r="BM79" s="224">
        <v>0</v>
      </c>
      <c r="BN79" s="224">
        <v>0</v>
      </c>
      <c r="BO79" s="224">
        <v>0</v>
      </c>
      <c r="BP79" s="224">
        <v>0</v>
      </c>
      <c r="BQ79" s="224">
        <v>0</v>
      </c>
      <c r="BR79" s="224">
        <v>0</v>
      </c>
      <c r="BS79" s="224">
        <v>0</v>
      </c>
      <c r="BT79" s="224">
        <v>0</v>
      </c>
      <c r="BU79" s="224">
        <v>0</v>
      </c>
      <c r="BV79" s="224">
        <v>0</v>
      </c>
      <c r="BW79" s="224">
        <v>0</v>
      </c>
      <c r="BX79" s="224">
        <v>0</v>
      </c>
      <c r="BY79" s="224">
        <v>0</v>
      </c>
      <c r="BZ79" s="224">
        <v>0</v>
      </c>
      <c r="CA79" s="224">
        <v>0</v>
      </c>
      <c r="CB79" s="224">
        <v>0</v>
      </c>
      <c r="CC79" s="224">
        <v>0</v>
      </c>
      <c r="CD79" s="224">
        <v>0</v>
      </c>
      <c r="CE79" s="224">
        <v>0</v>
      </c>
      <c r="CF79" s="224">
        <v>0</v>
      </c>
      <c r="CG79" s="224">
        <v>0</v>
      </c>
      <c r="CH79" s="224">
        <v>0</v>
      </c>
      <c r="CI79" s="224">
        <v>0</v>
      </c>
      <c r="CJ79" s="224">
        <v>0</v>
      </c>
      <c r="CK79" s="224">
        <v>0</v>
      </c>
      <c r="CL79" s="224">
        <v>0</v>
      </c>
      <c r="CM79" s="224">
        <v>0</v>
      </c>
      <c r="CN79" s="224">
        <v>0</v>
      </c>
      <c r="CO79" s="224">
        <v>0</v>
      </c>
      <c r="CP79" s="224">
        <v>0.24065420560747663</v>
      </c>
      <c r="CQ79" s="224">
        <v>0.21728971962616822</v>
      </c>
      <c r="CR79" s="224">
        <v>0</v>
      </c>
      <c r="CS79" s="224">
        <v>0</v>
      </c>
      <c r="CT79" s="224">
        <v>0</v>
      </c>
      <c r="CU79" s="224">
        <v>0</v>
      </c>
      <c r="CV79" s="224">
        <v>0</v>
      </c>
      <c r="CW79" s="224">
        <v>0</v>
      </c>
      <c r="CX79" s="224">
        <v>0</v>
      </c>
      <c r="CY79" s="224">
        <v>0</v>
      </c>
      <c r="CZ79" s="224">
        <v>0</v>
      </c>
      <c r="DA79" s="224">
        <v>0</v>
      </c>
      <c r="DB79" s="224">
        <v>0</v>
      </c>
      <c r="DC79" s="224">
        <v>0</v>
      </c>
      <c r="DD79" s="224">
        <v>0</v>
      </c>
      <c r="DE79" s="224">
        <v>0</v>
      </c>
      <c r="DF79" s="224">
        <v>0</v>
      </c>
      <c r="DG79" s="224">
        <v>0</v>
      </c>
      <c r="DH79" s="224">
        <v>0</v>
      </c>
      <c r="DI79" s="224">
        <v>0</v>
      </c>
      <c r="DJ79" s="224">
        <v>0</v>
      </c>
      <c r="DK79" s="224">
        <v>0</v>
      </c>
      <c r="DL79" s="224">
        <v>0</v>
      </c>
      <c r="DM79" s="224">
        <v>0</v>
      </c>
      <c r="DN79" s="224">
        <v>0</v>
      </c>
      <c r="DO79" s="224">
        <v>0</v>
      </c>
      <c r="DP79" s="224">
        <v>0</v>
      </c>
      <c r="DQ79" s="224">
        <f t="shared" si="1"/>
        <v>1</v>
      </c>
    </row>
    <row r="80" spans="1:121" x14ac:dyDescent="0.3">
      <c r="A80" s="223" t="s">
        <v>1176</v>
      </c>
      <c r="B80" s="223" t="s">
        <v>1177</v>
      </c>
      <c r="C80" s="223" t="s">
        <v>1092</v>
      </c>
      <c r="D80" s="223" t="s">
        <v>1087</v>
      </c>
      <c r="E80" s="223" t="s">
        <v>1093</v>
      </c>
      <c r="F80" s="224">
        <v>0.31901036103414998</v>
      </c>
      <c r="G80" s="224">
        <v>2.4803652534486256E-2</v>
      </c>
      <c r="H80" s="224">
        <v>8.8550350669125266E-3</v>
      </c>
      <c r="I80" s="224">
        <v>7.5562937495190195E-4</v>
      </c>
      <c r="J80" s="224">
        <v>1.4253785805509944E-3</v>
      </c>
      <c r="K80" s="224">
        <v>7.6936216002882621E-3</v>
      </c>
      <c r="L80" s="224">
        <v>2.1016337620196768E-2</v>
      </c>
      <c r="M80" s="224">
        <v>1.9411833402273319E-2</v>
      </c>
      <c r="N80" s="224">
        <v>1.6232057389957907E-2</v>
      </c>
      <c r="O80" s="224">
        <v>1.8982623973483336E-2</v>
      </c>
      <c r="P80" s="224">
        <v>2.9330392174824714E-4</v>
      </c>
      <c r="Q80" s="224">
        <v>9.404325465680283E-4</v>
      </c>
      <c r="R80" s="224">
        <v>0</v>
      </c>
      <c r="S80" s="224">
        <v>0</v>
      </c>
      <c r="T80" s="224">
        <v>0</v>
      </c>
      <c r="U80" s="224">
        <v>0</v>
      </c>
      <c r="V80" s="224">
        <v>2.2856321020886783E-3</v>
      </c>
      <c r="W80" s="224">
        <v>2.7525867630504991E-3</v>
      </c>
      <c r="X80" s="224">
        <v>9.3693055022339852E-4</v>
      </c>
      <c r="Y80" s="224">
        <v>3.6163288873434264E-3</v>
      </c>
      <c r="Z80" s="224">
        <v>9.8032801019032421E-3</v>
      </c>
      <c r="AA80" s="224">
        <v>1.0830902537679982E-3</v>
      </c>
      <c r="AB80" s="224">
        <v>2.0937318657183492E-3</v>
      </c>
      <c r="AC80" s="224">
        <v>5.6652087295116704E-3</v>
      </c>
      <c r="AD80" s="224">
        <v>2.4039845082604087E-3</v>
      </c>
      <c r="AE80" s="224">
        <v>1.0405137034211461E-3</v>
      </c>
      <c r="AF80" s="224">
        <v>6.2881217380368477E-5</v>
      </c>
      <c r="AG80" s="224">
        <v>4.2156111206057677E-3</v>
      </c>
      <c r="AH80" s="224">
        <v>3.574818058406527E-3</v>
      </c>
      <c r="AI80" s="224">
        <v>4.5146193371480379E-3</v>
      </c>
      <c r="AJ80" s="224">
        <v>1.1273277024850181E-2</v>
      </c>
      <c r="AK80" s="224">
        <v>4.0161264041895647E-3</v>
      </c>
      <c r="AL80" s="224">
        <v>1.1037627671680124E-3</v>
      </c>
      <c r="AM80" s="224">
        <v>2.7392569765451121E-4</v>
      </c>
      <c r="AN80" s="224">
        <v>2.8533093329878817E-3</v>
      </c>
      <c r="AO80" s="224">
        <v>6.2967370786687861E-3</v>
      </c>
      <c r="AP80" s="224">
        <v>3.1318902449972616E-3</v>
      </c>
      <c r="AQ80" s="224">
        <v>2.8791093603740621E-3</v>
      </c>
      <c r="AR80" s="224">
        <v>4.1989928295545816E-3</v>
      </c>
      <c r="AS80" s="224">
        <v>3.0090212781276899E-3</v>
      </c>
      <c r="AT80" s="224">
        <v>1.5157819328104332E-3</v>
      </c>
      <c r="AU80" s="224">
        <v>1.3774039912435908E-3</v>
      </c>
      <c r="AV80" s="224">
        <v>3.1640563202024995E-4</v>
      </c>
      <c r="AW80" s="224">
        <v>0</v>
      </c>
      <c r="AX80" s="224">
        <v>4.9648050902449349E-3</v>
      </c>
      <c r="AY80" s="224">
        <v>6.5109559659270412E-3</v>
      </c>
      <c r="AZ80" s="224">
        <v>1.0217783482650987E-3</v>
      </c>
      <c r="BA80" s="224">
        <v>3.9614029150213314E-3</v>
      </c>
      <c r="BB80" s="224">
        <v>4.8959986534720444E-4</v>
      </c>
      <c r="BC80" s="224">
        <v>8.776597713847813E-3</v>
      </c>
      <c r="BD80" s="224">
        <v>1.7119809107317762E-2</v>
      </c>
      <c r="BE80" s="224">
        <v>2.802047194685953E-2</v>
      </c>
      <c r="BF80" s="224">
        <v>3.4217324120784792E-3</v>
      </c>
      <c r="BG80" s="224">
        <v>1.8628412910923698E-2</v>
      </c>
      <c r="BH80" s="224">
        <v>1.9901803202060631E-2</v>
      </c>
      <c r="BI80" s="224">
        <v>4.1323818040003507E-3</v>
      </c>
      <c r="BJ80" s="224">
        <v>5.1166053854605131E-3</v>
      </c>
      <c r="BK80" s="224">
        <v>5.3519250519725786E-3</v>
      </c>
      <c r="BL80" s="224">
        <v>6.0169412448048904E-3</v>
      </c>
      <c r="BM80" s="224">
        <v>9.4864383274677611E-3</v>
      </c>
      <c r="BN80" s="224">
        <v>4.8041420950165935E-3</v>
      </c>
      <c r="BO80" s="224">
        <v>4.5034054645461908E-3</v>
      </c>
      <c r="BP80" s="224">
        <v>0</v>
      </c>
      <c r="BQ80" s="224">
        <v>4.2529859395884468E-4</v>
      </c>
      <c r="BR80" s="224">
        <v>3.377024826312846E-3</v>
      </c>
      <c r="BS80" s="224">
        <v>2.861840898499834E-3</v>
      </c>
      <c r="BT80" s="224">
        <v>1.058056790554142E-2</v>
      </c>
      <c r="BU80" s="224">
        <v>2.594765040174386E-2</v>
      </c>
      <c r="BV80" s="224">
        <v>3.9560209885659853E-3</v>
      </c>
      <c r="BW80" s="224">
        <v>4.1655641309217492E-3</v>
      </c>
      <c r="BX80" s="224">
        <v>1.143367159538307E-2</v>
      </c>
      <c r="BY80" s="224">
        <v>6.9141177752086551E-3</v>
      </c>
      <c r="BZ80" s="224">
        <v>5.0255325834553414E-3</v>
      </c>
      <c r="CA80" s="224">
        <v>0</v>
      </c>
      <c r="CB80" s="224">
        <v>3.0867187633268968E-4</v>
      </c>
      <c r="CC80" s="224">
        <v>5.1924480704870204E-3</v>
      </c>
      <c r="CD80" s="224">
        <v>2.9961239582146017E-3</v>
      </c>
      <c r="CE80" s="224">
        <v>8.2468719889203686E-3</v>
      </c>
      <c r="CF80" s="224">
        <v>4.4572871405216548E-2</v>
      </c>
      <c r="CG80" s="224">
        <v>7.6780806654130626E-3</v>
      </c>
      <c r="CH80" s="224">
        <v>5.7180799770561687E-3</v>
      </c>
      <c r="CI80" s="224">
        <v>2.6505615254035189E-3</v>
      </c>
      <c r="CJ80" s="224">
        <v>7.7628500243926875E-3</v>
      </c>
      <c r="CK80" s="224">
        <v>5.3411691305478735E-3</v>
      </c>
      <c r="CL80" s="224">
        <v>2.042146708701694E-3</v>
      </c>
      <c r="CM80" s="224">
        <v>6.5733824235726422E-3</v>
      </c>
      <c r="CN80" s="224">
        <v>3.1622549534747763E-3</v>
      </c>
      <c r="CO80" s="224">
        <v>2.8233691184256487E-3</v>
      </c>
      <c r="CP80" s="224">
        <v>7.2282659769587629E-2</v>
      </c>
      <c r="CQ80" s="224">
        <v>1.1744490304984138E-2</v>
      </c>
      <c r="CR80" s="224">
        <v>7.4487246111826534E-3</v>
      </c>
      <c r="CS80" s="224">
        <v>5.9216916100575069E-3</v>
      </c>
      <c r="CT80" s="224">
        <v>3.5168852153149854E-3</v>
      </c>
      <c r="CU80" s="224">
        <v>2.5477533621319514E-3</v>
      </c>
      <c r="CV80" s="224">
        <v>4.3687648844928243E-3</v>
      </c>
      <c r="CW80" s="224">
        <v>2.0903334361100823E-3</v>
      </c>
      <c r="CX80" s="224">
        <v>1.8042036373636236E-3</v>
      </c>
      <c r="CY80" s="224">
        <v>8.5120400051851475E-4</v>
      </c>
      <c r="CZ80" s="224">
        <v>1.24593757790998E-3</v>
      </c>
      <c r="DA80" s="224">
        <v>7.5065872837556972E-3</v>
      </c>
      <c r="DB80" s="224">
        <v>5.316296601052063E-3</v>
      </c>
      <c r="DC80" s="224">
        <v>3.6953458737869703E-3</v>
      </c>
      <c r="DD80" s="224">
        <v>3.9008859576503629E-3</v>
      </c>
      <c r="DE80" s="224">
        <v>2.5569233286548785E-3</v>
      </c>
      <c r="DF80" s="224">
        <v>2.0379261598844488E-3</v>
      </c>
      <c r="DG80" s="224">
        <v>9.8610215241383371E-4</v>
      </c>
      <c r="DH80" s="224">
        <v>1.4936167519171463E-3</v>
      </c>
      <c r="DI80" s="224">
        <v>0</v>
      </c>
      <c r="DJ80" s="224">
        <v>9.8305928527358459E-4</v>
      </c>
      <c r="DK80" s="224">
        <v>0</v>
      </c>
      <c r="DL80" s="224">
        <v>0</v>
      </c>
      <c r="DM80" s="224">
        <v>0</v>
      </c>
      <c r="DN80" s="224">
        <v>0</v>
      </c>
      <c r="DO80" s="224">
        <v>0</v>
      </c>
      <c r="DP80" s="224">
        <v>0</v>
      </c>
      <c r="DQ80" s="224">
        <f t="shared" si="1"/>
        <v>1</v>
      </c>
    </row>
    <row r="81" spans="1:121" x14ac:dyDescent="0.3">
      <c r="A81" s="223" t="s">
        <v>1178</v>
      </c>
      <c r="B81" s="223" t="s">
        <v>1177</v>
      </c>
      <c r="C81" s="223" t="s">
        <v>1095</v>
      </c>
      <c r="D81" s="223" t="s">
        <v>1087</v>
      </c>
      <c r="E81" s="223" t="s">
        <v>1096</v>
      </c>
      <c r="F81" s="224">
        <v>0.20882529152128518</v>
      </c>
      <c r="G81" s="224">
        <v>2.7855648118933343E-2</v>
      </c>
      <c r="H81" s="224">
        <v>2.2467071638285454E-2</v>
      </c>
      <c r="I81" s="224">
        <v>1.6670302058710866E-3</v>
      </c>
      <c r="J81" s="224">
        <v>2.5615966543320219E-4</v>
      </c>
      <c r="K81" s="224">
        <v>7.6602279831974466E-3</v>
      </c>
      <c r="L81" s="224">
        <v>1.9086514921195941E-2</v>
      </c>
      <c r="M81" s="224">
        <v>1.3957348595857975E-2</v>
      </c>
      <c r="N81" s="224">
        <v>1.6615324380831888E-2</v>
      </c>
      <c r="O81" s="224">
        <v>1.0795508167058036E-2</v>
      </c>
      <c r="P81" s="224">
        <v>6.1000480512625249E-4</v>
      </c>
      <c r="Q81" s="224">
        <v>1.220009610252505E-3</v>
      </c>
      <c r="R81" s="224">
        <v>0</v>
      </c>
      <c r="S81" s="224">
        <v>0</v>
      </c>
      <c r="T81" s="224">
        <v>0</v>
      </c>
      <c r="U81" s="224">
        <v>0</v>
      </c>
      <c r="V81" s="224">
        <v>5.9608689667049446E-3</v>
      </c>
      <c r="W81" s="224">
        <v>7.5585345350572585E-3</v>
      </c>
      <c r="X81" s="224">
        <v>5.3667508376186385E-3</v>
      </c>
      <c r="Y81" s="224">
        <v>3.6625037859017179E-3</v>
      </c>
      <c r="Z81" s="224">
        <v>5.0727482674047452E-3</v>
      </c>
      <c r="AA81" s="224">
        <v>1.1539219746728624E-3</v>
      </c>
      <c r="AB81" s="224">
        <v>4.1651431416148206E-5</v>
      </c>
      <c r="AC81" s="224">
        <v>1.8950372463823928E-3</v>
      </c>
      <c r="AD81" s="224">
        <v>3.0354666107781161E-3</v>
      </c>
      <c r="AE81" s="224">
        <v>4.1651431416148206E-5</v>
      </c>
      <c r="AF81" s="224">
        <v>1.6660572566459282E-4</v>
      </c>
      <c r="AG81" s="224">
        <v>1.063476050531729E-2</v>
      </c>
      <c r="AH81" s="224">
        <v>4.8862060618707903E-3</v>
      </c>
      <c r="AI81" s="224">
        <v>6.1601880092312386E-3</v>
      </c>
      <c r="AJ81" s="224">
        <v>1.3484888708742799E-2</v>
      </c>
      <c r="AK81" s="224">
        <v>4.8301784472775883E-3</v>
      </c>
      <c r="AL81" s="224">
        <v>4.6290280247675572E-3</v>
      </c>
      <c r="AM81" s="224">
        <v>8.7361938552067014E-4</v>
      </c>
      <c r="AN81" s="224">
        <v>6.5093224255817397E-3</v>
      </c>
      <c r="AO81" s="224">
        <v>8.9810844494954915E-3</v>
      </c>
      <c r="AP81" s="224">
        <v>4.4930589210100463E-3</v>
      </c>
      <c r="AQ81" s="224">
        <v>5.1657163311890084E-3</v>
      </c>
      <c r="AR81" s="224">
        <v>1.6444498294207162E-3</v>
      </c>
      <c r="AS81" s="224">
        <v>3.3495099505510295E-3</v>
      </c>
      <c r="AT81" s="224">
        <v>5.0774308200050779E-4</v>
      </c>
      <c r="AU81" s="224">
        <v>6.9054375082375557E-3</v>
      </c>
      <c r="AV81" s="224">
        <v>2.8417668685505213E-4</v>
      </c>
      <c r="AW81" s="224">
        <v>5.6835337371010427E-4</v>
      </c>
      <c r="AX81" s="224">
        <v>9.4917008846971303E-3</v>
      </c>
      <c r="AY81" s="224">
        <v>6.944991324936884E-3</v>
      </c>
      <c r="AZ81" s="224">
        <v>4.7677958846013063E-3</v>
      </c>
      <c r="BA81" s="224">
        <v>8.8326145453251088E-3</v>
      </c>
      <c r="BB81" s="224">
        <v>2.5217370879610729E-3</v>
      </c>
      <c r="BC81" s="224">
        <v>1.7866824728036433E-2</v>
      </c>
      <c r="BD81" s="224">
        <v>3.392673508727892E-2</v>
      </c>
      <c r="BE81" s="224">
        <v>2.9512789916167733E-2</v>
      </c>
      <c r="BF81" s="224">
        <v>1.1069179272409392E-2</v>
      </c>
      <c r="BG81" s="224">
        <v>1.255288055387576E-2</v>
      </c>
      <c r="BH81" s="224">
        <v>9.332999112507661E-3</v>
      </c>
      <c r="BI81" s="224">
        <v>4.2544584507582589E-3</v>
      </c>
      <c r="BJ81" s="224">
        <v>6.9778011964063769E-3</v>
      </c>
      <c r="BK81" s="224">
        <v>3.8834673926213441E-3</v>
      </c>
      <c r="BL81" s="224">
        <v>3.8816959635520178E-3</v>
      </c>
      <c r="BM81" s="224">
        <v>6.4006443999984706E-3</v>
      </c>
      <c r="BN81" s="224">
        <v>4.3528085337865615E-3</v>
      </c>
      <c r="BO81" s="224">
        <v>1.6444498294207162E-3</v>
      </c>
      <c r="BP81" s="224">
        <v>0</v>
      </c>
      <c r="BQ81" s="224">
        <v>0</v>
      </c>
      <c r="BR81" s="224">
        <v>2.6894876675468316E-3</v>
      </c>
      <c r="BS81" s="224">
        <v>3.1277009033394729E-3</v>
      </c>
      <c r="BT81" s="224">
        <v>2.1619530496687325E-3</v>
      </c>
      <c r="BU81" s="224">
        <v>2.2842236151576618E-2</v>
      </c>
      <c r="BV81" s="224">
        <v>4.9945023582508349E-3</v>
      </c>
      <c r="BW81" s="224">
        <v>4.3983446120351537E-3</v>
      </c>
      <c r="BX81" s="224">
        <v>9.019425553567148E-3</v>
      </c>
      <c r="BY81" s="224">
        <v>5.1303143975847121E-3</v>
      </c>
      <c r="BZ81" s="224">
        <v>1.6444498294207162E-3</v>
      </c>
      <c r="CA81" s="224">
        <v>0</v>
      </c>
      <c r="CB81" s="224">
        <v>0</v>
      </c>
      <c r="CC81" s="224">
        <v>3.5593557465365203E-3</v>
      </c>
      <c r="CD81" s="224">
        <v>4.2923615406214735E-3</v>
      </c>
      <c r="CE81" s="224">
        <v>3.4134089692922265E-3</v>
      </c>
      <c r="CF81" s="224">
        <v>3.7055038104913653E-2</v>
      </c>
      <c r="CG81" s="224">
        <v>5.1090176441548531E-3</v>
      </c>
      <c r="CH81" s="224">
        <v>8.7037099999212591E-3</v>
      </c>
      <c r="CI81" s="224">
        <v>7.4270783339840992E-3</v>
      </c>
      <c r="CJ81" s="224">
        <v>1.0964762166062177E-2</v>
      </c>
      <c r="CK81" s="224">
        <v>1.5722985891963394E-2</v>
      </c>
      <c r="CL81" s="224">
        <v>9.9804308939017601E-3</v>
      </c>
      <c r="CM81" s="224">
        <v>8.2646900706850306E-3</v>
      </c>
      <c r="CN81" s="224">
        <v>6.0396783856142286E-3</v>
      </c>
      <c r="CO81" s="224">
        <v>5.3940201124919934E-3</v>
      </c>
      <c r="CP81" s="224">
        <v>6.8585183808150374E-2</v>
      </c>
      <c r="CQ81" s="224">
        <v>2.8516085124478872E-2</v>
      </c>
      <c r="CR81" s="224">
        <v>1.6041097515284462E-2</v>
      </c>
      <c r="CS81" s="224">
        <v>3.7851074281588333E-3</v>
      </c>
      <c r="CT81" s="224">
        <v>2.138453889725864E-3</v>
      </c>
      <c r="CU81" s="224">
        <v>4.1250488868768889E-3</v>
      </c>
      <c r="CV81" s="224">
        <v>5.6649052790385132E-3</v>
      </c>
      <c r="CW81" s="224">
        <v>1.4036794369140944E-3</v>
      </c>
      <c r="CX81" s="224">
        <v>1.131985460826365E-3</v>
      </c>
      <c r="CY81" s="224">
        <v>4.3304357106401805E-4</v>
      </c>
      <c r="CZ81" s="224">
        <v>6.8649039050775254E-4</v>
      </c>
      <c r="DA81" s="224">
        <v>5.2067753418327013E-3</v>
      </c>
      <c r="DB81" s="224">
        <v>2.6891342077137903E-3</v>
      </c>
      <c r="DC81" s="224">
        <v>5.3295058271816825E-3</v>
      </c>
      <c r="DD81" s="224">
        <v>6.5710207543616134E-3</v>
      </c>
      <c r="DE81" s="224">
        <v>1.625402290735911E-3</v>
      </c>
      <c r="DF81" s="224">
        <v>2.3427829645578202E-3</v>
      </c>
      <c r="DG81" s="224">
        <v>7.2411478616589723E-4</v>
      </c>
      <c r="DH81" s="224">
        <v>1.1795338066477885E-3</v>
      </c>
      <c r="DI81" s="224">
        <v>0</v>
      </c>
      <c r="DJ81" s="224">
        <v>1.2330586969087575E-3</v>
      </c>
      <c r="DK81" s="224">
        <v>2.1361250634911677E-2</v>
      </c>
      <c r="DL81" s="224">
        <v>1.0196211223357225E-2</v>
      </c>
      <c r="DM81" s="224">
        <v>0</v>
      </c>
      <c r="DN81" s="224">
        <v>0</v>
      </c>
      <c r="DO81" s="224">
        <v>0</v>
      </c>
      <c r="DP81" s="224">
        <v>0</v>
      </c>
      <c r="DQ81" s="224">
        <f t="shared" si="1"/>
        <v>0.99999999999999967</v>
      </c>
    </row>
    <row r="82" spans="1:121" x14ac:dyDescent="0.3">
      <c r="A82" s="223" t="s">
        <v>1179</v>
      </c>
      <c r="B82" s="223" t="s">
        <v>1177</v>
      </c>
      <c r="C82" s="223" t="s">
        <v>1089</v>
      </c>
      <c r="D82" s="223" t="s">
        <v>1087</v>
      </c>
      <c r="E82" s="223" t="s">
        <v>1090</v>
      </c>
      <c r="F82" s="224">
        <v>0.21279212792127922</v>
      </c>
      <c r="G82" s="224">
        <v>4.9200492004920049E-2</v>
      </c>
      <c r="H82" s="224">
        <v>3.9360393603936041E-2</v>
      </c>
      <c r="I82" s="224">
        <v>0</v>
      </c>
      <c r="J82" s="224">
        <v>0</v>
      </c>
      <c r="K82" s="224">
        <v>3.2800328003280033E-2</v>
      </c>
      <c r="L82" s="224">
        <v>6.5600656006560065E-2</v>
      </c>
      <c r="M82" s="224">
        <v>2.6240262402624025E-2</v>
      </c>
      <c r="N82" s="224">
        <v>9.8400984009840101E-3</v>
      </c>
      <c r="O82" s="224">
        <v>0</v>
      </c>
      <c r="P82" s="224">
        <v>0</v>
      </c>
      <c r="Q82" s="224">
        <v>0</v>
      </c>
      <c r="R82" s="224">
        <v>0</v>
      </c>
      <c r="S82" s="224">
        <v>0</v>
      </c>
      <c r="T82" s="224">
        <v>0</v>
      </c>
      <c r="U82" s="224">
        <v>0</v>
      </c>
      <c r="V82" s="224">
        <v>2.6240262402624025E-2</v>
      </c>
      <c r="W82" s="224">
        <v>1.968019680196802E-2</v>
      </c>
      <c r="X82" s="224">
        <v>6.5600656006560062E-3</v>
      </c>
      <c r="Y82" s="224">
        <v>6.5600656006560062E-3</v>
      </c>
      <c r="Z82" s="224">
        <v>0</v>
      </c>
      <c r="AA82" s="224">
        <v>0</v>
      </c>
      <c r="AB82" s="224">
        <v>0</v>
      </c>
      <c r="AC82" s="224">
        <v>0</v>
      </c>
      <c r="AD82" s="224">
        <v>0</v>
      </c>
      <c r="AE82" s="224">
        <v>0</v>
      </c>
      <c r="AF82" s="224">
        <v>0</v>
      </c>
      <c r="AG82" s="224">
        <v>2.6240262402624025E-2</v>
      </c>
      <c r="AH82" s="224">
        <v>1.968019680196802E-2</v>
      </c>
      <c r="AI82" s="224">
        <v>1.968019680196802E-2</v>
      </c>
      <c r="AJ82" s="224">
        <v>2.6240262402624025E-2</v>
      </c>
      <c r="AK82" s="224">
        <v>2.6240262402624025E-2</v>
      </c>
      <c r="AL82" s="224">
        <v>1.3120131201312012E-2</v>
      </c>
      <c r="AM82" s="224">
        <v>0</v>
      </c>
      <c r="AN82" s="224">
        <v>1.3120131201312012E-2</v>
      </c>
      <c r="AO82" s="224">
        <v>0</v>
      </c>
      <c r="AP82" s="224">
        <v>0</v>
      </c>
      <c r="AQ82" s="224">
        <v>1.3120131201312012E-2</v>
      </c>
      <c r="AR82" s="224">
        <v>0</v>
      </c>
      <c r="AS82" s="224">
        <v>0</v>
      </c>
      <c r="AT82" s="224">
        <v>0</v>
      </c>
      <c r="AU82" s="224">
        <v>1.968019680196802E-2</v>
      </c>
      <c r="AV82" s="224">
        <v>0</v>
      </c>
      <c r="AW82" s="224">
        <v>0</v>
      </c>
      <c r="AX82" s="224">
        <v>1.968019680196802E-2</v>
      </c>
      <c r="AY82" s="224">
        <v>3.9360393603936041E-2</v>
      </c>
      <c r="AZ82" s="224">
        <v>1.3120131201312012E-2</v>
      </c>
      <c r="BA82" s="224">
        <v>0</v>
      </c>
      <c r="BB82" s="224">
        <v>0</v>
      </c>
      <c r="BC82" s="224">
        <v>1.968019680196802E-2</v>
      </c>
      <c r="BD82" s="224">
        <v>3.9360393603936041E-2</v>
      </c>
      <c r="BE82" s="224">
        <v>3.9360393603936041E-2</v>
      </c>
      <c r="BF82" s="224">
        <v>1.968019680196802E-2</v>
      </c>
      <c r="BG82" s="224">
        <v>1.968019680196802E-2</v>
      </c>
      <c r="BH82" s="224">
        <v>6.5600656006560062E-3</v>
      </c>
      <c r="BI82" s="224">
        <v>1.3120131201312012E-2</v>
      </c>
      <c r="BJ82" s="224">
        <v>1.968019680196802E-2</v>
      </c>
      <c r="BK82" s="224">
        <v>0</v>
      </c>
      <c r="BL82" s="224">
        <v>0</v>
      </c>
      <c r="BM82" s="224">
        <v>0</v>
      </c>
      <c r="BN82" s="224">
        <v>0</v>
      </c>
      <c r="BO82" s="224">
        <v>0</v>
      </c>
      <c r="BP82" s="224">
        <v>0</v>
      </c>
      <c r="BQ82" s="224">
        <v>0</v>
      </c>
      <c r="BR82" s="224">
        <v>0</v>
      </c>
      <c r="BS82" s="224">
        <v>0</v>
      </c>
      <c r="BT82" s="224">
        <v>0</v>
      </c>
      <c r="BU82" s="224">
        <v>0</v>
      </c>
      <c r="BV82" s="224">
        <v>0</v>
      </c>
      <c r="BW82" s="224">
        <v>0</v>
      </c>
      <c r="BX82" s="224">
        <v>0</v>
      </c>
      <c r="BY82" s="224">
        <v>0</v>
      </c>
      <c r="BZ82" s="224">
        <v>0</v>
      </c>
      <c r="CA82" s="224">
        <v>0</v>
      </c>
      <c r="CB82" s="224">
        <v>0</v>
      </c>
      <c r="CC82" s="224">
        <v>0</v>
      </c>
      <c r="CD82" s="224">
        <v>0</v>
      </c>
      <c r="CE82" s="224">
        <v>0</v>
      </c>
      <c r="CF82" s="224">
        <v>0</v>
      </c>
      <c r="CG82" s="224">
        <v>0</v>
      </c>
      <c r="CH82" s="224">
        <v>0</v>
      </c>
      <c r="CI82" s="224">
        <v>0</v>
      </c>
      <c r="CJ82" s="224">
        <v>0</v>
      </c>
      <c r="CK82" s="224">
        <v>0</v>
      </c>
      <c r="CL82" s="224">
        <v>0</v>
      </c>
      <c r="CM82" s="224">
        <v>0</v>
      </c>
      <c r="CN82" s="224">
        <v>0</v>
      </c>
      <c r="CO82" s="224">
        <v>0</v>
      </c>
      <c r="CP82" s="224">
        <v>0</v>
      </c>
      <c r="CQ82" s="224">
        <v>0</v>
      </c>
      <c r="CR82" s="224">
        <v>6.5600656006560065E-2</v>
      </c>
      <c r="CS82" s="224">
        <v>0</v>
      </c>
      <c r="CT82" s="224">
        <v>0</v>
      </c>
      <c r="CU82" s="224">
        <v>0</v>
      </c>
      <c r="CV82" s="224">
        <v>0</v>
      </c>
      <c r="CW82" s="224">
        <v>0</v>
      </c>
      <c r="CX82" s="224">
        <v>0</v>
      </c>
      <c r="CY82" s="224">
        <v>0</v>
      </c>
      <c r="CZ82" s="224">
        <v>0</v>
      </c>
      <c r="DA82" s="224">
        <v>0</v>
      </c>
      <c r="DB82" s="224">
        <v>0</v>
      </c>
      <c r="DC82" s="224">
        <v>0</v>
      </c>
      <c r="DD82" s="224">
        <v>0</v>
      </c>
      <c r="DE82" s="224">
        <v>0</v>
      </c>
      <c r="DF82" s="224">
        <v>0</v>
      </c>
      <c r="DG82" s="224">
        <v>0</v>
      </c>
      <c r="DH82" s="224">
        <v>0</v>
      </c>
      <c r="DI82" s="224">
        <v>1.3120131201312012E-2</v>
      </c>
      <c r="DJ82" s="224">
        <v>0</v>
      </c>
      <c r="DK82" s="224">
        <v>0</v>
      </c>
      <c r="DL82" s="224">
        <v>0</v>
      </c>
      <c r="DM82" s="224">
        <v>0</v>
      </c>
      <c r="DN82" s="224">
        <v>0</v>
      </c>
      <c r="DO82" s="224">
        <v>0</v>
      </c>
      <c r="DP82" s="224">
        <v>0</v>
      </c>
      <c r="DQ82" s="224">
        <f t="shared" si="1"/>
        <v>1</v>
      </c>
    </row>
    <row r="83" spans="1:121" x14ac:dyDescent="0.3">
      <c r="A83" s="223" t="s">
        <v>1180</v>
      </c>
      <c r="B83" s="223" t="s">
        <v>1177</v>
      </c>
      <c r="C83" s="223" t="s">
        <v>1092</v>
      </c>
      <c r="D83" s="223" t="s">
        <v>1087</v>
      </c>
      <c r="E83" s="223" t="s">
        <v>1096</v>
      </c>
      <c r="F83" s="224">
        <v>0.38214063443288049</v>
      </c>
      <c r="G83" s="224">
        <v>3.8941215891811702E-2</v>
      </c>
      <c r="H83" s="224">
        <v>8.100520078047074E-3</v>
      </c>
      <c r="I83" s="224">
        <v>5.9383304383972448E-4</v>
      </c>
      <c r="J83" s="224">
        <v>0</v>
      </c>
      <c r="K83" s="224">
        <v>4.8888859870869295E-3</v>
      </c>
      <c r="L83" s="224">
        <v>1.1348452602446111E-2</v>
      </c>
      <c r="M83" s="224">
        <v>1.0403255386528183E-2</v>
      </c>
      <c r="N83" s="224">
        <v>2.820430250694703E-2</v>
      </c>
      <c r="O83" s="224">
        <v>1.0403255386528183E-2</v>
      </c>
      <c r="P83" s="224">
        <v>0</v>
      </c>
      <c r="Q83" s="224">
        <v>0</v>
      </c>
      <c r="R83" s="224">
        <v>0</v>
      </c>
      <c r="S83" s="224">
        <v>0</v>
      </c>
      <c r="T83" s="224">
        <v>0</v>
      </c>
      <c r="U83" s="224">
        <v>0</v>
      </c>
      <c r="V83" s="224">
        <v>4.0162856380467904E-3</v>
      </c>
      <c r="W83" s="224">
        <v>2.2347865065276166E-3</v>
      </c>
      <c r="X83" s="224">
        <v>2.2347865065276166E-3</v>
      </c>
      <c r="Y83" s="224">
        <v>2.2347865065276166E-3</v>
      </c>
      <c r="Z83" s="224">
        <v>1.640953462687892E-3</v>
      </c>
      <c r="AA83" s="224">
        <v>5.9383304383972448E-4</v>
      </c>
      <c r="AB83" s="224">
        <v>0</v>
      </c>
      <c r="AC83" s="224">
        <v>2.9691652191986225E-3</v>
      </c>
      <c r="AD83" s="224">
        <v>5.0634060568949578E-3</v>
      </c>
      <c r="AE83" s="224">
        <v>0</v>
      </c>
      <c r="AF83" s="224">
        <v>0</v>
      </c>
      <c r="AG83" s="224">
        <v>4.0162856380467904E-3</v>
      </c>
      <c r="AH83" s="224">
        <v>2.8286195503673412E-3</v>
      </c>
      <c r="AI83" s="224">
        <v>5.4124461965110136E-3</v>
      </c>
      <c r="AJ83" s="224">
        <v>7.5066870342073485E-3</v>
      </c>
      <c r="AK83" s="224">
        <v>3.2218707155509409E-3</v>
      </c>
      <c r="AL83" s="224">
        <v>5.0634060568949578E-3</v>
      </c>
      <c r="AM83" s="224">
        <v>0</v>
      </c>
      <c r="AN83" s="224">
        <v>7.3298429319371729E-3</v>
      </c>
      <c r="AO83" s="224">
        <v>1.0475852253405971E-2</v>
      </c>
      <c r="AP83" s="224">
        <v>7.1576468945912936E-3</v>
      </c>
      <c r="AQ83" s="224">
        <v>3.177659689983397E-3</v>
      </c>
      <c r="AR83" s="224">
        <v>0</v>
      </c>
      <c r="AS83" s="224">
        <v>0</v>
      </c>
      <c r="AT83" s="224">
        <v>0</v>
      </c>
      <c r="AU83" s="224">
        <v>4.0162856380467904E-3</v>
      </c>
      <c r="AV83" s="224">
        <v>0</v>
      </c>
      <c r="AW83" s="224">
        <v>0</v>
      </c>
      <c r="AX83" s="224">
        <v>2.2347865065276166E-3</v>
      </c>
      <c r="AY83" s="224">
        <v>4.0162856380467904E-3</v>
      </c>
      <c r="AZ83" s="224">
        <v>2.2347865065276166E-3</v>
      </c>
      <c r="BA83" s="224">
        <v>1.3961605584642235E-3</v>
      </c>
      <c r="BB83" s="224">
        <v>3.6672454984307342E-3</v>
      </c>
      <c r="BC83" s="224">
        <v>5.0634060568949578E-3</v>
      </c>
      <c r="BD83" s="224">
        <v>1.4668981993722937E-2</v>
      </c>
      <c r="BE83" s="224">
        <v>1.4668981993722937E-2</v>
      </c>
      <c r="BF83" s="224">
        <v>2.4093065763356445E-3</v>
      </c>
      <c r="BG83" s="224">
        <v>3.0734124545910096E-3</v>
      </c>
      <c r="BH83" s="224">
        <v>4.557995064190321E-3</v>
      </c>
      <c r="BI83" s="224">
        <v>1.8857463669115608E-3</v>
      </c>
      <c r="BJ83" s="224">
        <v>1.8857463669115608E-3</v>
      </c>
      <c r="BK83" s="224">
        <v>5.4124461965110136E-3</v>
      </c>
      <c r="BL83" s="224">
        <v>5.4124461965110136E-3</v>
      </c>
      <c r="BM83" s="224">
        <v>1.0231059349182302E-2</v>
      </c>
      <c r="BN83" s="224">
        <v>5.4124461965110136E-3</v>
      </c>
      <c r="BO83" s="224">
        <v>2.4432809773123911E-3</v>
      </c>
      <c r="BP83" s="224">
        <v>0</v>
      </c>
      <c r="BQ83" s="224">
        <v>0</v>
      </c>
      <c r="BR83" s="224">
        <v>4.818613152671289E-3</v>
      </c>
      <c r="BS83" s="224">
        <v>4.818613152671289E-3</v>
      </c>
      <c r="BT83" s="224">
        <v>4.818613152671289E-3</v>
      </c>
      <c r="BU83" s="224">
        <v>3.3039308249794466E-2</v>
      </c>
      <c r="BV83" s="224">
        <v>5.4124461965110136E-3</v>
      </c>
      <c r="BW83" s="224">
        <v>5.0634060568949578E-3</v>
      </c>
      <c r="BX83" s="224">
        <v>8.9391460261104665E-3</v>
      </c>
      <c r="BY83" s="224">
        <v>5.0634060568949578E-3</v>
      </c>
      <c r="BZ83" s="224">
        <v>0</v>
      </c>
      <c r="CA83" s="224">
        <v>0</v>
      </c>
      <c r="CB83" s="224">
        <v>0</v>
      </c>
      <c r="CC83" s="224">
        <v>4.4695730130552332E-3</v>
      </c>
      <c r="CD83" s="224">
        <v>4.4695730130552332E-3</v>
      </c>
      <c r="CE83" s="224">
        <v>4.4695730130552332E-3</v>
      </c>
      <c r="CF83" s="224">
        <v>6.9870256029873221E-2</v>
      </c>
      <c r="CG83" s="224">
        <v>5.0634060568949578E-3</v>
      </c>
      <c r="CH83" s="224">
        <v>3.5257702166145939E-2</v>
      </c>
      <c r="CI83" s="224">
        <v>1.0475852253405971E-2</v>
      </c>
      <c r="CJ83" s="224">
        <v>1.3270497402796566E-2</v>
      </c>
      <c r="CK83" s="224">
        <v>1.1176256565100231E-2</v>
      </c>
      <c r="CL83" s="224">
        <v>9.777771974173859E-3</v>
      </c>
      <c r="CM83" s="224">
        <v>0</v>
      </c>
      <c r="CN83" s="224">
        <v>0</v>
      </c>
      <c r="CO83" s="224">
        <v>2.3753321753588979E-3</v>
      </c>
      <c r="CP83" s="224">
        <v>0</v>
      </c>
      <c r="CQ83" s="224">
        <v>0</v>
      </c>
      <c r="CR83" s="224">
        <v>1.0471204188481676E-3</v>
      </c>
      <c r="CS83" s="224">
        <v>4.818613152671289E-3</v>
      </c>
      <c r="CT83" s="224">
        <v>4.818613152671289E-3</v>
      </c>
      <c r="CU83" s="224">
        <v>1.7289107073305502E-2</v>
      </c>
      <c r="CV83" s="224">
        <v>1.4319941854106882E-2</v>
      </c>
      <c r="CW83" s="224">
        <v>2.3753321753588979E-3</v>
      </c>
      <c r="CX83" s="224">
        <v>0</v>
      </c>
      <c r="CY83" s="224">
        <v>0</v>
      </c>
      <c r="CZ83" s="224">
        <v>0</v>
      </c>
      <c r="DA83" s="224">
        <v>4.4695730130552332E-3</v>
      </c>
      <c r="DB83" s="224">
        <v>4.4695730130552332E-3</v>
      </c>
      <c r="DC83" s="224">
        <v>1.6940066933689449E-2</v>
      </c>
      <c r="DD83" s="224">
        <v>1.6940066933689449E-2</v>
      </c>
      <c r="DE83" s="224">
        <v>2.3753321753588979E-3</v>
      </c>
      <c r="DF83" s="224">
        <v>0</v>
      </c>
      <c r="DG83" s="224">
        <v>0</v>
      </c>
      <c r="DH83" s="224">
        <v>0</v>
      </c>
      <c r="DI83" s="224">
        <v>5.9383304383972448E-4</v>
      </c>
      <c r="DJ83" s="224">
        <v>0</v>
      </c>
      <c r="DK83" s="224">
        <v>0</v>
      </c>
      <c r="DL83" s="224">
        <v>0</v>
      </c>
      <c r="DM83" s="224">
        <v>0</v>
      </c>
      <c r="DN83" s="224">
        <v>0</v>
      </c>
      <c r="DO83" s="224">
        <v>0</v>
      </c>
      <c r="DP83" s="224">
        <v>0</v>
      </c>
      <c r="DQ83" s="224">
        <f t="shared" si="1"/>
        <v>1.0000000000000004</v>
      </c>
    </row>
    <row r="84" spans="1:121" x14ac:dyDescent="0.3">
      <c r="A84" s="223" t="s">
        <v>1181</v>
      </c>
      <c r="B84" s="223" t="s">
        <v>1177</v>
      </c>
      <c r="C84" s="223" t="s">
        <v>1095</v>
      </c>
      <c r="D84" s="223" t="s">
        <v>21</v>
      </c>
      <c r="E84" s="223" t="s">
        <v>1090</v>
      </c>
      <c r="F84" s="224">
        <v>0.21259443065894679</v>
      </c>
      <c r="G84" s="224">
        <v>0.12364514131888421</v>
      </c>
      <c r="H84" s="224">
        <v>3.1693159368681188E-2</v>
      </c>
      <c r="I84" s="224">
        <v>0</v>
      </c>
      <c r="J84" s="224">
        <v>0</v>
      </c>
      <c r="K84" s="224">
        <v>2.4377091384918708E-2</v>
      </c>
      <c r="L84" s="224">
        <v>4.071833031213961E-2</v>
      </c>
      <c r="M84" s="224">
        <v>4.9219551528612251E-2</v>
      </c>
      <c r="N84" s="224">
        <v>5.5854284988535459E-2</v>
      </c>
      <c r="O84" s="224">
        <v>3.6070006658241949E-2</v>
      </c>
      <c r="P84" s="224">
        <v>0</v>
      </c>
      <c r="Q84" s="224">
        <v>0</v>
      </c>
      <c r="R84" s="224">
        <v>0</v>
      </c>
      <c r="S84" s="224">
        <v>0</v>
      </c>
      <c r="T84" s="224">
        <v>0</v>
      </c>
      <c r="U84" s="224">
        <v>0</v>
      </c>
      <c r="V84" s="224">
        <v>1.838235294117647E-3</v>
      </c>
      <c r="W84" s="224">
        <v>3.4188034188034188E-3</v>
      </c>
      <c r="X84" s="224">
        <v>8.547008547008547E-4</v>
      </c>
      <c r="Y84" s="224">
        <v>0</v>
      </c>
      <c r="Z84" s="224">
        <v>0</v>
      </c>
      <c r="AA84" s="224">
        <v>0</v>
      </c>
      <c r="AB84" s="224">
        <v>0</v>
      </c>
      <c r="AC84" s="224">
        <v>0</v>
      </c>
      <c r="AD84" s="224">
        <v>7.0967741935483875E-3</v>
      </c>
      <c r="AE84" s="224">
        <v>0</v>
      </c>
      <c r="AF84" s="224">
        <v>0</v>
      </c>
      <c r="AG84" s="224">
        <v>1.6057719155442116E-2</v>
      </c>
      <c r="AH84" s="224">
        <v>2.1901269975273772E-2</v>
      </c>
      <c r="AI84" s="224">
        <v>1.2574498944280728E-2</v>
      </c>
      <c r="AJ84" s="224">
        <v>2.0105512752571577E-2</v>
      </c>
      <c r="AK84" s="224">
        <v>1.8945416004239532E-2</v>
      </c>
      <c r="AL84" s="224">
        <v>7.3529411764705881E-3</v>
      </c>
      <c r="AM84" s="224">
        <v>0</v>
      </c>
      <c r="AN84" s="224">
        <v>4.2735042735042739E-3</v>
      </c>
      <c r="AO84" s="224">
        <v>0</v>
      </c>
      <c r="AP84" s="224">
        <v>0</v>
      </c>
      <c r="AQ84" s="224">
        <v>1.5865979101273221E-2</v>
      </c>
      <c r="AR84" s="224">
        <v>0</v>
      </c>
      <c r="AS84" s="224">
        <v>0</v>
      </c>
      <c r="AT84" s="224">
        <v>0</v>
      </c>
      <c r="AU84" s="224">
        <v>6.1030255551128417E-3</v>
      </c>
      <c r="AV84" s="224">
        <v>0</v>
      </c>
      <c r="AW84" s="224">
        <v>0</v>
      </c>
      <c r="AX84" s="224">
        <v>2.4980443331961359E-2</v>
      </c>
      <c r="AY84" s="224">
        <v>8.5130379248026314E-3</v>
      </c>
      <c r="AZ84" s="224">
        <v>6.3987852982160384E-3</v>
      </c>
      <c r="BA84" s="224">
        <v>0</v>
      </c>
      <c r="BB84" s="224">
        <v>0</v>
      </c>
      <c r="BC84" s="224">
        <v>4.5327335162486965E-2</v>
      </c>
      <c r="BD84" s="224">
        <v>8.7888475981455105E-2</v>
      </c>
      <c r="BE84" s="224">
        <v>0</v>
      </c>
      <c r="BF84" s="224">
        <v>1.5421643362819832E-2</v>
      </c>
      <c r="BG84" s="224">
        <v>0</v>
      </c>
      <c r="BH84" s="224">
        <v>0</v>
      </c>
      <c r="BI84" s="224">
        <v>0</v>
      </c>
      <c r="BJ84" s="224">
        <v>0</v>
      </c>
      <c r="BK84" s="224">
        <v>0</v>
      </c>
      <c r="BL84" s="224">
        <v>0</v>
      </c>
      <c r="BM84" s="224">
        <v>0</v>
      </c>
      <c r="BN84" s="224">
        <v>0</v>
      </c>
      <c r="BO84" s="224">
        <v>0</v>
      </c>
      <c r="BP84" s="224">
        <v>0</v>
      </c>
      <c r="BQ84" s="224">
        <v>0</v>
      </c>
      <c r="BR84" s="224">
        <v>0</v>
      </c>
      <c r="BS84" s="224">
        <v>0</v>
      </c>
      <c r="BT84" s="224">
        <v>0</v>
      </c>
      <c r="BU84" s="224">
        <v>0</v>
      </c>
      <c r="BV84" s="224">
        <v>0</v>
      </c>
      <c r="BW84" s="224">
        <v>0</v>
      </c>
      <c r="BX84" s="224">
        <v>1.2903225806451613E-3</v>
      </c>
      <c r="BY84" s="224">
        <v>0</v>
      </c>
      <c r="BZ84" s="224">
        <v>0</v>
      </c>
      <c r="CA84" s="224">
        <v>0</v>
      </c>
      <c r="CB84" s="224">
        <v>0</v>
      </c>
      <c r="CC84" s="224">
        <v>0</v>
      </c>
      <c r="CD84" s="224">
        <v>0</v>
      </c>
      <c r="CE84" s="224">
        <v>0</v>
      </c>
      <c r="CF84" s="224">
        <v>8.6021505376344086E-4</v>
      </c>
      <c r="CG84" s="224">
        <v>3.8709677419354839E-3</v>
      </c>
      <c r="CH84" s="224">
        <v>1.3110415918765064E-2</v>
      </c>
      <c r="CI84" s="224">
        <v>1.3271791715814487E-2</v>
      </c>
      <c r="CJ84" s="224">
        <v>8.80934064994786E-3</v>
      </c>
      <c r="CK84" s="224">
        <v>5.2994170641229464E-3</v>
      </c>
      <c r="CL84" s="224">
        <v>0</v>
      </c>
      <c r="CM84" s="224">
        <v>0</v>
      </c>
      <c r="CN84" s="224">
        <v>0</v>
      </c>
      <c r="CO84" s="224">
        <v>2.6543583431628975E-2</v>
      </c>
      <c r="CP84" s="224">
        <v>0</v>
      </c>
      <c r="CQ84" s="224">
        <v>0</v>
      </c>
      <c r="CR84" s="224">
        <v>2.4412987648281766E-2</v>
      </c>
      <c r="CS84" s="224">
        <v>0</v>
      </c>
      <c r="CT84" s="224">
        <v>0</v>
      </c>
      <c r="CU84" s="224">
        <v>0</v>
      </c>
      <c r="CV84" s="224">
        <v>0</v>
      </c>
      <c r="CW84" s="224">
        <v>0</v>
      </c>
      <c r="CX84" s="224">
        <v>0</v>
      </c>
      <c r="CY84" s="224">
        <v>0</v>
      </c>
      <c r="CZ84" s="224">
        <v>0</v>
      </c>
      <c r="DA84" s="224">
        <v>1.7204301075268817E-3</v>
      </c>
      <c r="DB84" s="224">
        <v>0</v>
      </c>
      <c r="DC84" s="224">
        <v>0</v>
      </c>
      <c r="DD84" s="224">
        <v>8.6021505376344086E-4</v>
      </c>
      <c r="DE84" s="224">
        <v>8.6021505376344086E-4</v>
      </c>
      <c r="DF84" s="224">
        <v>0</v>
      </c>
      <c r="DG84" s="224">
        <v>0</v>
      </c>
      <c r="DH84" s="224">
        <v>0</v>
      </c>
      <c r="DI84" s="224">
        <v>0</v>
      </c>
      <c r="DJ84" s="224">
        <v>0</v>
      </c>
      <c r="DK84" s="224">
        <v>0</v>
      </c>
      <c r="DL84" s="224">
        <v>0</v>
      </c>
      <c r="DM84" s="224">
        <v>0</v>
      </c>
      <c r="DN84" s="224">
        <v>0</v>
      </c>
      <c r="DO84" s="224">
        <v>0</v>
      </c>
      <c r="DP84" s="224">
        <v>0</v>
      </c>
      <c r="DQ84" s="224">
        <f t="shared" si="1"/>
        <v>1</v>
      </c>
    </row>
    <row r="85" spans="1:121" x14ac:dyDescent="0.3">
      <c r="A85" s="223" t="s">
        <v>1182</v>
      </c>
      <c r="B85" s="223" t="s">
        <v>1177</v>
      </c>
      <c r="C85" s="223" t="s">
        <v>1095</v>
      </c>
      <c r="D85" s="223" t="s">
        <v>21</v>
      </c>
      <c r="E85" s="223" t="s">
        <v>1096</v>
      </c>
      <c r="F85" s="224">
        <v>0.23459294099719222</v>
      </c>
      <c r="G85" s="224">
        <v>2.508738669282164E-2</v>
      </c>
      <c r="H85" s="224">
        <v>1.0487279580230394E-2</v>
      </c>
      <c r="I85" s="224">
        <v>4.9334940916292969E-4</v>
      </c>
      <c r="J85" s="224">
        <v>0</v>
      </c>
      <c r="K85" s="224">
        <v>1.098836243604602E-2</v>
      </c>
      <c r="L85" s="224">
        <v>2.1128973194170935E-2</v>
      </c>
      <c r="M85" s="224">
        <v>8.5851305783231028E-3</v>
      </c>
      <c r="N85" s="224">
        <v>1.350388220917388E-2</v>
      </c>
      <c r="O85" s="224">
        <v>1.6112017341758263E-3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6.9873808382935757E-3</v>
      </c>
      <c r="W85" s="224">
        <v>4.6733491935161756E-3</v>
      </c>
      <c r="X85" s="224">
        <v>2.1203991118093316E-3</v>
      </c>
      <c r="Y85" s="224">
        <v>3.9478120259673908E-3</v>
      </c>
      <c r="Z85" s="224">
        <v>4.0184850311432587E-4</v>
      </c>
      <c r="AA85" s="224">
        <v>1.4185906302088876E-4</v>
      </c>
      <c r="AB85" s="224">
        <v>0</v>
      </c>
      <c r="AC85" s="224">
        <v>7.0929531510444371E-4</v>
      </c>
      <c r="AD85" s="224">
        <v>1.9860268822924423E-3</v>
      </c>
      <c r="AE85" s="224">
        <v>0</v>
      </c>
      <c r="AF85" s="224">
        <v>0</v>
      </c>
      <c r="AG85" s="224">
        <v>9.5985686836939418E-3</v>
      </c>
      <c r="AH85" s="224">
        <v>5.5800836525506832E-3</v>
      </c>
      <c r="AI85" s="224">
        <v>6.2052457264151354E-3</v>
      </c>
      <c r="AJ85" s="224">
        <v>8.6250090615186022E-3</v>
      </c>
      <c r="AK85" s="224">
        <v>4.3731326886954809E-3</v>
      </c>
      <c r="AL85" s="224">
        <v>8.0369700622865174E-4</v>
      </c>
      <c r="AM85" s="224">
        <v>0</v>
      </c>
      <c r="AN85" s="224">
        <v>1.1697006304230669E-3</v>
      </c>
      <c r="AO85" s="224">
        <v>4.7820953353529642E-3</v>
      </c>
      <c r="AP85" s="224">
        <v>1.0183947552670103E-3</v>
      </c>
      <c r="AQ85" s="224">
        <v>4.8219962751313581E-3</v>
      </c>
      <c r="AR85" s="224">
        <v>1.0183947552670103E-3</v>
      </c>
      <c r="AS85" s="224">
        <v>5.0919737763350517E-4</v>
      </c>
      <c r="AT85" s="224">
        <v>0</v>
      </c>
      <c r="AU85" s="224">
        <v>1.5908423139697831E-2</v>
      </c>
      <c r="AV85" s="224">
        <v>0</v>
      </c>
      <c r="AW85" s="224">
        <v>0</v>
      </c>
      <c r="AX85" s="224">
        <v>6.7579034264055966E-3</v>
      </c>
      <c r="AY85" s="224">
        <v>7.3965257363341726E-3</v>
      </c>
      <c r="AZ85" s="224">
        <v>4.2602073006590647E-3</v>
      </c>
      <c r="BA85" s="224">
        <v>1.7371368825066218E-3</v>
      </c>
      <c r="BB85" s="224">
        <v>6.5105644065439406E-4</v>
      </c>
      <c r="BC85" s="224">
        <v>1.5500423658977443E-2</v>
      </c>
      <c r="BD85" s="224">
        <v>3.8205873809771113E-2</v>
      </c>
      <c r="BE85" s="224">
        <v>0</v>
      </c>
      <c r="BF85" s="224">
        <v>5.3640582348090035E-3</v>
      </c>
      <c r="BG85" s="224">
        <v>0</v>
      </c>
      <c r="BH85" s="224">
        <v>0</v>
      </c>
      <c r="BI85" s="224">
        <v>0</v>
      </c>
      <c r="BJ85" s="224">
        <v>0</v>
      </c>
      <c r="BK85" s="224">
        <v>1.1697006304230669E-3</v>
      </c>
      <c r="BL85" s="224">
        <v>4.2394045218817024E-3</v>
      </c>
      <c r="BM85" s="224">
        <v>6.4093460638726231E-3</v>
      </c>
      <c r="BN85" s="224">
        <v>1.3798402898761962E-3</v>
      </c>
      <c r="BO85" s="224">
        <v>0</v>
      </c>
      <c r="BP85" s="224">
        <v>0</v>
      </c>
      <c r="BQ85" s="224">
        <v>0</v>
      </c>
      <c r="BR85" s="224">
        <v>2.9242515760576673E-4</v>
      </c>
      <c r="BS85" s="224">
        <v>2.9242515760576673E-4</v>
      </c>
      <c r="BT85" s="224">
        <v>0</v>
      </c>
      <c r="BU85" s="224">
        <v>1.1697006304230669E-3</v>
      </c>
      <c r="BV85" s="224">
        <v>3.3154114577389009E-3</v>
      </c>
      <c r="BW85" s="224">
        <v>4.3629256502309361E-3</v>
      </c>
      <c r="BX85" s="224">
        <v>8.0456754225824521E-3</v>
      </c>
      <c r="BY85" s="224">
        <v>5.0937839704421175E-3</v>
      </c>
      <c r="BZ85" s="224">
        <v>0</v>
      </c>
      <c r="CA85" s="224">
        <v>0</v>
      </c>
      <c r="CB85" s="224">
        <v>0</v>
      </c>
      <c r="CC85" s="224">
        <v>1.1697006304230669E-3</v>
      </c>
      <c r="CD85" s="224">
        <v>8.6856844125331092E-4</v>
      </c>
      <c r="CE85" s="224">
        <v>0</v>
      </c>
      <c r="CF85" s="224">
        <v>2.1960520493873602E-2</v>
      </c>
      <c r="CG85" s="224">
        <v>5.2133205660176611E-3</v>
      </c>
      <c r="CH85" s="224">
        <v>3.222403898451074E-2</v>
      </c>
      <c r="CI85" s="224">
        <v>9.1780830826438588E-3</v>
      </c>
      <c r="CJ85" s="224">
        <v>8.0488868371469832E-2</v>
      </c>
      <c r="CK85" s="224">
        <v>4.9650672057311067E-3</v>
      </c>
      <c r="CL85" s="224">
        <v>1.7732382877611093E-3</v>
      </c>
      <c r="CM85" s="224">
        <v>1.7154735983799015E-2</v>
      </c>
      <c r="CN85" s="224">
        <v>1.4588643080641053E-2</v>
      </c>
      <c r="CO85" s="224">
        <v>2.6915840742926505E-3</v>
      </c>
      <c r="CP85" s="224">
        <v>0.11134258324657292</v>
      </c>
      <c r="CQ85" s="224">
        <v>8.1991351487171973E-2</v>
      </c>
      <c r="CR85" s="224">
        <v>2.1880953856900777E-3</v>
      </c>
      <c r="CS85" s="224">
        <v>1.8789959455275107E-3</v>
      </c>
      <c r="CT85" s="224">
        <v>5.8485031521153346E-4</v>
      </c>
      <c r="CU85" s="224">
        <v>8.5148490375982228E-3</v>
      </c>
      <c r="CV85" s="224">
        <v>7.8929120341688537E-3</v>
      </c>
      <c r="CW85" s="224">
        <v>4.6611821764204623E-3</v>
      </c>
      <c r="CX85" s="224">
        <v>6.5593081189737569E-3</v>
      </c>
      <c r="CY85" s="224">
        <v>4.9216554092068035E-3</v>
      </c>
      <c r="CZ85" s="224">
        <v>2.3394012608461338E-3</v>
      </c>
      <c r="DA85" s="224">
        <v>4.3731998872088562E-3</v>
      </c>
      <c r="DB85" s="224">
        <v>1.1697006304230669E-3</v>
      </c>
      <c r="DC85" s="224">
        <v>1.0700460804692448E-2</v>
      </c>
      <c r="DD85" s="224">
        <v>4.2698586495249291E-3</v>
      </c>
      <c r="DE85" s="224">
        <v>4.6757418950329754E-3</v>
      </c>
      <c r="DF85" s="224">
        <v>1.2664578693766816E-2</v>
      </c>
      <c r="DG85" s="224">
        <v>6.5549594790207865E-3</v>
      </c>
      <c r="DH85" s="224">
        <v>2.9357050454341047E-3</v>
      </c>
      <c r="DI85" s="224">
        <v>0</v>
      </c>
      <c r="DJ85" s="224">
        <v>0</v>
      </c>
      <c r="DK85" s="224">
        <v>0</v>
      </c>
      <c r="DL85" s="224">
        <v>0</v>
      </c>
      <c r="DM85" s="224">
        <v>0</v>
      </c>
      <c r="DN85" s="224">
        <v>0</v>
      </c>
      <c r="DO85" s="224">
        <v>0</v>
      </c>
      <c r="DP85" s="224">
        <v>0</v>
      </c>
      <c r="DQ85" s="224">
        <f t="shared" si="1"/>
        <v>0.99999999999999967</v>
      </c>
    </row>
    <row r="86" spans="1:121" x14ac:dyDescent="0.3">
      <c r="A86" s="223" t="s">
        <v>1183</v>
      </c>
      <c r="B86" s="223" t="s">
        <v>1177</v>
      </c>
      <c r="C86" s="223" t="s">
        <v>1095</v>
      </c>
      <c r="D86" s="223" t="s">
        <v>1087</v>
      </c>
      <c r="E86" s="223" t="s">
        <v>27</v>
      </c>
      <c r="F86" s="224">
        <v>0.38866500351819866</v>
      </c>
      <c r="G86" s="224">
        <v>0</v>
      </c>
      <c r="H86" s="224">
        <v>3.0960148404017142E-2</v>
      </c>
      <c r="I86" s="224">
        <v>1.0234759802980873E-3</v>
      </c>
      <c r="J86" s="224">
        <v>0</v>
      </c>
      <c r="K86" s="224">
        <v>6.1408558817885239E-3</v>
      </c>
      <c r="L86" s="224">
        <v>1.2857417002494723E-2</v>
      </c>
      <c r="M86" s="224">
        <v>4.0939039211923493E-3</v>
      </c>
      <c r="N86" s="224">
        <v>6.1408558817885239E-3</v>
      </c>
      <c r="O86" s="224">
        <v>2.0469519605961746E-3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6.1408558817885239E-3</v>
      </c>
      <c r="W86" s="224">
        <v>6.1408558817885239E-3</v>
      </c>
      <c r="X86" s="224">
        <v>4.0939039211923493E-3</v>
      </c>
      <c r="Y86" s="224">
        <v>6.1408558817885239E-3</v>
      </c>
      <c r="Z86" s="224">
        <v>2.0469519605961746E-3</v>
      </c>
      <c r="AA86" s="224">
        <v>1.0234759802980873E-3</v>
      </c>
      <c r="AB86" s="224">
        <v>0</v>
      </c>
      <c r="AC86" s="224">
        <v>1.2281711763577048E-2</v>
      </c>
      <c r="AD86" s="224">
        <v>6.1408558817885239E-3</v>
      </c>
      <c r="AE86" s="224">
        <v>4.0939039211923493E-3</v>
      </c>
      <c r="AF86" s="224">
        <v>0</v>
      </c>
      <c r="AG86" s="224">
        <v>6.1408558817885239E-3</v>
      </c>
      <c r="AH86" s="224">
        <v>2.0469519605961746E-3</v>
      </c>
      <c r="AI86" s="224">
        <v>6.1408558817885239E-3</v>
      </c>
      <c r="AJ86" s="224">
        <v>4.0939039211923493E-3</v>
      </c>
      <c r="AK86" s="224">
        <v>2.0469519605961746E-3</v>
      </c>
      <c r="AL86" s="224">
        <v>2.0469519605961746E-3</v>
      </c>
      <c r="AM86" s="224">
        <v>0</v>
      </c>
      <c r="AN86" s="224">
        <v>4.0939039211923493E-3</v>
      </c>
      <c r="AO86" s="224">
        <v>4.0939039211923493E-3</v>
      </c>
      <c r="AP86" s="224">
        <v>2.0469519605961746E-3</v>
      </c>
      <c r="AQ86" s="224">
        <v>6.1408558817885239E-3</v>
      </c>
      <c r="AR86" s="224">
        <v>0</v>
      </c>
      <c r="AS86" s="224">
        <v>0</v>
      </c>
      <c r="AT86" s="224">
        <v>0</v>
      </c>
      <c r="AU86" s="224">
        <v>1.0234759802980873E-3</v>
      </c>
      <c r="AV86" s="224">
        <v>2.0469519605961746E-3</v>
      </c>
      <c r="AW86" s="224">
        <v>1.0234759802980873E-3</v>
      </c>
      <c r="AX86" s="224">
        <v>2.0469519605961746E-3</v>
      </c>
      <c r="AY86" s="224">
        <v>4.0939039211923493E-3</v>
      </c>
      <c r="AZ86" s="224">
        <v>2.0469519605961746E-3</v>
      </c>
      <c r="BA86" s="224">
        <v>1.2281711763577048E-2</v>
      </c>
      <c r="BB86" s="224">
        <v>2.0469519605961746E-3</v>
      </c>
      <c r="BC86" s="224">
        <v>6.1408558817885239E-3</v>
      </c>
      <c r="BD86" s="224">
        <v>1.6375615684769397E-2</v>
      </c>
      <c r="BE86" s="224">
        <v>9.2112838226827871E-3</v>
      </c>
      <c r="BF86" s="224">
        <v>4.0939039211923493E-3</v>
      </c>
      <c r="BG86" s="224">
        <v>8.1878078423846985E-3</v>
      </c>
      <c r="BH86" s="224">
        <v>9.2112838226827871E-3</v>
      </c>
      <c r="BI86" s="224">
        <v>6.1408558817885239E-3</v>
      </c>
      <c r="BJ86" s="224">
        <v>2.0469519605961746E-3</v>
      </c>
      <c r="BK86" s="224">
        <v>6.1408558817885239E-3</v>
      </c>
      <c r="BL86" s="224">
        <v>6.1408558817885239E-3</v>
      </c>
      <c r="BM86" s="224">
        <v>1.228171176357705E-2</v>
      </c>
      <c r="BN86" s="224">
        <v>1.0234759802980874E-2</v>
      </c>
      <c r="BO86" s="224">
        <v>0</v>
      </c>
      <c r="BP86" s="224">
        <v>0</v>
      </c>
      <c r="BQ86" s="224">
        <v>6.1408558817885239E-3</v>
      </c>
      <c r="BR86" s="224">
        <v>6.1408558817885239E-3</v>
      </c>
      <c r="BS86" s="224">
        <v>6.1408558817885239E-3</v>
      </c>
      <c r="BT86" s="224">
        <v>6.1408558817885239E-3</v>
      </c>
      <c r="BU86" s="224">
        <v>8.2901554404145081E-2</v>
      </c>
      <c r="BV86" s="224">
        <v>2.0469519605961746E-3</v>
      </c>
      <c r="BW86" s="224">
        <v>2.0469519605961746E-3</v>
      </c>
      <c r="BX86" s="224">
        <v>6.1408558817885239E-3</v>
      </c>
      <c r="BY86" s="224">
        <v>4.0939039211923493E-3</v>
      </c>
      <c r="BZ86" s="224">
        <v>0</v>
      </c>
      <c r="CA86" s="224">
        <v>0</v>
      </c>
      <c r="CB86" s="224">
        <v>6.1408558817885239E-3</v>
      </c>
      <c r="CC86" s="224">
        <v>6.1408558817885239E-3</v>
      </c>
      <c r="CD86" s="224">
        <v>6.1408558817885239E-3</v>
      </c>
      <c r="CE86" s="224">
        <v>4.0939039211923493E-3</v>
      </c>
      <c r="CF86" s="224">
        <v>4.4521205142966799E-2</v>
      </c>
      <c r="CG86" s="224">
        <v>6.1408558817885239E-3</v>
      </c>
      <c r="CH86" s="224">
        <v>4.0939039211923493E-3</v>
      </c>
      <c r="CI86" s="224">
        <v>4.0939039211923493E-3</v>
      </c>
      <c r="CJ86" s="224">
        <v>1.2793449753726092E-2</v>
      </c>
      <c r="CK86" s="224">
        <v>1.6375615684769397E-2</v>
      </c>
      <c r="CL86" s="224">
        <v>2.4051685537005055E-2</v>
      </c>
      <c r="CM86" s="224">
        <v>0</v>
      </c>
      <c r="CN86" s="224">
        <v>0</v>
      </c>
      <c r="CO86" s="224">
        <v>6.1408558817885239E-3</v>
      </c>
      <c r="CP86" s="224">
        <v>0</v>
      </c>
      <c r="CQ86" s="224">
        <v>0</v>
      </c>
      <c r="CR86" s="224">
        <v>6.1408558817885239E-3</v>
      </c>
      <c r="CS86" s="224">
        <v>1.0234759802980874E-2</v>
      </c>
      <c r="CT86" s="224">
        <v>0</v>
      </c>
      <c r="CU86" s="224">
        <v>1.0234759802980874E-2</v>
      </c>
      <c r="CV86" s="224">
        <v>1.0234759802980874E-2</v>
      </c>
      <c r="CW86" s="224">
        <v>1.0234759802980874E-2</v>
      </c>
      <c r="CX86" s="224">
        <v>0</v>
      </c>
      <c r="CY86" s="224">
        <v>0</v>
      </c>
      <c r="CZ86" s="224">
        <v>0</v>
      </c>
      <c r="DA86" s="224">
        <v>6.1408558817885239E-3</v>
      </c>
      <c r="DB86" s="224">
        <v>0</v>
      </c>
      <c r="DC86" s="224">
        <v>6.1408558817885239E-3</v>
      </c>
      <c r="DD86" s="224">
        <v>1.0234759802980874E-2</v>
      </c>
      <c r="DE86" s="224">
        <v>6.1408558817885239E-3</v>
      </c>
      <c r="DF86" s="224">
        <v>0</v>
      </c>
      <c r="DG86" s="224">
        <v>0</v>
      </c>
      <c r="DH86" s="224">
        <v>0</v>
      </c>
      <c r="DI86" s="224">
        <v>0</v>
      </c>
      <c r="DJ86" s="224">
        <v>0</v>
      </c>
      <c r="DK86" s="224">
        <v>0</v>
      </c>
      <c r="DL86" s="224">
        <v>0</v>
      </c>
      <c r="DM86" s="224">
        <v>0</v>
      </c>
      <c r="DN86" s="224">
        <v>0</v>
      </c>
      <c r="DO86" s="224">
        <v>0</v>
      </c>
      <c r="DP86" s="224">
        <v>0</v>
      </c>
      <c r="DQ86" s="224">
        <f t="shared" si="1"/>
        <v>0.99999999999999811</v>
      </c>
    </row>
    <row r="87" spans="1:121" x14ac:dyDescent="0.3">
      <c r="A87" s="223" t="s">
        <v>1184</v>
      </c>
      <c r="B87" s="223" t="s">
        <v>1177</v>
      </c>
      <c r="C87" s="223" t="s">
        <v>1089</v>
      </c>
      <c r="D87" s="223" t="s">
        <v>21</v>
      </c>
      <c r="E87" s="223" t="s">
        <v>1090</v>
      </c>
      <c r="F87" s="224">
        <v>0.10547667342799188</v>
      </c>
      <c r="G87" s="224">
        <v>3.5413617871038319E-2</v>
      </c>
      <c r="H87" s="224">
        <v>2.1763134398260039E-2</v>
      </c>
      <c r="I87" s="224">
        <v>7.2686310888829993E-3</v>
      </c>
      <c r="J87" s="224">
        <v>7.2188449848024319E-2</v>
      </c>
      <c r="K87" s="224">
        <v>2.3463261704593091E-2</v>
      </c>
      <c r="L87" s="224">
        <v>4.3874097445005901E-2</v>
      </c>
      <c r="M87" s="224">
        <v>2.0605978542701405E-2</v>
      </c>
      <c r="N87" s="224">
        <v>2.432096062320661E-2</v>
      </c>
      <c r="O87" s="224">
        <v>0</v>
      </c>
      <c r="P87" s="224">
        <v>1.5240668767966299E-2</v>
      </c>
      <c r="Q87" s="224">
        <v>3.0826140567200987E-3</v>
      </c>
      <c r="R87" s="224">
        <v>0</v>
      </c>
      <c r="S87" s="224">
        <v>0</v>
      </c>
      <c r="T87" s="224">
        <v>0</v>
      </c>
      <c r="U87" s="224">
        <v>0</v>
      </c>
      <c r="V87" s="224">
        <v>2.4813716519578376E-2</v>
      </c>
      <c r="W87" s="224">
        <v>1.6170987206735724E-2</v>
      </c>
      <c r="X87" s="224">
        <v>4.6023708956258735E-3</v>
      </c>
      <c r="Y87" s="224">
        <v>3.0826140567200987E-3</v>
      </c>
      <c r="Z87" s="224">
        <v>3.0826140567200987E-3</v>
      </c>
      <c r="AA87" s="224">
        <v>0</v>
      </c>
      <c r="AB87" s="224">
        <v>0</v>
      </c>
      <c r="AC87" s="224">
        <v>3.0826140567200987E-3</v>
      </c>
      <c r="AD87" s="224">
        <v>1.0222023245286038E-2</v>
      </c>
      <c r="AE87" s="224">
        <v>1.0141987829614604E-3</v>
      </c>
      <c r="AF87" s="224">
        <v>1.0141987829614604E-3</v>
      </c>
      <c r="AG87" s="224">
        <v>3.0787184606814004E-2</v>
      </c>
      <c r="AH87" s="224">
        <v>7.4661381126193936E-3</v>
      </c>
      <c r="AI87" s="224">
        <v>1.3660333483323267E-2</v>
      </c>
      <c r="AJ87" s="224">
        <v>3.922137807061777E-2</v>
      </c>
      <c r="AK87" s="224">
        <v>0</v>
      </c>
      <c r="AL87" s="224">
        <v>0</v>
      </c>
      <c r="AM87" s="224">
        <v>0</v>
      </c>
      <c r="AN87" s="224">
        <v>2.9031765487143042E-2</v>
      </c>
      <c r="AO87" s="224">
        <v>1.5877069296172674E-2</v>
      </c>
      <c r="AP87" s="224">
        <v>1.0222023245286038E-2</v>
      </c>
      <c r="AQ87" s="224">
        <v>2.1434522628150581E-2</v>
      </c>
      <c r="AR87" s="224">
        <v>6.1652281134401974E-3</v>
      </c>
      <c r="AS87" s="224">
        <v>6.1652281134401974E-3</v>
      </c>
      <c r="AT87" s="224">
        <v>6.1652281134401974E-3</v>
      </c>
      <c r="AU87" s="224">
        <v>3.0425963488843813E-3</v>
      </c>
      <c r="AV87" s="224">
        <v>0</v>
      </c>
      <c r="AW87" s="224">
        <v>0</v>
      </c>
      <c r="AX87" s="224">
        <v>1.3415562439201549E-2</v>
      </c>
      <c r="AY87" s="224">
        <v>2.4716526554663082E-2</v>
      </c>
      <c r="AZ87" s="224">
        <v>8.8532092514113925E-3</v>
      </c>
      <c r="BA87" s="224">
        <v>0</v>
      </c>
      <c r="BB87" s="224">
        <v>0</v>
      </c>
      <c r="BC87" s="224">
        <v>2.0243456795762851E-2</v>
      </c>
      <c r="BD87" s="224">
        <v>9.5148188829742714E-2</v>
      </c>
      <c r="BE87" s="224">
        <v>0</v>
      </c>
      <c r="BF87" s="224">
        <v>1.559798552122843E-2</v>
      </c>
      <c r="BG87" s="224">
        <v>0</v>
      </c>
      <c r="BH87" s="224">
        <v>0</v>
      </c>
      <c r="BI87" s="224">
        <v>0</v>
      </c>
      <c r="BJ87" s="224">
        <v>0</v>
      </c>
      <c r="BK87" s="224">
        <v>0</v>
      </c>
      <c r="BL87" s="224">
        <v>0</v>
      </c>
      <c r="BM87" s="224">
        <v>0</v>
      </c>
      <c r="BN87" s="224">
        <v>0</v>
      </c>
      <c r="BO87" s="224">
        <v>0</v>
      </c>
      <c r="BP87" s="224">
        <v>0</v>
      </c>
      <c r="BQ87" s="224">
        <v>0</v>
      </c>
      <c r="BR87" s="224">
        <v>0</v>
      </c>
      <c r="BS87" s="224">
        <v>0</v>
      </c>
      <c r="BT87" s="224">
        <v>0</v>
      </c>
      <c r="BU87" s="224">
        <v>0</v>
      </c>
      <c r="BV87" s="224">
        <v>0</v>
      </c>
      <c r="BW87" s="224">
        <v>0</v>
      </c>
      <c r="BX87" s="224">
        <v>0</v>
      </c>
      <c r="BY87" s="224">
        <v>0</v>
      </c>
      <c r="BZ87" s="224">
        <v>0</v>
      </c>
      <c r="CA87" s="224">
        <v>0</v>
      </c>
      <c r="CB87" s="224">
        <v>0</v>
      </c>
      <c r="CC87" s="224">
        <v>0</v>
      </c>
      <c r="CD87" s="224">
        <v>0</v>
      </c>
      <c r="CE87" s="224">
        <v>0</v>
      </c>
      <c r="CF87" s="224">
        <v>0</v>
      </c>
      <c r="CG87" s="224">
        <v>0</v>
      </c>
      <c r="CH87" s="224">
        <v>0</v>
      </c>
      <c r="CI87" s="224">
        <v>0</v>
      </c>
      <c r="CJ87" s="224">
        <v>0</v>
      </c>
      <c r="CK87" s="224">
        <v>0</v>
      </c>
      <c r="CL87" s="224">
        <v>0</v>
      </c>
      <c r="CM87" s="224">
        <v>0</v>
      </c>
      <c r="CN87" s="224">
        <v>0</v>
      </c>
      <c r="CO87" s="224">
        <v>7.467679448155809E-3</v>
      </c>
      <c r="CP87" s="224">
        <v>6.0163551401869159E-2</v>
      </c>
      <c r="CQ87" s="224">
        <v>5.4322429906542055E-2</v>
      </c>
      <c r="CR87" s="224">
        <v>5.8878903458853493E-2</v>
      </c>
      <c r="CS87" s="224">
        <v>0</v>
      </c>
      <c r="CT87" s="224">
        <v>0</v>
      </c>
      <c r="CU87" s="224">
        <v>0</v>
      </c>
      <c r="CV87" s="224">
        <v>0</v>
      </c>
      <c r="CW87" s="224">
        <v>0</v>
      </c>
      <c r="CX87" s="224">
        <v>0</v>
      </c>
      <c r="CY87" s="224">
        <v>0</v>
      </c>
      <c r="CZ87" s="224">
        <v>0</v>
      </c>
      <c r="DA87" s="224">
        <v>0</v>
      </c>
      <c r="DB87" s="224">
        <v>0</v>
      </c>
      <c r="DC87" s="224">
        <v>0</v>
      </c>
      <c r="DD87" s="224">
        <v>0</v>
      </c>
      <c r="DE87" s="224">
        <v>0</v>
      </c>
      <c r="DF87" s="224">
        <v>0</v>
      </c>
      <c r="DG87" s="224">
        <v>0</v>
      </c>
      <c r="DH87" s="224">
        <v>0</v>
      </c>
      <c r="DI87" s="224">
        <v>0</v>
      </c>
      <c r="DJ87" s="224">
        <v>1.2170385395537525E-2</v>
      </c>
      <c r="DK87" s="224">
        <v>0</v>
      </c>
      <c r="DL87" s="224">
        <v>0</v>
      </c>
      <c r="DM87" s="224">
        <v>0</v>
      </c>
      <c r="DN87" s="224">
        <v>0</v>
      </c>
      <c r="DO87" s="224">
        <v>0</v>
      </c>
      <c r="DP87" s="224">
        <v>0</v>
      </c>
      <c r="DQ87" s="224">
        <f t="shared" si="1"/>
        <v>1</v>
      </c>
    </row>
    <row r="88" spans="1:121" x14ac:dyDescent="0.3">
      <c r="A88" s="223" t="s">
        <v>1185</v>
      </c>
      <c r="B88" s="223" t="s">
        <v>1177</v>
      </c>
      <c r="C88" s="223" t="s">
        <v>1089</v>
      </c>
      <c r="D88" s="223" t="s">
        <v>21</v>
      </c>
      <c r="E88" s="223" t="s">
        <v>1096</v>
      </c>
      <c r="F88" s="224">
        <v>0.31397875073982651</v>
      </c>
      <c r="G88" s="224">
        <v>1.9076696548438785E-2</v>
      </c>
      <c r="H88" s="224">
        <v>1.616971980425274E-2</v>
      </c>
      <c r="I88" s="224">
        <v>0</v>
      </c>
      <c r="J88" s="224">
        <v>0</v>
      </c>
      <c r="K88" s="224">
        <v>8.296883345603627E-3</v>
      </c>
      <c r="L88" s="224">
        <v>1.6593766691207254E-2</v>
      </c>
      <c r="M88" s="224">
        <v>8.296883345603627E-3</v>
      </c>
      <c r="N88" s="224">
        <v>3.1128650412137485E-2</v>
      </c>
      <c r="O88" s="224">
        <v>0</v>
      </c>
      <c r="P88" s="224">
        <v>1.7441860465116279E-2</v>
      </c>
      <c r="Q88" s="224">
        <v>8.7209302325581394E-3</v>
      </c>
      <c r="R88" s="224">
        <v>0</v>
      </c>
      <c r="S88" s="224">
        <v>0</v>
      </c>
      <c r="T88" s="224">
        <v>0</v>
      </c>
      <c r="U88" s="224">
        <v>0</v>
      </c>
      <c r="V88" s="224">
        <v>5.8139534883720929E-3</v>
      </c>
      <c r="W88" s="224">
        <v>1.5745672917298226E-2</v>
      </c>
      <c r="X88" s="224">
        <v>1.0779813202835159E-2</v>
      </c>
      <c r="Y88" s="224">
        <v>2.4829298572315332E-3</v>
      </c>
      <c r="Z88" s="224">
        <v>4.9658597144630664E-3</v>
      </c>
      <c r="AA88" s="224">
        <v>0</v>
      </c>
      <c r="AB88" s="224">
        <v>0</v>
      </c>
      <c r="AC88" s="224">
        <v>0</v>
      </c>
      <c r="AD88" s="224">
        <v>1.2414649286157666E-3</v>
      </c>
      <c r="AE88" s="224">
        <v>0</v>
      </c>
      <c r="AF88" s="224">
        <v>0</v>
      </c>
      <c r="AG88" s="224">
        <v>2.1983673292624833E-2</v>
      </c>
      <c r="AH88" s="224">
        <v>5.3899066014175797E-3</v>
      </c>
      <c r="AI88" s="224">
        <v>7.8728364586491129E-3</v>
      </c>
      <c r="AJ88" s="224">
        <v>9.9623951611739064E-3</v>
      </c>
      <c r="AK88" s="224">
        <v>0</v>
      </c>
      <c r="AL88" s="224">
        <v>4.9658597144630664E-3</v>
      </c>
      <c r="AM88" s="224">
        <v>0</v>
      </c>
      <c r="AN88" s="224">
        <v>2.1135579518715808E-2</v>
      </c>
      <c r="AO88" s="224">
        <v>2.4890650036810878E-2</v>
      </c>
      <c r="AP88" s="224">
        <v>4.9658597144630664E-3</v>
      </c>
      <c r="AQ88" s="224">
        <v>3.0053195328627316E-3</v>
      </c>
      <c r="AR88" s="224">
        <v>1.1627906976744186E-2</v>
      </c>
      <c r="AS88" s="224">
        <v>2.0348837209302327E-2</v>
      </c>
      <c r="AT88" s="224">
        <v>5.8139534883720929E-3</v>
      </c>
      <c r="AU88" s="224">
        <v>1.0779813202835159E-2</v>
      </c>
      <c r="AV88" s="224">
        <v>0</v>
      </c>
      <c r="AW88" s="224">
        <v>0</v>
      </c>
      <c r="AX88" s="224">
        <v>2.4435927417608593E-2</v>
      </c>
      <c r="AY88" s="224">
        <v>1.3262743060066692E-2</v>
      </c>
      <c r="AZ88" s="224">
        <v>5.3899066014175797E-3</v>
      </c>
      <c r="BA88" s="224">
        <v>4.9658597144630664E-3</v>
      </c>
      <c r="BB88" s="224">
        <v>2.4829298572315332E-3</v>
      </c>
      <c r="BC88" s="224">
        <v>1.9076696548438785E-2</v>
      </c>
      <c r="BD88" s="224">
        <v>3.7305299322968541E-2</v>
      </c>
      <c r="BE88" s="224">
        <v>0</v>
      </c>
      <c r="BF88" s="224">
        <v>1.5321626030343713E-2</v>
      </c>
      <c r="BG88" s="224">
        <v>0</v>
      </c>
      <c r="BH88" s="224">
        <v>0</v>
      </c>
      <c r="BI88" s="224">
        <v>0</v>
      </c>
      <c r="BJ88" s="224">
        <v>0</v>
      </c>
      <c r="BK88" s="224">
        <v>0</v>
      </c>
      <c r="BL88" s="224">
        <v>3.9364182293245564E-3</v>
      </c>
      <c r="BM88" s="224">
        <v>7.8728364586491129E-3</v>
      </c>
      <c r="BN88" s="224">
        <v>3.9364182293245564E-3</v>
      </c>
      <c r="BO88" s="224">
        <v>2.9069767441860465E-3</v>
      </c>
      <c r="BP88" s="224">
        <v>0</v>
      </c>
      <c r="BQ88" s="224">
        <v>0</v>
      </c>
      <c r="BR88" s="224">
        <v>1.4534883720930232E-3</v>
      </c>
      <c r="BS88" s="224">
        <v>1.4534883720930232E-3</v>
      </c>
      <c r="BT88" s="224">
        <v>0</v>
      </c>
      <c r="BU88" s="224">
        <v>1.3868137658250689E-2</v>
      </c>
      <c r="BV88" s="224">
        <v>2.6949533007087898E-3</v>
      </c>
      <c r="BW88" s="224">
        <v>3.9364182293245564E-3</v>
      </c>
      <c r="BX88" s="224">
        <v>7.8728364586491129E-3</v>
      </c>
      <c r="BY88" s="224">
        <v>3.9364182293245564E-3</v>
      </c>
      <c r="BZ88" s="224">
        <v>2.9069767441860465E-3</v>
      </c>
      <c r="CA88" s="224">
        <v>0</v>
      </c>
      <c r="CB88" s="224">
        <v>0</v>
      </c>
      <c r="CC88" s="224">
        <v>1.4534883720930232E-3</v>
      </c>
      <c r="CD88" s="224">
        <v>1.4534883720930232E-3</v>
      </c>
      <c r="CE88" s="224">
        <v>0</v>
      </c>
      <c r="CF88" s="224">
        <v>1.6971799979790106E-2</v>
      </c>
      <c r="CG88" s="224">
        <v>0</v>
      </c>
      <c r="CH88" s="224">
        <v>0</v>
      </c>
      <c r="CI88" s="224">
        <v>0</v>
      </c>
      <c r="CJ88" s="224">
        <v>0</v>
      </c>
      <c r="CK88" s="224">
        <v>0</v>
      </c>
      <c r="CL88" s="224">
        <v>0</v>
      </c>
      <c r="CM88" s="224">
        <v>2.23463687150838E-2</v>
      </c>
      <c r="CN88" s="224">
        <v>1.7380509000620731E-2</v>
      </c>
      <c r="CO88" s="224">
        <v>0</v>
      </c>
      <c r="CP88" s="224">
        <v>4.0968342644320296E-2</v>
      </c>
      <c r="CQ88" s="224">
        <v>2.4829298572315334E-2</v>
      </c>
      <c r="CR88" s="224">
        <v>1.86219739292365E-2</v>
      </c>
      <c r="CS88" s="224">
        <v>3.9364182293245564E-3</v>
      </c>
      <c r="CT88" s="224">
        <v>0</v>
      </c>
      <c r="CU88" s="224">
        <v>0</v>
      </c>
      <c r="CV88" s="224">
        <v>0</v>
      </c>
      <c r="CW88" s="224">
        <v>0</v>
      </c>
      <c r="CX88" s="224">
        <v>4.9658597144630664E-3</v>
      </c>
      <c r="CY88" s="224">
        <v>4.9658597144630664E-3</v>
      </c>
      <c r="CZ88" s="224">
        <v>4.9658597144630664E-3</v>
      </c>
      <c r="DA88" s="224">
        <v>3.9364182293245564E-3</v>
      </c>
      <c r="DB88" s="224">
        <v>0</v>
      </c>
      <c r="DC88" s="224">
        <v>0</v>
      </c>
      <c r="DD88" s="224">
        <v>0</v>
      </c>
      <c r="DE88" s="224">
        <v>0</v>
      </c>
      <c r="DF88" s="224">
        <v>4.9658597144630664E-3</v>
      </c>
      <c r="DG88" s="224">
        <v>4.9658597144630664E-3</v>
      </c>
      <c r="DH88" s="224">
        <v>4.9658597144630664E-3</v>
      </c>
      <c r="DI88" s="224">
        <v>5.8139534883720929E-3</v>
      </c>
      <c r="DJ88" s="224">
        <v>0</v>
      </c>
      <c r="DK88" s="224">
        <v>0</v>
      </c>
      <c r="DL88" s="224">
        <v>0</v>
      </c>
      <c r="DM88" s="224">
        <v>0</v>
      </c>
      <c r="DN88" s="224">
        <v>0</v>
      </c>
      <c r="DO88" s="224">
        <v>0</v>
      </c>
      <c r="DP88" s="224">
        <v>0</v>
      </c>
      <c r="DQ88" s="224">
        <f t="shared" si="1"/>
        <v>1</v>
      </c>
    </row>
    <row r="89" spans="1:121" x14ac:dyDescent="0.3">
      <c r="A89" s="223" t="s">
        <v>1186</v>
      </c>
      <c r="B89" s="223" t="s">
        <v>1177</v>
      </c>
      <c r="C89" s="223" t="s">
        <v>1092</v>
      </c>
      <c r="D89" s="223" t="s">
        <v>21</v>
      </c>
      <c r="E89" s="223" t="s">
        <v>27</v>
      </c>
      <c r="F89" s="224">
        <v>0.25630252100840334</v>
      </c>
      <c r="G89" s="224">
        <v>8.6134453781512611E-3</v>
      </c>
      <c r="H89" s="224">
        <v>6.8277310924369748E-3</v>
      </c>
      <c r="I89" s="224">
        <v>0</v>
      </c>
      <c r="J89" s="224">
        <v>0</v>
      </c>
      <c r="K89" s="224">
        <v>1.7857142857142857E-3</v>
      </c>
      <c r="L89" s="224">
        <v>1.5546218487394958E-2</v>
      </c>
      <c r="M89" s="224">
        <v>1.1974789915966387E-2</v>
      </c>
      <c r="N89" s="224">
        <v>1.9957983193277309E-2</v>
      </c>
      <c r="O89" s="224">
        <v>1.5651260504201681E-2</v>
      </c>
      <c r="P89" s="224">
        <v>0</v>
      </c>
      <c r="Q89" s="224">
        <v>0</v>
      </c>
      <c r="R89" s="224">
        <v>0</v>
      </c>
      <c r="S89" s="224">
        <v>0</v>
      </c>
      <c r="T89" s="224">
        <v>0</v>
      </c>
      <c r="U89" s="224">
        <v>0</v>
      </c>
      <c r="V89" s="224">
        <v>7.3529411764705881E-4</v>
      </c>
      <c r="W89" s="224">
        <v>1.0504201680672268E-3</v>
      </c>
      <c r="X89" s="224">
        <v>5.2521008403361342E-4</v>
      </c>
      <c r="Y89" s="224">
        <v>1.4705882352941176E-3</v>
      </c>
      <c r="Z89" s="224">
        <v>0</v>
      </c>
      <c r="AA89" s="224">
        <v>0</v>
      </c>
      <c r="AB89" s="224">
        <v>0</v>
      </c>
      <c r="AC89" s="224">
        <v>0</v>
      </c>
      <c r="AD89" s="224">
        <v>0</v>
      </c>
      <c r="AE89" s="224">
        <v>0</v>
      </c>
      <c r="AF89" s="224">
        <v>0</v>
      </c>
      <c r="AG89" s="224">
        <v>4.2016806722689074E-3</v>
      </c>
      <c r="AH89" s="224">
        <v>1.7857142857142857E-3</v>
      </c>
      <c r="AI89" s="224">
        <v>6.8277310924369748E-3</v>
      </c>
      <c r="AJ89" s="224">
        <v>4.3067226890756306E-3</v>
      </c>
      <c r="AK89" s="224">
        <v>1.6806722689075631E-3</v>
      </c>
      <c r="AL89" s="224">
        <v>4.2016806722689078E-4</v>
      </c>
      <c r="AM89" s="224">
        <v>0</v>
      </c>
      <c r="AN89" s="224">
        <v>4.2016806722689074E-3</v>
      </c>
      <c r="AO89" s="224">
        <v>3.7815126050420168E-3</v>
      </c>
      <c r="AP89" s="224">
        <v>1.1869747899159663E-2</v>
      </c>
      <c r="AQ89" s="224">
        <v>2.8361344537815125E-3</v>
      </c>
      <c r="AR89" s="224">
        <v>0</v>
      </c>
      <c r="AS89" s="224">
        <v>0</v>
      </c>
      <c r="AT89" s="224">
        <v>0</v>
      </c>
      <c r="AU89" s="224">
        <v>0</v>
      </c>
      <c r="AV89" s="224">
        <v>0</v>
      </c>
      <c r="AW89" s="224">
        <v>0</v>
      </c>
      <c r="AX89" s="224">
        <v>1.5861344537815125E-2</v>
      </c>
      <c r="AY89" s="224">
        <v>6.3025210084033617E-4</v>
      </c>
      <c r="AZ89" s="224">
        <v>2.1008403361344539E-4</v>
      </c>
      <c r="BA89" s="224">
        <v>0</v>
      </c>
      <c r="BB89" s="224">
        <v>0</v>
      </c>
      <c r="BC89" s="224">
        <v>4.3067226890756306E-3</v>
      </c>
      <c r="BD89" s="224">
        <v>2.8991596638655463E-2</v>
      </c>
      <c r="BE89" s="224">
        <v>0</v>
      </c>
      <c r="BF89" s="224">
        <v>1.4705882352941176E-3</v>
      </c>
      <c r="BG89" s="224">
        <v>0</v>
      </c>
      <c r="BH89" s="224">
        <v>0</v>
      </c>
      <c r="BI89" s="224">
        <v>0</v>
      </c>
      <c r="BJ89" s="224">
        <v>0</v>
      </c>
      <c r="BK89" s="224">
        <v>0</v>
      </c>
      <c r="BL89" s="224">
        <v>1.6806722689075631E-3</v>
      </c>
      <c r="BM89" s="224">
        <v>2.5210084033613447E-3</v>
      </c>
      <c r="BN89" s="224">
        <v>1.2605042016806723E-3</v>
      </c>
      <c r="BO89" s="224">
        <v>0</v>
      </c>
      <c r="BP89" s="224">
        <v>0</v>
      </c>
      <c r="BQ89" s="224">
        <v>0</v>
      </c>
      <c r="BR89" s="224">
        <v>1.6806722689075631E-3</v>
      </c>
      <c r="BS89" s="224">
        <v>5.2521008403361342E-4</v>
      </c>
      <c r="BT89" s="224">
        <v>0</v>
      </c>
      <c r="BU89" s="224">
        <v>8.4033613445378148E-3</v>
      </c>
      <c r="BV89" s="224">
        <v>2.0588235294117647E-2</v>
      </c>
      <c r="BW89" s="224">
        <v>6.6176470588235293E-3</v>
      </c>
      <c r="BX89" s="224">
        <v>9.8739495798319324E-3</v>
      </c>
      <c r="BY89" s="224">
        <v>7.0378151260504203E-3</v>
      </c>
      <c r="BZ89" s="224">
        <v>0</v>
      </c>
      <c r="CA89" s="224">
        <v>0</v>
      </c>
      <c r="CB89" s="224">
        <v>0</v>
      </c>
      <c r="CC89" s="224">
        <v>2.2058823529411764E-3</v>
      </c>
      <c r="CD89" s="224">
        <v>2.2058823529411764E-3</v>
      </c>
      <c r="CE89" s="224">
        <v>0</v>
      </c>
      <c r="CF89" s="224">
        <v>3.8970588235294118E-2</v>
      </c>
      <c r="CG89" s="224">
        <v>0</v>
      </c>
      <c r="CH89" s="224">
        <v>4.8319327731092439E-3</v>
      </c>
      <c r="CI89" s="224">
        <v>3.4663865546218486E-3</v>
      </c>
      <c r="CJ89" s="224">
        <v>2.4159663865546219E-3</v>
      </c>
      <c r="CK89" s="224">
        <v>0</v>
      </c>
      <c r="CL89" s="224">
        <v>0</v>
      </c>
      <c r="CM89" s="224">
        <v>4.8319327731092439E-3</v>
      </c>
      <c r="CN89" s="224">
        <v>3.2352941176470591E-2</v>
      </c>
      <c r="CO89" s="224">
        <v>0</v>
      </c>
      <c r="CP89" s="224">
        <v>0.14936974789915966</v>
      </c>
      <c r="CQ89" s="224">
        <v>0.11733193277310924</v>
      </c>
      <c r="CR89" s="224">
        <v>0</v>
      </c>
      <c r="CS89" s="224">
        <v>3.9915966386554619E-3</v>
      </c>
      <c r="CT89" s="224">
        <v>2.4159663865546219E-3</v>
      </c>
      <c r="CU89" s="224">
        <v>2.7310924369747898E-3</v>
      </c>
      <c r="CV89" s="224">
        <v>2.7310924369747898E-3</v>
      </c>
      <c r="CW89" s="224">
        <v>0</v>
      </c>
      <c r="CX89" s="224">
        <v>1.523109243697479E-2</v>
      </c>
      <c r="CY89" s="224">
        <v>4.2016806722689074E-3</v>
      </c>
      <c r="CZ89" s="224">
        <v>5.672268907563025E-3</v>
      </c>
      <c r="DA89" s="224">
        <v>1.5966386554621848E-2</v>
      </c>
      <c r="DB89" s="224">
        <v>9.5588235294117654E-3</v>
      </c>
      <c r="DC89" s="224">
        <v>1.0924369747899159E-2</v>
      </c>
      <c r="DD89" s="224">
        <v>6.4075630252100838E-3</v>
      </c>
      <c r="DE89" s="224">
        <v>0</v>
      </c>
      <c r="DF89" s="224">
        <v>4.149159663865546E-2</v>
      </c>
      <c r="DG89" s="224">
        <v>1.5021008403361345E-2</v>
      </c>
      <c r="DH89" s="224">
        <v>1.1659663865546219E-2</v>
      </c>
      <c r="DI89" s="224">
        <v>0</v>
      </c>
      <c r="DJ89" s="224">
        <v>0</v>
      </c>
      <c r="DK89" s="224">
        <v>0</v>
      </c>
      <c r="DL89" s="224">
        <v>0</v>
      </c>
      <c r="DM89" s="224">
        <v>0</v>
      </c>
      <c r="DN89" s="224">
        <v>0</v>
      </c>
      <c r="DO89" s="224">
        <v>0</v>
      </c>
      <c r="DP89" s="224">
        <v>0</v>
      </c>
      <c r="DQ89" s="224">
        <f t="shared" si="1"/>
        <v>0.99999999999999944</v>
      </c>
    </row>
    <row r="90" spans="1:121" x14ac:dyDescent="0.3">
      <c r="A90" s="223" t="s">
        <v>1187</v>
      </c>
      <c r="B90" s="223" t="s">
        <v>1177</v>
      </c>
      <c r="C90" s="223" t="s">
        <v>1095</v>
      </c>
      <c r="D90" s="223" t="s">
        <v>1087</v>
      </c>
      <c r="E90" s="223" t="s">
        <v>1093</v>
      </c>
      <c r="F90" s="224">
        <v>0.40784920779457295</v>
      </c>
      <c r="G90" s="224">
        <v>1.1655436168275359E-2</v>
      </c>
      <c r="H90" s="224">
        <v>1.1655436168275359E-2</v>
      </c>
      <c r="I90" s="224">
        <v>4.3707885631032598E-3</v>
      </c>
      <c r="J90" s="224">
        <v>0</v>
      </c>
      <c r="K90" s="224">
        <v>4.3707885631032598E-3</v>
      </c>
      <c r="L90" s="224">
        <v>1.311236568930978E-2</v>
      </c>
      <c r="M90" s="224">
        <v>6.5561828446548901E-3</v>
      </c>
      <c r="N90" s="224">
        <v>1.8940083773447459E-2</v>
      </c>
      <c r="O90" s="224">
        <v>5.8277180841376794E-3</v>
      </c>
      <c r="P90" s="224">
        <v>0</v>
      </c>
      <c r="Q90" s="224">
        <v>0</v>
      </c>
      <c r="R90" s="224">
        <v>0</v>
      </c>
      <c r="S90" s="224">
        <v>0</v>
      </c>
      <c r="T90" s="224">
        <v>0</v>
      </c>
      <c r="U90" s="224">
        <v>0</v>
      </c>
      <c r="V90" s="224">
        <v>2.1853942815516299E-3</v>
      </c>
      <c r="W90" s="224">
        <v>7.2846476051720993E-4</v>
      </c>
      <c r="X90" s="224">
        <v>7.2846476051720993E-4</v>
      </c>
      <c r="Y90" s="224">
        <v>2.1853942815516299E-3</v>
      </c>
      <c r="Z90" s="224">
        <v>8.0131123656893097E-3</v>
      </c>
      <c r="AA90" s="224">
        <v>0</v>
      </c>
      <c r="AB90" s="224">
        <v>0</v>
      </c>
      <c r="AC90" s="224">
        <v>0</v>
      </c>
      <c r="AD90" s="224">
        <v>7.2846476051720993E-4</v>
      </c>
      <c r="AE90" s="224">
        <v>0</v>
      </c>
      <c r="AF90" s="224">
        <v>0</v>
      </c>
      <c r="AG90" s="224">
        <v>6.5561828446548901E-3</v>
      </c>
      <c r="AH90" s="224">
        <v>1.4569295210344199E-3</v>
      </c>
      <c r="AI90" s="224">
        <v>2.9138590420688397E-3</v>
      </c>
      <c r="AJ90" s="224">
        <v>4.3707885631032598E-3</v>
      </c>
      <c r="AK90" s="224">
        <v>1.4569295210344199E-3</v>
      </c>
      <c r="AL90" s="224">
        <v>2.1853942815516299E-3</v>
      </c>
      <c r="AM90" s="224">
        <v>1.4569295210344199E-3</v>
      </c>
      <c r="AN90" s="224">
        <v>1.4569295210344199E-3</v>
      </c>
      <c r="AO90" s="224">
        <v>2.9138590420688397E-3</v>
      </c>
      <c r="AP90" s="224">
        <v>7.2846476051720993E-4</v>
      </c>
      <c r="AQ90" s="224">
        <v>4.3707885631032598E-3</v>
      </c>
      <c r="AR90" s="224">
        <v>0</v>
      </c>
      <c r="AS90" s="224">
        <v>0</v>
      </c>
      <c r="AT90" s="224">
        <v>0</v>
      </c>
      <c r="AU90" s="224">
        <v>2.1853942815516299E-3</v>
      </c>
      <c r="AV90" s="224">
        <v>0</v>
      </c>
      <c r="AW90" s="224">
        <v>0</v>
      </c>
      <c r="AX90" s="224">
        <v>2.9138590420688397E-3</v>
      </c>
      <c r="AY90" s="224">
        <v>2.9138590420688397E-3</v>
      </c>
      <c r="AZ90" s="224">
        <v>1.4569295210344199E-3</v>
      </c>
      <c r="BA90" s="224">
        <v>1.4569295210344199E-3</v>
      </c>
      <c r="BB90" s="224">
        <v>7.2846476051720993E-4</v>
      </c>
      <c r="BC90" s="224">
        <v>6.5561828446548901E-3</v>
      </c>
      <c r="BD90" s="224">
        <v>9.4700418867237294E-3</v>
      </c>
      <c r="BE90" s="224">
        <v>9.4700418867237294E-3</v>
      </c>
      <c r="BF90" s="224">
        <v>5.8277180841376794E-3</v>
      </c>
      <c r="BG90" s="224">
        <v>2.9138590420688397E-3</v>
      </c>
      <c r="BH90" s="224">
        <v>4.3707885631032598E-3</v>
      </c>
      <c r="BI90" s="224">
        <v>4.3707885631032598E-3</v>
      </c>
      <c r="BJ90" s="224">
        <v>5.8277180841376794E-3</v>
      </c>
      <c r="BK90" s="224">
        <v>0</v>
      </c>
      <c r="BL90" s="224">
        <v>4.3707885631032598E-3</v>
      </c>
      <c r="BM90" s="224">
        <v>1.0198506647240939E-2</v>
      </c>
      <c r="BN90" s="224">
        <v>5.0992533236204696E-3</v>
      </c>
      <c r="BO90" s="224">
        <v>0</v>
      </c>
      <c r="BP90" s="224">
        <v>0</v>
      </c>
      <c r="BQ90" s="224">
        <v>0</v>
      </c>
      <c r="BR90" s="224">
        <v>2.9138590420688397E-3</v>
      </c>
      <c r="BS90" s="224">
        <v>2.9138590420688397E-3</v>
      </c>
      <c r="BT90" s="224">
        <v>2.9138590420688397E-3</v>
      </c>
      <c r="BU90" s="224">
        <v>4.3707885631032598E-3</v>
      </c>
      <c r="BV90" s="224">
        <v>3.64232380258605E-3</v>
      </c>
      <c r="BW90" s="224">
        <v>4.3707885631032598E-3</v>
      </c>
      <c r="BX90" s="224">
        <v>2.1853942815516302E-2</v>
      </c>
      <c r="BY90" s="224">
        <v>1.311236568930978E-2</v>
      </c>
      <c r="BZ90" s="224">
        <v>0</v>
      </c>
      <c r="CA90" s="224">
        <v>0</v>
      </c>
      <c r="CB90" s="224">
        <v>0</v>
      </c>
      <c r="CC90" s="224">
        <v>8.7415771262065196E-3</v>
      </c>
      <c r="CD90" s="224">
        <v>8.7415771262065196E-3</v>
      </c>
      <c r="CE90" s="224">
        <v>8.7415771262065196E-3</v>
      </c>
      <c r="CF90" s="224">
        <v>8.7415771262065196E-3</v>
      </c>
      <c r="CG90" s="224">
        <v>0</v>
      </c>
      <c r="CH90" s="224">
        <v>1.311236568930978E-2</v>
      </c>
      <c r="CI90" s="224">
        <v>1.311236568930978E-2</v>
      </c>
      <c r="CJ90" s="224">
        <v>6.5561828446548901E-3</v>
      </c>
      <c r="CK90" s="224">
        <v>4.3707885631032598E-3</v>
      </c>
      <c r="CL90" s="224">
        <v>2.1853942815516299E-3</v>
      </c>
      <c r="CM90" s="224">
        <v>9.8342742669823343E-3</v>
      </c>
      <c r="CN90" s="224">
        <v>1.1655436168275359E-2</v>
      </c>
      <c r="CO90" s="224">
        <v>0</v>
      </c>
      <c r="CP90" s="224">
        <v>2.5951557093425604E-2</v>
      </c>
      <c r="CQ90" s="224">
        <v>2.7499544709524676E-2</v>
      </c>
      <c r="CR90" s="224">
        <v>1.4569295210344199E-3</v>
      </c>
      <c r="CS90" s="224">
        <v>4.3707885631032598E-3</v>
      </c>
      <c r="CT90" s="224">
        <v>4.3707885631032598E-3</v>
      </c>
      <c r="CU90" s="224">
        <v>4.3707885631032598E-3</v>
      </c>
      <c r="CV90" s="224">
        <v>4.3707885631032598E-3</v>
      </c>
      <c r="CW90" s="224">
        <v>2.1853942815516299E-3</v>
      </c>
      <c r="CX90" s="224">
        <v>4.3707885631032598E-3</v>
      </c>
      <c r="CY90" s="224">
        <v>4.3707885631032598E-3</v>
      </c>
      <c r="CZ90" s="224">
        <v>4.3707885631032598E-3</v>
      </c>
      <c r="DA90" s="224">
        <v>1.8940083773447459E-2</v>
      </c>
      <c r="DB90" s="224">
        <v>1.8940083773447459E-2</v>
      </c>
      <c r="DC90" s="224">
        <v>1.8940083773447459E-2</v>
      </c>
      <c r="DD90" s="224">
        <v>1.8940083773447459E-2</v>
      </c>
      <c r="DE90" s="224">
        <v>1.8940083773447459E-2</v>
      </c>
      <c r="DF90" s="224">
        <v>1.8940083773447459E-2</v>
      </c>
      <c r="DG90" s="224">
        <v>1.8940083773447459E-2</v>
      </c>
      <c r="DH90" s="224">
        <v>1.8940083773447459E-2</v>
      </c>
      <c r="DI90" s="224">
        <v>0</v>
      </c>
      <c r="DJ90" s="224">
        <v>0</v>
      </c>
      <c r="DK90" s="224">
        <v>0</v>
      </c>
      <c r="DL90" s="224">
        <v>0</v>
      </c>
      <c r="DM90" s="224">
        <v>0</v>
      </c>
      <c r="DN90" s="224">
        <v>0</v>
      </c>
      <c r="DO90" s="224">
        <v>0</v>
      </c>
      <c r="DP90" s="224">
        <v>0</v>
      </c>
      <c r="DQ90" s="224">
        <f t="shared" si="1"/>
        <v>0.99999999999999956</v>
      </c>
    </row>
    <row r="91" spans="1:121" x14ac:dyDescent="0.3">
      <c r="A91" s="223" t="s">
        <v>1188</v>
      </c>
      <c r="B91" s="223" t="s">
        <v>1189</v>
      </c>
      <c r="C91" s="223" t="s">
        <v>1092</v>
      </c>
      <c r="D91" s="223" t="s">
        <v>1087</v>
      </c>
      <c r="E91" s="223" t="s">
        <v>27</v>
      </c>
      <c r="F91" s="224">
        <v>0.31464538378997475</v>
      </c>
      <c r="G91" s="224">
        <v>3.1909965750342509E-2</v>
      </c>
      <c r="H91" s="224">
        <v>7.338444275799101E-3</v>
      </c>
      <c r="I91" s="224">
        <v>8.4826255978848718E-4</v>
      </c>
      <c r="J91" s="224">
        <v>4.3487714720591431E-4</v>
      </c>
      <c r="K91" s="224">
        <v>5.2830946356841064E-3</v>
      </c>
      <c r="L91" s="224">
        <v>1.0236756644112553E-2</v>
      </c>
      <c r="M91" s="224">
        <v>5.865456164462074E-3</v>
      </c>
      <c r="N91" s="224">
        <v>1.1263900349727388E-2</v>
      </c>
      <c r="O91" s="224">
        <v>3.4880824189699794E-3</v>
      </c>
      <c r="P91" s="224">
        <v>7.4186704726388825E-3</v>
      </c>
      <c r="Q91" s="224">
        <v>8.0635213866405639E-3</v>
      </c>
      <c r="R91" s="224">
        <v>2.4513127419325338E-3</v>
      </c>
      <c r="S91" s="224">
        <v>9.5956455734899672E-3</v>
      </c>
      <c r="T91" s="224">
        <v>1.1158238435271018E-2</v>
      </c>
      <c r="U91" s="224">
        <v>3.3661938990928461E-3</v>
      </c>
      <c r="V91" s="224">
        <v>4.4516342092472735E-3</v>
      </c>
      <c r="W91" s="224">
        <v>1.134762692361658E-2</v>
      </c>
      <c r="X91" s="224">
        <v>3.6814351727592694E-3</v>
      </c>
      <c r="Y91" s="224">
        <v>7.7550009006334183E-3</v>
      </c>
      <c r="Z91" s="224">
        <v>1.9938344719452307E-2</v>
      </c>
      <c r="AA91" s="224">
        <v>1.2794225796863299E-3</v>
      </c>
      <c r="AB91" s="224">
        <v>4.6247556009622343E-3</v>
      </c>
      <c r="AC91" s="224">
        <v>1.6739925922288641E-2</v>
      </c>
      <c r="AD91" s="224">
        <v>3.4460101859903982E-3</v>
      </c>
      <c r="AE91" s="224">
        <v>4.9575669837743442E-3</v>
      </c>
      <c r="AF91" s="224">
        <v>4.084253946724189E-3</v>
      </c>
      <c r="AG91" s="224">
        <v>7.7810847103188183E-3</v>
      </c>
      <c r="AH91" s="224">
        <v>5.6500108029986845E-3</v>
      </c>
      <c r="AI91" s="224">
        <v>5.8615592819588605E-3</v>
      </c>
      <c r="AJ91" s="224">
        <v>2.0755159141175008E-2</v>
      </c>
      <c r="AK91" s="224">
        <v>3.7657960188596951E-3</v>
      </c>
      <c r="AL91" s="224">
        <v>4.9298076698449577E-3</v>
      </c>
      <c r="AM91" s="224">
        <v>2.885937079597195E-3</v>
      </c>
      <c r="AN91" s="224">
        <v>1.4540673802008432E-2</v>
      </c>
      <c r="AO91" s="224">
        <v>1.1771215061514725E-2</v>
      </c>
      <c r="AP91" s="224">
        <v>3.1159304082855619E-3</v>
      </c>
      <c r="AQ91" s="224">
        <v>3.5610744445331859E-3</v>
      </c>
      <c r="AR91" s="224">
        <v>1.56061395317212E-2</v>
      </c>
      <c r="AS91" s="224">
        <v>1.7364618069734158E-2</v>
      </c>
      <c r="AT91" s="224">
        <v>4.902667136700168E-3</v>
      </c>
      <c r="AU91" s="224">
        <v>1.3521756628870766E-3</v>
      </c>
      <c r="AV91" s="224">
        <v>6.4008475735206948E-3</v>
      </c>
      <c r="AW91" s="224">
        <v>6.4251615259164801E-3</v>
      </c>
      <c r="AX91" s="224">
        <v>6.2573921112225881E-3</v>
      </c>
      <c r="AY91" s="224">
        <v>7.020076368135026E-3</v>
      </c>
      <c r="AZ91" s="224">
        <v>4.043815152625036E-3</v>
      </c>
      <c r="BA91" s="224">
        <v>2.6568777711410952E-3</v>
      </c>
      <c r="BB91" s="224">
        <v>1.4327359935675202E-3</v>
      </c>
      <c r="BC91" s="224">
        <v>1.1681870456566481E-2</v>
      </c>
      <c r="BD91" s="224">
        <v>1.8802249109525725E-2</v>
      </c>
      <c r="BE91" s="224">
        <v>2.0688726277023225E-2</v>
      </c>
      <c r="BF91" s="224">
        <v>6.0908854219864639E-3</v>
      </c>
      <c r="BG91" s="224">
        <v>2.1979249234053394E-2</v>
      </c>
      <c r="BH91" s="224">
        <v>1.5132973133507198E-2</v>
      </c>
      <c r="BI91" s="224">
        <v>4.2774366124183286E-3</v>
      </c>
      <c r="BJ91" s="224">
        <v>4.6508908559792029E-3</v>
      </c>
      <c r="BK91" s="224">
        <v>4.3658745038756049E-3</v>
      </c>
      <c r="BL91" s="224">
        <v>7.5099370606426198E-3</v>
      </c>
      <c r="BM91" s="224">
        <v>1.0713645873626609E-2</v>
      </c>
      <c r="BN91" s="224">
        <v>1.1198861961846459E-2</v>
      </c>
      <c r="BO91" s="224">
        <v>1.39332715542086E-2</v>
      </c>
      <c r="BP91" s="224">
        <v>6.5093569276912754E-3</v>
      </c>
      <c r="BQ91" s="224">
        <v>6.0496943679716883E-3</v>
      </c>
      <c r="BR91" s="224">
        <v>7.3001053051386447E-3</v>
      </c>
      <c r="BS91" s="224">
        <v>7.0877702682659157E-3</v>
      </c>
      <c r="BT91" s="224">
        <v>6.6014714882861028E-4</v>
      </c>
      <c r="BU91" s="224">
        <v>2.9022768272458827E-2</v>
      </c>
      <c r="BV91" s="224">
        <v>4.4599046411281365E-3</v>
      </c>
      <c r="BW91" s="224">
        <v>5.2624731183284193E-3</v>
      </c>
      <c r="BX91" s="224">
        <v>1.2874139556485273E-2</v>
      </c>
      <c r="BY91" s="224">
        <v>1.3004058838202453E-2</v>
      </c>
      <c r="BZ91" s="224">
        <v>1.5398777748800023E-2</v>
      </c>
      <c r="CA91" s="224">
        <v>7.2786902736961734E-3</v>
      </c>
      <c r="CB91" s="224">
        <v>6.5884156739675643E-3</v>
      </c>
      <c r="CC91" s="224">
        <v>8.4528312538022145E-3</v>
      </c>
      <c r="CD91" s="224">
        <v>1.0861419004166909E-2</v>
      </c>
      <c r="CE91" s="224">
        <v>6.3955419799869098E-4</v>
      </c>
      <c r="CF91" s="224">
        <v>2.9796132845592824E-2</v>
      </c>
      <c r="CG91" s="224">
        <v>3.9733497936826337E-3</v>
      </c>
      <c r="CH91" s="224">
        <v>0</v>
      </c>
      <c r="CI91" s="224">
        <v>0</v>
      </c>
      <c r="CJ91" s="224">
        <v>0</v>
      </c>
      <c r="CK91" s="224">
        <v>0</v>
      </c>
      <c r="CL91" s="224">
        <v>0</v>
      </c>
      <c r="CM91" s="224">
        <v>0</v>
      </c>
      <c r="CN91" s="224">
        <v>0</v>
      </c>
      <c r="CO91" s="224">
        <v>0</v>
      </c>
      <c r="CP91" s="224">
        <v>0</v>
      </c>
      <c r="CQ91" s="224">
        <v>0</v>
      </c>
      <c r="CR91" s="224">
        <v>0</v>
      </c>
      <c r="CS91" s="224">
        <v>0</v>
      </c>
      <c r="CT91" s="224">
        <v>0</v>
      </c>
      <c r="CU91" s="224">
        <v>0</v>
      </c>
      <c r="CV91" s="224">
        <v>0</v>
      </c>
      <c r="CW91" s="224">
        <v>0</v>
      </c>
      <c r="CX91" s="224">
        <v>0</v>
      </c>
      <c r="CY91" s="224">
        <v>0</v>
      </c>
      <c r="CZ91" s="224">
        <v>0</v>
      </c>
      <c r="DA91" s="224">
        <v>0</v>
      </c>
      <c r="DB91" s="224">
        <v>0</v>
      </c>
      <c r="DC91" s="224">
        <v>0</v>
      </c>
      <c r="DD91" s="224">
        <v>0</v>
      </c>
      <c r="DE91" s="224">
        <v>0</v>
      </c>
      <c r="DF91" s="224">
        <v>0</v>
      </c>
      <c r="DG91" s="224">
        <v>0</v>
      </c>
      <c r="DH91" s="224">
        <v>0</v>
      </c>
      <c r="DI91" s="224">
        <v>0</v>
      </c>
      <c r="DJ91" s="224">
        <v>0</v>
      </c>
      <c r="DK91" s="224">
        <v>0</v>
      </c>
      <c r="DL91" s="224">
        <v>0</v>
      </c>
      <c r="DM91" s="224">
        <v>0</v>
      </c>
      <c r="DN91" s="224">
        <v>0</v>
      </c>
      <c r="DO91" s="224">
        <v>0</v>
      </c>
      <c r="DP91" s="224">
        <v>0</v>
      </c>
      <c r="DQ91" s="224">
        <f t="shared" si="1"/>
        <v>1.0000000000000002</v>
      </c>
    </row>
    <row r="92" spans="1:121" x14ac:dyDescent="0.3">
      <c r="A92" s="223" t="s">
        <v>1190</v>
      </c>
      <c r="B92" s="223" t="s">
        <v>1189</v>
      </c>
      <c r="C92" s="223" t="s">
        <v>1095</v>
      </c>
      <c r="D92" s="223" t="s">
        <v>1087</v>
      </c>
      <c r="E92" s="223" t="s">
        <v>1090</v>
      </c>
      <c r="F92" s="224">
        <v>0</v>
      </c>
      <c r="G92" s="224">
        <v>2.9372988684729574E-2</v>
      </c>
      <c r="H92" s="224">
        <v>2.3897020658154262E-2</v>
      </c>
      <c r="I92" s="224">
        <v>1.9723865877712032E-2</v>
      </c>
      <c r="J92" s="224">
        <v>0</v>
      </c>
      <c r="K92" s="224">
        <v>2.3232637807536594E-2</v>
      </c>
      <c r="L92" s="224">
        <v>1.3955500190318004E-2</v>
      </c>
      <c r="M92" s="224">
        <v>9.8619329388560158E-3</v>
      </c>
      <c r="N92" s="224">
        <v>9.8619329388560158E-3</v>
      </c>
      <c r="O92" s="224">
        <v>0</v>
      </c>
      <c r="P92" s="224">
        <v>2.4402228450811449E-2</v>
      </c>
      <c r="Q92" s="224">
        <v>2.4402228450811449E-2</v>
      </c>
      <c r="R92" s="224">
        <v>0</v>
      </c>
      <c r="S92" s="224">
        <v>9.8619329388560158E-3</v>
      </c>
      <c r="T92" s="224">
        <v>9.8619329388560158E-3</v>
      </c>
      <c r="U92" s="224">
        <v>0</v>
      </c>
      <c r="V92" s="224">
        <v>1.5457282258901691E-2</v>
      </c>
      <c r="W92" s="224">
        <v>1.7796463545451401E-2</v>
      </c>
      <c r="X92" s="224">
        <v>4.9309664694280079E-3</v>
      </c>
      <c r="Y92" s="224">
        <v>1.1695906432748538E-3</v>
      </c>
      <c r="Z92" s="224">
        <v>0</v>
      </c>
      <c r="AA92" s="224">
        <v>3.0755389459842901E-2</v>
      </c>
      <c r="AB92" s="224">
        <v>0</v>
      </c>
      <c r="AC92" s="224">
        <v>0</v>
      </c>
      <c r="AD92" s="224">
        <v>9.8619329388560158E-3</v>
      </c>
      <c r="AE92" s="224">
        <v>1.9723865877712032E-2</v>
      </c>
      <c r="AF92" s="224">
        <v>2.1696252465483234E-2</v>
      </c>
      <c r="AG92" s="224">
        <v>2.1557839371604555E-2</v>
      </c>
      <c r="AH92" s="224">
        <v>1.4540295511955431E-2</v>
      </c>
      <c r="AI92" s="224">
        <v>1.5125090833592859E-2</v>
      </c>
      <c r="AJ92" s="224">
        <v>2.8575383231253679E-2</v>
      </c>
      <c r="AK92" s="224">
        <v>1.2201114225405724E-2</v>
      </c>
      <c r="AL92" s="224">
        <v>9.8619329388560158E-3</v>
      </c>
      <c r="AM92" s="224">
        <v>9.8750821827744903E-2</v>
      </c>
      <c r="AN92" s="224">
        <v>9.8619329388560158E-3</v>
      </c>
      <c r="AO92" s="224">
        <v>1.278590954704315E-2</v>
      </c>
      <c r="AP92" s="224">
        <v>9.8619329388560158E-3</v>
      </c>
      <c r="AQ92" s="224">
        <v>1.6879476798505138E-2</v>
      </c>
      <c r="AR92" s="224">
        <v>5.6432748538011696E-2</v>
      </c>
      <c r="AS92" s="224">
        <v>9.1653690439115545E-2</v>
      </c>
      <c r="AT92" s="224">
        <v>9.8619329388560158E-3</v>
      </c>
      <c r="AU92" s="224">
        <v>2.55718190940863E-2</v>
      </c>
      <c r="AV92" s="224">
        <v>1.3370704868680578E-2</v>
      </c>
      <c r="AW92" s="224">
        <v>9.8619329388560158E-3</v>
      </c>
      <c r="AX92" s="224">
        <v>4.0271289664002216E-2</v>
      </c>
      <c r="AY92" s="224">
        <v>1.2201114225405724E-2</v>
      </c>
      <c r="AZ92" s="224">
        <v>1.6879476798505138E-2</v>
      </c>
      <c r="BA92" s="224">
        <v>0</v>
      </c>
      <c r="BB92" s="224">
        <v>9.8619329388560158E-3</v>
      </c>
      <c r="BC92" s="224">
        <v>3.9101699020727361E-2</v>
      </c>
      <c r="BD92" s="224">
        <v>2.9744973874528534E-2</v>
      </c>
      <c r="BE92" s="224">
        <v>1.4035087719298246E-2</v>
      </c>
      <c r="BF92" s="224">
        <v>1.4540295511955431E-2</v>
      </c>
      <c r="BG92" s="224">
        <v>1.1695906432748537E-2</v>
      </c>
      <c r="BH92" s="224">
        <v>9.3567251461988306E-3</v>
      </c>
      <c r="BI92" s="224">
        <v>1.8713450292397661E-2</v>
      </c>
      <c r="BJ92" s="224">
        <v>7.0175438596491229E-3</v>
      </c>
      <c r="BK92" s="224">
        <v>0</v>
      </c>
      <c r="BL92" s="224">
        <v>0</v>
      </c>
      <c r="BM92" s="224">
        <v>0</v>
      </c>
      <c r="BN92" s="224">
        <v>0</v>
      </c>
      <c r="BO92" s="224">
        <v>0</v>
      </c>
      <c r="BP92" s="224">
        <v>0</v>
      </c>
      <c r="BQ92" s="224">
        <v>0</v>
      </c>
      <c r="BR92" s="224">
        <v>0</v>
      </c>
      <c r="BS92" s="224">
        <v>0</v>
      </c>
      <c r="BT92" s="224">
        <v>0</v>
      </c>
      <c r="BU92" s="224">
        <v>0</v>
      </c>
      <c r="BV92" s="224">
        <v>0</v>
      </c>
      <c r="BW92" s="224">
        <v>0</v>
      </c>
      <c r="BX92" s="224">
        <v>0</v>
      </c>
      <c r="BY92" s="224">
        <v>0</v>
      </c>
      <c r="BZ92" s="224">
        <v>0</v>
      </c>
      <c r="CA92" s="224">
        <v>0</v>
      </c>
      <c r="CB92" s="224">
        <v>0</v>
      </c>
      <c r="CC92" s="224">
        <v>0</v>
      </c>
      <c r="CD92" s="224">
        <v>0</v>
      </c>
      <c r="CE92" s="224">
        <v>0</v>
      </c>
      <c r="CF92" s="224">
        <v>0</v>
      </c>
      <c r="CG92" s="224">
        <v>0</v>
      </c>
      <c r="CH92" s="224">
        <v>0</v>
      </c>
      <c r="CI92" s="224">
        <v>0</v>
      </c>
      <c r="CJ92" s="224">
        <v>0</v>
      </c>
      <c r="CK92" s="224">
        <v>0</v>
      </c>
      <c r="CL92" s="224">
        <v>0</v>
      </c>
      <c r="CM92" s="224">
        <v>0</v>
      </c>
      <c r="CN92" s="224">
        <v>0</v>
      </c>
      <c r="CO92" s="224">
        <v>0</v>
      </c>
      <c r="CP92" s="224">
        <v>0</v>
      </c>
      <c r="CQ92" s="224">
        <v>0</v>
      </c>
      <c r="CR92" s="224">
        <v>0</v>
      </c>
      <c r="CS92" s="224">
        <v>0</v>
      </c>
      <c r="CT92" s="224">
        <v>0</v>
      </c>
      <c r="CU92" s="224">
        <v>0</v>
      </c>
      <c r="CV92" s="224">
        <v>0</v>
      </c>
      <c r="CW92" s="224">
        <v>0</v>
      </c>
      <c r="CX92" s="224">
        <v>0</v>
      </c>
      <c r="CY92" s="224">
        <v>0</v>
      </c>
      <c r="CZ92" s="224">
        <v>0</v>
      </c>
      <c r="DA92" s="224">
        <v>0</v>
      </c>
      <c r="DB92" s="224">
        <v>0</v>
      </c>
      <c r="DC92" s="224">
        <v>0</v>
      </c>
      <c r="DD92" s="224">
        <v>0</v>
      </c>
      <c r="DE92" s="224">
        <v>0</v>
      </c>
      <c r="DF92" s="224">
        <v>0</v>
      </c>
      <c r="DG92" s="224">
        <v>0</v>
      </c>
      <c r="DH92" s="224">
        <v>0</v>
      </c>
      <c r="DI92" s="224">
        <v>0</v>
      </c>
      <c r="DJ92" s="224">
        <v>0</v>
      </c>
      <c r="DK92" s="224">
        <v>0</v>
      </c>
      <c r="DL92" s="224">
        <v>0</v>
      </c>
      <c r="DM92" s="224">
        <v>0</v>
      </c>
      <c r="DN92" s="224">
        <v>0</v>
      </c>
      <c r="DO92" s="224">
        <v>0</v>
      </c>
      <c r="DP92" s="224">
        <v>0</v>
      </c>
      <c r="DQ92" s="224">
        <f t="shared" si="1"/>
        <v>1.0000000000000002</v>
      </c>
    </row>
    <row r="93" spans="1:121" x14ac:dyDescent="0.3">
      <c r="A93" s="223" t="s">
        <v>1191</v>
      </c>
      <c r="B93" s="223" t="s">
        <v>1189</v>
      </c>
      <c r="C93" s="223" t="s">
        <v>1095</v>
      </c>
      <c r="D93" s="223" t="s">
        <v>21</v>
      </c>
      <c r="E93" s="223" t="s">
        <v>1096</v>
      </c>
      <c r="F93" s="224">
        <v>1.1350844277673546E-2</v>
      </c>
      <c r="G93" s="224">
        <v>6.7479492968587879E-2</v>
      </c>
      <c r="H93" s="224">
        <v>2.9162206252273889E-2</v>
      </c>
      <c r="I93" s="224">
        <v>2.5542571831339202E-3</v>
      </c>
      <c r="J93" s="224">
        <v>1.50093808630394E-3</v>
      </c>
      <c r="K93" s="224">
        <v>2.2671761829388518E-2</v>
      </c>
      <c r="L93" s="224">
        <v>3.1416333463473306E-2</v>
      </c>
      <c r="M93" s="224">
        <v>4.3199994932004724E-3</v>
      </c>
      <c r="N93" s="224">
        <v>1.0992439185365907E-3</v>
      </c>
      <c r="O93" s="224">
        <v>1.1889192723814053E-3</v>
      </c>
      <c r="P93" s="224">
        <v>2.046189737238405E-2</v>
      </c>
      <c r="Q93" s="224">
        <v>1.7263041285804581E-2</v>
      </c>
      <c r="R93" s="224">
        <v>8.4872932324691654E-3</v>
      </c>
      <c r="S93" s="224">
        <v>2.9070910115862634E-2</v>
      </c>
      <c r="T93" s="224">
        <v>3.2905729870237051E-2</v>
      </c>
      <c r="U93" s="224">
        <v>1.4652014652014654E-3</v>
      </c>
      <c r="V93" s="224">
        <v>1.4445681950755181E-2</v>
      </c>
      <c r="W93" s="224">
        <v>3.4141098269854071E-2</v>
      </c>
      <c r="X93" s="224">
        <v>1.5000265503943384E-2</v>
      </c>
      <c r="Y93" s="224">
        <v>6.1997241122770043E-4</v>
      </c>
      <c r="Z93" s="224">
        <v>2.7898758505246518E-3</v>
      </c>
      <c r="AA93" s="224">
        <v>0</v>
      </c>
      <c r="AB93" s="224">
        <v>0</v>
      </c>
      <c r="AC93" s="224">
        <v>6.7315647150449059E-3</v>
      </c>
      <c r="AD93" s="224">
        <v>5.3751989913981427E-3</v>
      </c>
      <c r="AE93" s="224">
        <v>1.5919039015238619E-2</v>
      </c>
      <c r="AF93" s="224">
        <v>8.2785503938887783E-3</v>
      </c>
      <c r="AG93" s="224">
        <v>2.4136684203751407E-2</v>
      </c>
      <c r="AH93" s="224">
        <v>1.5307850312121504E-2</v>
      </c>
      <c r="AI93" s="224">
        <v>2.2781664766712856E-2</v>
      </c>
      <c r="AJ93" s="224">
        <v>4.0719972017513997E-2</v>
      </c>
      <c r="AK93" s="224">
        <v>6.0802003914205306E-3</v>
      </c>
      <c r="AL93" s="224">
        <v>7.2602126789840871E-3</v>
      </c>
      <c r="AM93" s="224">
        <v>1.9396597909740049E-3</v>
      </c>
      <c r="AN93" s="224">
        <v>2.511427283189591E-2</v>
      </c>
      <c r="AO93" s="224">
        <v>2.848071517219735E-2</v>
      </c>
      <c r="AP93" s="224">
        <v>5.5567691868007568E-3</v>
      </c>
      <c r="AQ93" s="224">
        <v>1.2858224803217121E-2</v>
      </c>
      <c r="AR93" s="224">
        <v>2.8754874767675815E-2</v>
      </c>
      <c r="AS93" s="224">
        <v>4.7165999575910902E-2</v>
      </c>
      <c r="AT93" s="224">
        <v>1.5332390190605873E-2</v>
      </c>
      <c r="AU93" s="224">
        <v>3.6017150855585244E-3</v>
      </c>
      <c r="AV93" s="224">
        <v>1.5812288330600274E-2</v>
      </c>
      <c r="AW93" s="224">
        <v>1.8590332064712368E-2</v>
      </c>
      <c r="AX93" s="224">
        <v>1.710400485194322E-2</v>
      </c>
      <c r="AY93" s="224">
        <v>2.9425996799260397E-2</v>
      </c>
      <c r="AZ93" s="224">
        <v>1.9925430511153561E-2</v>
      </c>
      <c r="BA93" s="224">
        <v>4.6803148050605682E-3</v>
      </c>
      <c r="BB93" s="224">
        <v>1.2810495481009976E-3</v>
      </c>
      <c r="BC93" s="224">
        <v>3.8811358467684826E-2</v>
      </c>
      <c r="BD93" s="224">
        <v>6.8628609310320027E-2</v>
      </c>
      <c r="BE93" s="224">
        <v>0</v>
      </c>
      <c r="BF93" s="224">
        <v>2.4712970325252295E-2</v>
      </c>
      <c r="BG93" s="224">
        <v>1.2399448224554009E-3</v>
      </c>
      <c r="BH93" s="224">
        <v>5.2697654954354531E-3</v>
      </c>
      <c r="BI93" s="224">
        <v>0</v>
      </c>
      <c r="BJ93" s="224">
        <v>0</v>
      </c>
      <c r="BK93" s="224">
        <v>1.8012269802545533E-3</v>
      </c>
      <c r="BL93" s="224">
        <v>4.5916098118406459E-3</v>
      </c>
      <c r="BM93" s="224">
        <v>5.7559253037420977E-3</v>
      </c>
      <c r="BN93" s="224">
        <v>4.6849889640417884E-3</v>
      </c>
      <c r="BO93" s="224">
        <v>5.7907341942368502E-3</v>
      </c>
      <c r="BP93" s="224">
        <v>3.4449026199753464E-3</v>
      </c>
      <c r="BQ93" s="224">
        <v>3.3230925219182167E-3</v>
      </c>
      <c r="BR93" s="224">
        <v>4.281865375132741E-3</v>
      </c>
      <c r="BS93" s="224">
        <v>4.1911954192480391E-3</v>
      </c>
      <c r="BT93" s="224">
        <v>0</v>
      </c>
      <c r="BU93" s="224">
        <v>2.6344554660036493E-3</v>
      </c>
      <c r="BV93" s="224">
        <v>5.7094958200293571E-3</v>
      </c>
      <c r="BW93" s="224">
        <v>3.6795592247929453E-3</v>
      </c>
      <c r="BX93" s="224">
        <v>4.411662909783046E-3</v>
      </c>
      <c r="BY93" s="224">
        <v>4.6004361843492454E-3</v>
      </c>
      <c r="BZ93" s="224">
        <v>7.041013511379905E-3</v>
      </c>
      <c r="CA93" s="224">
        <v>3.6891028641755901E-3</v>
      </c>
      <c r="CB93" s="224">
        <v>3.5672927661184609E-3</v>
      </c>
      <c r="CC93" s="224">
        <v>2.899509215478208E-3</v>
      </c>
      <c r="CD93" s="224">
        <v>4.4786260862921161E-3</v>
      </c>
      <c r="CE93" s="224">
        <v>0</v>
      </c>
      <c r="CF93" s="224">
        <v>1.9006936825452082E-3</v>
      </c>
      <c r="CG93" s="224">
        <v>1.2500227825540879E-3</v>
      </c>
      <c r="CH93" s="224">
        <v>0</v>
      </c>
      <c r="CI93" s="224">
        <v>0</v>
      </c>
      <c r="CJ93" s="224">
        <v>0</v>
      </c>
      <c r="CK93" s="224">
        <v>0</v>
      </c>
      <c r="CL93" s="224">
        <v>0</v>
      </c>
      <c r="CM93" s="224">
        <v>0</v>
      </c>
      <c r="CN93" s="224">
        <v>0</v>
      </c>
      <c r="CO93" s="224">
        <v>0</v>
      </c>
      <c r="CP93" s="224">
        <v>0</v>
      </c>
      <c r="CQ93" s="224">
        <v>0</v>
      </c>
      <c r="CR93" s="224">
        <v>0</v>
      </c>
      <c r="CS93" s="224">
        <v>0</v>
      </c>
      <c r="CT93" s="224">
        <v>0</v>
      </c>
      <c r="CU93" s="224">
        <v>0</v>
      </c>
      <c r="CV93" s="224">
        <v>0</v>
      </c>
      <c r="CW93" s="224">
        <v>0</v>
      </c>
      <c r="CX93" s="224">
        <v>0</v>
      </c>
      <c r="CY93" s="224">
        <v>0</v>
      </c>
      <c r="CZ93" s="224">
        <v>0</v>
      </c>
      <c r="DA93" s="224">
        <v>0</v>
      </c>
      <c r="DB93" s="224">
        <v>0</v>
      </c>
      <c r="DC93" s="224">
        <v>0</v>
      </c>
      <c r="DD93" s="224">
        <v>0</v>
      </c>
      <c r="DE93" s="224">
        <v>0</v>
      </c>
      <c r="DF93" s="224">
        <v>0</v>
      </c>
      <c r="DG93" s="224">
        <v>0</v>
      </c>
      <c r="DH93" s="224">
        <v>0</v>
      </c>
      <c r="DI93" s="224">
        <v>0</v>
      </c>
      <c r="DJ93" s="224">
        <v>0</v>
      </c>
      <c r="DK93" s="224">
        <v>0</v>
      </c>
      <c r="DL93" s="224">
        <v>0</v>
      </c>
      <c r="DM93" s="224">
        <v>0</v>
      </c>
      <c r="DN93" s="224">
        <v>0</v>
      </c>
      <c r="DO93" s="224">
        <v>0</v>
      </c>
      <c r="DP93" s="224">
        <v>0</v>
      </c>
      <c r="DQ93" s="224">
        <f t="shared" si="1"/>
        <v>0.99999999999999944</v>
      </c>
    </row>
    <row r="94" spans="1:121" x14ac:dyDescent="0.3">
      <c r="A94" s="223" t="s">
        <v>1192</v>
      </c>
      <c r="B94" s="223" t="s">
        <v>1189</v>
      </c>
      <c r="C94" s="223" t="s">
        <v>1089</v>
      </c>
      <c r="D94" s="223" t="s">
        <v>21</v>
      </c>
      <c r="E94" s="223" t="s">
        <v>1090</v>
      </c>
      <c r="F94" s="224">
        <v>2.0674486217854508E-2</v>
      </c>
      <c r="G94" s="224">
        <v>7.1090844906532238E-2</v>
      </c>
      <c r="H94" s="224">
        <v>3.6127165900653645E-2</v>
      </c>
      <c r="I94" s="224">
        <v>4.9422294410254976E-3</v>
      </c>
      <c r="J94" s="224">
        <v>8.8199665914315065E-3</v>
      </c>
      <c r="K94" s="224">
        <v>2.2847663729377011E-2</v>
      </c>
      <c r="L94" s="224">
        <v>3.5663045103609355E-2</v>
      </c>
      <c r="M94" s="224">
        <v>4.4716737932019961E-3</v>
      </c>
      <c r="N94" s="224">
        <v>6.2167759052885081E-3</v>
      </c>
      <c r="O94" s="224">
        <v>1.1183534822139705E-2</v>
      </c>
      <c r="P94" s="224">
        <v>2.2369686618549958E-2</v>
      </c>
      <c r="Q94" s="224">
        <v>1.6999729193754684E-2</v>
      </c>
      <c r="R94" s="224">
        <v>7.6890533585641102E-3</v>
      </c>
      <c r="S94" s="224">
        <v>3.8154402486414642E-2</v>
      </c>
      <c r="T94" s="224">
        <v>3.5785736418976748E-2</v>
      </c>
      <c r="U94" s="224">
        <v>3.2873409977079928E-4</v>
      </c>
      <c r="V94" s="224">
        <v>1.5311573721693542E-2</v>
      </c>
      <c r="W94" s="224">
        <v>2.4812598706315254E-2</v>
      </c>
      <c r="X94" s="224">
        <v>1.1752374564755707E-2</v>
      </c>
      <c r="Y94" s="224">
        <v>9.4451183143956247E-3</v>
      </c>
      <c r="Z94" s="224">
        <v>5.8025906546100353E-3</v>
      </c>
      <c r="AA94" s="224">
        <v>3.741475139966744E-4</v>
      </c>
      <c r="AB94" s="224">
        <v>1.5281268608352325E-4</v>
      </c>
      <c r="AC94" s="224">
        <v>9.075854863600509E-4</v>
      </c>
      <c r="AD94" s="224">
        <v>7.7132203931656179E-3</v>
      </c>
      <c r="AE94" s="224">
        <v>1.7295833704309694E-2</v>
      </c>
      <c r="AF94" s="224">
        <v>8.6196545752844217E-3</v>
      </c>
      <c r="AG94" s="224">
        <v>2.8087079389201419E-2</v>
      </c>
      <c r="AH94" s="224">
        <v>1.7036746430533017E-2</v>
      </c>
      <c r="AI94" s="224">
        <v>1.7158688087796439E-2</v>
      </c>
      <c r="AJ94" s="224">
        <v>3.4859121646719594E-2</v>
      </c>
      <c r="AK94" s="224">
        <v>7.2150258043062162E-3</v>
      </c>
      <c r="AL94" s="224">
        <v>6.5202177863691799E-3</v>
      </c>
      <c r="AM94" s="224">
        <v>3.4821411417519403E-3</v>
      </c>
      <c r="AN94" s="224">
        <v>2.2397106557514534E-2</v>
      </c>
      <c r="AO94" s="224">
        <v>2.0590378071252094E-2</v>
      </c>
      <c r="AP94" s="224">
        <v>7.0741180704183846E-3</v>
      </c>
      <c r="AQ94" s="224">
        <v>1.0696701493738638E-2</v>
      </c>
      <c r="AR94" s="224">
        <v>3.8626978210098389E-2</v>
      </c>
      <c r="AS94" s="224">
        <v>4.6432951975267374E-2</v>
      </c>
      <c r="AT94" s="224">
        <v>1.7360536237446177E-2</v>
      </c>
      <c r="AU94" s="224">
        <v>3.6508979074826803E-3</v>
      </c>
      <c r="AV94" s="224">
        <v>1.9648927059601199E-2</v>
      </c>
      <c r="AW94" s="224">
        <v>2.0709464369357011E-2</v>
      </c>
      <c r="AX94" s="224">
        <v>2.1394195151596913E-2</v>
      </c>
      <c r="AY94" s="224">
        <v>3.4142183854097105E-2</v>
      </c>
      <c r="AZ94" s="224">
        <v>1.2467388374690219E-2</v>
      </c>
      <c r="BA94" s="224">
        <v>4.7022514475921892E-3</v>
      </c>
      <c r="BB94" s="224">
        <v>4.5246568560869472E-3</v>
      </c>
      <c r="BC94" s="224">
        <v>3.8876788053892664E-2</v>
      </c>
      <c r="BD94" s="224">
        <v>7.2362171112700865E-2</v>
      </c>
      <c r="BE94" s="224">
        <v>3.0357247717074319E-4</v>
      </c>
      <c r="BF94" s="224">
        <v>2.2090272023190343E-2</v>
      </c>
      <c r="BG94" s="224">
        <v>2.0028484956382411E-4</v>
      </c>
      <c r="BH94" s="224">
        <v>4.7025776519663701E-3</v>
      </c>
      <c r="BI94" s="224">
        <v>0</v>
      </c>
      <c r="BJ94" s="224">
        <v>8.9015488695032928E-5</v>
      </c>
      <c r="BK94" s="224">
        <v>0</v>
      </c>
      <c r="BL94" s="224">
        <v>1.5095981210443423E-4</v>
      </c>
      <c r="BM94" s="224">
        <v>1.2177100635148725E-3</v>
      </c>
      <c r="BN94" s="224">
        <v>8.5131741369769715E-5</v>
      </c>
      <c r="BO94" s="224">
        <v>3.0952172511537553E-3</v>
      </c>
      <c r="BP94" s="224">
        <v>1.1197196522853175E-3</v>
      </c>
      <c r="BQ94" s="224">
        <v>9.2033209057461925E-4</v>
      </c>
      <c r="BR94" s="224">
        <v>1.4235225492387885E-4</v>
      </c>
      <c r="BS94" s="224">
        <v>0</v>
      </c>
      <c r="BT94" s="224">
        <v>0</v>
      </c>
      <c r="BU94" s="224">
        <v>2.4259274711523483E-4</v>
      </c>
      <c r="BV94" s="224">
        <v>5.9951439334139349E-5</v>
      </c>
      <c r="BW94" s="224">
        <v>0</v>
      </c>
      <c r="BX94" s="224">
        <v>1.6495044755988114E-3</v>
      </c>
      <c r="BY94" s="224">
        <v>8.5131741369769715E-5</v>
      </c>
      <c r="BZ94" s="224">
        <v>3.6457998015584029E-3</v>
      </c>
      <c r="CA94" s="224">
        <v>9.6624347241226944E-4</v>
      </c>
      <c r="CB94" s="224">
        <v>9.6624347241226944E-4</v>
      </c>
      <c r="CC94" s="224">
        <v>8.5131741369769715E-5</v>
      </c>
      <c r="CD94" s="224">
        <v>0</v>
      </c>
      <c r="CE94" s="224">
        <v>0</v>
      </c>
      <c r="CF94" s="224">
        <v>9.0256320441880426E-4</v>
      </c>
      <c r="CG94" s="224">
        <v>0</v>
      </c>
      <c r="CH94" s="224">
        <v>9.7756488586929957E-4</v>
      </c>
      <c r="CI94" s="224">
        <v>2.4439122146732489E-4</v>
      </c>
      <c r="CJ94" s="224">
        <v>2.4439122146732489E-4</v>
      </c>
      <c r="CK94" s="224">
        <v>0</v>
      </c>
      <c r="CL94" s="224">
        <v>0</v>
      </c>
      <c r="CM94" s="224">
        <v>0</v>
      </c>
      <c r="CN94" s="224">
        <v>0</v>
      </c>
      <c r="CO94" s="224">
        <v>2.4439122146732489E-4</v>
      </c>
      <c r="CP94" s="224">
        <v>0</v>
      </c>
      <c r="CQ94" s="224">
        <v>0</v>
      </c>
      <c r="CR94" s="224">
        <v>0</v>
      </c>
      <c r="CS94" s="224">
        <v>0</v>
      </c>
      <c r="CT94" s="224">
        <v>0</v>
      </c>
      <c r="CU94" s="224">
        <v>0</v>
      </c>
      <c r="CV94" s="224">
        <v>0</v>
      </c>
      <c r="CW94" s="224">
        <v>0</v>
      </c>
      <c r="CX94" s="224">
        <v>0</v>
      </c>
      <c r="CY94" s="224">
        <v>0</v>
      </c>
      <c r="CZ94" s="224">
        <v>0</v>
      </c>
      <c r="DA94" s="224">
        <v>0</v>
      </c>
      <c r="DB94" s="224">
        <v>0</v>
      </c>
      <c r="DC94" s="224">
        <v>0</v>
      </c>
      <c r="DD94" s="224">
        <v>0</v>
      </c>
      <c r="DE94" s="224">
        <v>0</v>
      </c>
      <c r="DF94" s="224">
        <v>0</v>
      </c>
      <c r="DG94" s="224">
        <v>0</v>
      </c>
      <c r="DH94" s="224">
        <v>0</v>
      </c>
      <c r="DI94" s="224">
        <v>0</v>
      </c>
      <c r="DJ94" s="224">
        <v>0</v>
      </c>
      <c r="DK94" s="224">
        <v>0</v>
      </c>
      <c r="DL94" s="224">
        <v>0</v>
      </c>
      <c r="DM94" s="224">
        <v>0</v>
      </c>
      <c r="DN94" s="224">
        <v>0</v>
      </c>
      <c r="DO94" s="224">
        <v>0</v>
      </c>
      <c r="DP94" s="224">
        <v>0</v>
      </c>
      <c r="DQ94" s="224">
        <f t="shared" si="1"/>
        <v>1</v>
      </c>
    </row>
    <row r="95" spans="1:121" x14ac:dyDescent="0.3">
      <c r="A95" s="223" t="s">
        <v>1193</v>
      </c>
      <c r="B95" s="223" t="s">
        <v>1189</v>
      </c>
      <c r="C95" s="223" t="s">
        <v>1089</v>
      </c>
      <c r="D95" s="223" t="s">
        <v>1087</v>
      </c>
      <c r="E95" s="223" t="s">
        <v>1090</v>
      </c>
      <c r="F95" s="224">
        <v>3.8221282556815984E-2</v>
      </c>
      <c r="G95" s="224">
        <v>5.8952488552566289E-2</v>
      </c>
      <c r="H95" s="224">
        <v>2.7152847376273749E-2</v>
      </c>
      <c r="I95" s="224">
        <v>8.2373589432446718E-3</v>
      </c>
      <c r="J95" s="224">
        <v>5.3121070383230599E-3</v>
      </c>
      <c r="K95" s="224">
        <v>1.2795979446292266E-2</v>
      </c>
      <c r="L95" s="224">
        <v>3.3978912601937909E-2</v>
      </c>
      <c r="M95" s="224">
        <v>1.0033782528957045E-2</v>
      </c>
      <c r="N95" s="224">
        <v>8.8500205448037023E-3</v>
      </c>
      <c r="O95" s="224">
        <v>1.926004549148682E-2</v>
      </c>
      <c r="P95" s="224">
        <v>1.4778808420513465E-2</v>
      </c>
      <c r="Q95" s="224">
        <v>1.4142399113828558E-2</v>
      </c>
      <c r="R95" s="224">
        <v>3.6212020898430492E-3</v>
      </c>
      <c r="S95" s="224">
        <v>2.2221909571221044E-2</v>
      </c>
      <c r="T95" s="224">
        <v>1.6384372432821738E-2</v>
      </c>
      <c r="U95" s="224">
        <v>6.9256753151589216E-3</v>
      </c>
      <c r="V95" s="224">
        <v>1.3926729678045358E-2</v>
      </c>
      <c r="W95" s="224">
        <v>2.3740577676114247E-2</v>
      </c>
      <c r="X95" s="224">
        <v>1.1155777531636485E-2</v>
      </c>
      <c r="Y95" s="224">
        <v>1.6495951070767366E-2</v>
      </c>
      <c r="Z95" s="224">
        <v>1.3366956682487977E-2</v>
      </c>
      <c r="AA95" s="224">
        <v>2.6068040039837486E-3</v>
      </c>
      <c r="AB95" s="224">
        <v>6.1940132282929357E-3</v>
      </c>
      <c r="AC95" s="224">
        <v>1.4057907532178409E-2</v>
      </c>
      <c r="AD95" s="224">
        <v>6.0810331206578366E-3</v>
      </c>
      <c r="AE95" s="224">
        <v>9.2099831204029599E-3</v>
      </c>
      <c r="AF95" s="224">
        <v>7.7043178147785446E-3</v>
      </c>
      <c r="AG95" s="224">
        <v>1.720755705217477E-2</v>
      </c>
      <c r="AH95" s="224">
        <v>1.2740641561424286E-2</v>
      </c>
      <c r="AI95" s="224">
        <v>1.3801556765781797E-2</v>
      </c>
      <c r="AJ95" s="224">
        <v>3.02066929037796E-2</v>
      </c>
      <c r="AK95" s="224">
        <v>7.1647970688445885E-3</v>
      </c>
      <c r="AL95" s="224">
        <v>8.8917108224390081E-3</v>
      </c>
      <c r="AM95" s="224">
        <v>6.2069443241859999E-3</v>
      </c>
      <c r="AN95" s="224">
        <v>2.6601196737135437E-2</v>
      </c>
      <c r="AO95" s="224">
        <v>2.2684210557384406E-2</v>
      </c>
      <c r="AP95" s="224">
        <v>6.6215700307677757E-3</v>
      </c>
      <c r="AQ95" s="224">
        <v>1.051413730419941E-2</v>
      </c>
      <c r="AR95" s="224">
        <v>3.940450247568613E-2</v>
      </c>
      <c r="AS95" s="224">
        <v>3.270936093031452E-2</v>
      </c>
      <c r="AT95" s="224">
        <v>1.2206615249308975E-2</v>
      </c>
      <c r="AU95" s="224">
        <v>2.3073812190404735E-3</v>
      </c>
      <c r="AV95" s="224">
        <v>1.3093152656202469E-2</v>
      </c>
      <c r="AW95" s="224">
        <v>1.5420893628097237E-2</v>
      </c>
      <c r="AX95" s="224">
        <v>1.0917292850322476E-2</v>
      </c>
      <c r="AY95" s="224">
        <v>3.3046826148709921E-2</v>
      </c>
      <c r="AZ95" s="224">
        <v>1.0477713735706143E-2</v>
      </c>
      <c r="BA95" s="224">
        <v>7.0024594532478446E-3</v>
      </c>
      <c r="BB95" s="224">
        <v>2.1744652321314395E-3</v>
      </c>
      <c r="BC95" s="224">
        <v>2.486883764328264E-2</v>
      </c>
      <c r="BD95" s="224">
        <v>5.0488188122705363E-2</v>
      </c>
      <c r="BE95" s="224">
        <v>4.03925703421079E-2</v>
      </c>
      <c r="BF95" s="224">
        <v>1.7605847620685438E-2</v>
      </c>
      <c r="BG95" s="224">
        <v>2.9333813379141451E-2</v>
      </c>
      <c r="BH95" s="224">
        <v>2.3602138517326132E-2</v>
      </c>
      <c r="BI95" s="224">
        <v>1.031198834048595E-2</v>
      </c>
      <c r="BJ95" s="224">
        <v>1.3171640011171428E-2</v>
      </c>
      <c r="BK95" s="224">
        <v>0</v>
      </c>
      <c r="BL95" s="224">
        <v>1.8506775671069624E-4</v>
      </c>
      <c r="BM95" s="224">
        <v>6.824899296141349E-4</v>
      </c>
      <c r="BN95" s="224">
        <v>1.9327111103865986E-4</v>
      </c>
      <c r="BO95" s="224">
        <v>4.3555876138795757E-4</v>
      </c>
      <c r="BP95" s="224">
        <v>1.8506775671069624E-4</v>
      </c>
      <c r="BQ95" s="224">
        <v>1.8506775671069624E-4</v>
      </c>
      <c r="BR95" s="224">
        <v>3.3919412622507653E-4</v>
      </c>
      <c r="BS95" s="224">
        <v>3.2877105371176106E-4</v>
      </c>
      <c r="BT95" s="224">
        <v>8.3384580106523798E-5</v>
      </c>
      <c r="BU95" s="224">
        <v>8.7254806275198007E-3</v>
      </c>
      <c r="BV95" s="224">
        <v>1.6954884225007654E-4</v>
      </c>
      <c r="BW95" s="224">
        <v>1.8298596497648628E-5</v>
      </c>
      <c r="BX95" s="224">
        <v>6.6950937970874566E-4</v>
      </c>
      <c r="BY95" s="224">
        <v>3.3885636701835463E-4</v>
      </c>
      <c r="BZ95" s="224">
        <v>7.6156825620146912E-4</v>
      </c>
      <c r="CA95" s="224">
        <v>1.8298596497648628E-5</v>
      </c>
      <c r="CB95" s="224">
        <v>1.0168317660417243E-4</v>
      </c>
      <c r="CC95" s="224">
        <v>1.0988653093213606E-4</v>
      </c>
      <c r="CD95" s="224">
        <v>1.0988653093213606E-4</v>
      </c>
      <c r="CE95" s="224">
        <v>0</v>
      </c>
      <c r="CF95" s="224">
        <v>9.7731640963964646E-3</v>
      </c>
      <c r="CG95" s="224">
        <v>0</v>
      </c>
      <c r="CH95" s="224">
        <v>0</v>
      </c>
      <c r="CI95" s="224">
        <v>0</v>
      </c>
      <c r="CJ95" s="224">
        <v>0</v>
      </c>
      <c r="CK95" s="224">
        <v>0</v>
      </c>
      <c r="CL95" s="224">
        <v>0</v>
      </c>
      <c r="CM95" s="224">
        <v>0</v>
      </c>
      <c r="CN95" s="224">
        <v>0</v>
      </c>
      <c r="CO95" s="224">
        <v>0</v>
      </c>
      <c r="CP95" s="224">
        <v>0</v>
      </c>
      <c r="CQ95" s="224">
        <v>0</v>
      </c>
      <c r="CR95" s="224">
        <v>0</v>
      </c>
      <c r="CS95" s="224">
        <v>0</v>
      </c>
      <c r="CT95" s="224">
        <v>0</v>
      </c>
      <c r="CU95" s="224">
        <v>0</v>
      </c>
      <c r="CV95" s="224">
        <v>0</v>
      </c>
      <c r="CW95" s="224">
        <v>0</v>
      </c>
      <c r="CX95" s="224">
        <v>0</v>
      </c>
      <c r="CY95" s="224">
        <v>0</v>
      </c>
      <c r="CZ95" s="224">
        <v>0</v>
      </c>
      <c r="DA95" s="224">
        <v>0</v>
      </c>
      <c r="DB95" s="224">
        <v>0</v>
      </c>
      <c r="DC95" s="224">
        <v>0</v>
      </c>
      <c r="DD95" s="224">
        <v>0</v>
      </c>
      <c r="DE95" s="224">
        <v>0</v>
      </c>
      <c r="DF95" s="224">
        <v>0</v>
      </c>
      <c r="DG95" s="224">
        <v>0</v>
      </c>
      <c r="DH95" s="224">
        <v>0</v>
      </c>
      <c r="DI95" s="224">
        <v>0</v>
      </c>
      <c r="DJ95" s="224">
        <v>0</v>
      </c>
      <c r="DK95" s="224">
        <v>0</v>
      </c>
      <c r="DL95" s="224">
        <v>0</v>
      </c>
      <c r="DM95" s="224">
        <v>0</v>
      </c>
      <c r="DN95" s="224">
        <v>0</v>
      </c>
      <c r="DO95" s="224">
        <v>0</v>
      </c>
      <c r="DP95" s="224">
        <v>0</v>
      </c>
      <c r="DQ95" s="224">
        <f t="shared" si="1"/>
        <v>1</v>
      </c>
    </row>
    <row r="96" spans="1:121" x14ac:dyDescent="0.3">
      <c r="A96" s="223" t="s">
        <v>1194</v>
      </c>
      <c r="B96" s="223" t="s">
        <v>1189</v>
      </c>
      <c r="C96" s="223" t="s">
        <v>1092</v>
      </c>
      <c r="D96" s="223" t="s">
        <v>21</v>
      </c>
      <c r="E96" s="223" t="s">
        <v>1096</v>
      </c>
      <c r="F96" s="224">
        <v>0.25935297415976366</v>
      </c>
      <c r="G96" s="224">
        <v>3.8754106824450414E-2</v>
      </c>
      <c r="H96" s="224">
        <v>1.8978695205169829E-2</v>
      </c>
      <c r="I96" s="224">
        <v>1.5509526811670344E-3</v>
      </c>
      <c r="J96" s="224">
        <v>0</v>
      </c>
      <c r="K96" s="224">
        <v>1.2264893513163514E-2</v>
      </c>
      <c r="L96" s="224">
        <v>2.7353647093660827E-2</v>
      </c>
      <c r="M96" s="224">
        <v>3.6911709083049657E-3</v>
      </c>
      <c r="N96" s="224">
        <v>0</v>
      </c>
      <c r="O96" s="224">
        <v>0</v>
      </c>
      <c r="P96" s="224">
        <v>1.1919498353677248E-2</v>
      </c>
      <c r="Q96" s="224">
        <v>1.3612559423110784E-2</v>
      </c>
      <c r="R96" s="224">
        <v>5.2734580224860772E-3</v>
      </c>
      <c r="S96" s="224">
        <v>1.3974673109866519E-2</v>
      </c>
      <c r="T96" s="224">
        <v>2.0485303534092298E-2</v>
      </c>
      <c r="U96" s="224">
        <v>0</v>
      </c>
      <c r="V96" s="224">
        <v>1.4779489355922194E-2</v>
      </c>
      <c r="W96" s="224">
        <v>2.0353654364106612E-2</v>
      </c>
      <c r="X96" s="224">
        <v>1.1714087923682014E-2</v>
      </c>
      <c r="Y96" s="224">
        <v>0</v>
      </c>
      <c r="Z96" s="224">
        <v>0</v>
      </c>
      <c r="AA96" s="224">
        <v>0</v>
      </c>
      <c r="AB96" s="224">
        <v>0</v>
      </c>
      <c r="AC96" s="224">
        <v>0</v>
      </c>
      <c r="AD96" s="224">
        <v>5.2038149487939151E-3</v>
      </c>
      <c r="AE96" s="224">
        <v>1.3028463374219697E-2</v>
      </c>
      <c r="AF96" s="224">
        <v>1.231362287097601E-2</v>
      </c>
      <c r="AG96" s="224">
        <v>1.7565262461949335E-2</v>
      </c>
      <c r="AH96" s="224">
        <v>9.5040753070406089E-3</v>
      </c>
      <c r="AI96" s="224">
        <v>1.6311333031793756E-2</v>
      </c>
      <c r="AJ96" s="224">
        <v>3.0129938994604907E-2</v>
      </c>
      <c r="AK96" s="224">
        <v>1.5304754278057652E-2</v>
      </c>
      <c r="AL96" s="224">
        <v>1.0164939953099177E-2</v>
      </c>
      <c r="AM96" s="224">
        <v>2.5201612903225806E-3</v>
      </c>
      <c r="AN96" s="224">
        <v>5.4244800006859273E-2</v>
      </c>
      <c r="AO96" s="224">
        <v>2.3562064179564413E-2</v>
      </c>
      <c r="AP96" s="224">
        <v>1.6750418760469012E-3</v>
      </c>
      <c r="AQ96" s="224">
        <v>9.7461794840874513E-3</v>
      </c>
      <c r="AR96" s="224">
        <v>2.132290147440857E-2</v>
      </c>
      <c r="AS96" s="224">
        <v>3.1381655922575288E-2</v>
      </c>
      <c r="AT96" s="224">
        <v>1.4506012244714865E-2</v>
      </c>
      <c r="AU96" s="224">
        <v>2.3458569752372949E-3</v>
      </c>
      <c r="AV96" s="224">
        <v>1.1031800796594788E-2</v>
      </c>
      <c r="AW96" s="224">
        <v>1.3178112487018815E-2</v>
      </c>
      <c r="AX96" s="224">
        <v>1.145056126560651E-2</v>
      </c>
      <c r="AY96" s="224">
        <v>1.7809757117022183E-2</v>
      </c>
      <c r="AZ96" s="224">
        <v>7.9374554093665367E-3</v>
      </c>
      <c r="BA96" s="224">
        <v>0</v>
      </c>
      <c r="BB96" s="224">
        <v>0</v>
      </c>
      <c r="BC96" s="224">
        <v>1.7212384329650068E-2</v>
      </c>
      <c r="BD96" s="224">
        <v>4.0146090128833176E-2</v>
      </c>
      <c r="BE96" s="224">
        <v>0</v>
      </c>
      <c r="BF96" s="224">
        <v>1.8413634864009543E-2</v>
      </c>
      <c r="BG96" s="224">
        <v>0</v>
      </c>
      <c r="BH96" s="224">
        <v>6.4907872696817418E-3</v>
      </c>
      <c r="BI96" s="224">
        <v>0</v>
      </c>
      <c r="BJ96" s="224">
        <v>0</v>
      </c>
      <c r="BK96" s="224">
        <v>8.375209380234506E-4</v>
      </c>
      <c r="BL96" s="224">
        <v>4.1985331564468329E-3</v>
      </c>
      <c r="BM96" s="224">
        <v>6.082955266999597E-3</v>
      </c>
      <c r="BN96" s="224">
        <v>8.2933830846982949E-3</v>
      </c>
      <c r="BO96" s="224">
        <v>8.1692553886720202E-3</v>
      </c>
      <c r="BP96" s="224">
        <v>7.9220165109636295E-3</v>
      </c>
      <c r="BQ96" s="224">
        <v>2.7366130013122937E-3</v>
      </c>
      <c r="BR96" s="224">
        <v>3.7688442211055275E-3</v>
      </c>
      <c r="BS96" s="224">
        <v>9.968424960745197E-3</v>
      </c>
      <c r="BT96" s="224">
        <v>0</v>
      </c>
      <c r="BU96" s="224">
        <v>6.7861020629750276E-3</v>
      </c>
      <c r="BV96" s="224">
        <v>4.935115088910454E-3</v>
      </c>
      <c r="BW96" s="224">
        <v>2.551457222190248E-3</v>
      </c>
      <c r="BX96" s="224">
        <v>2.9702176912019731E-3</v>
      </c>
      <c r="BY96" s="224">
        <v>4.0559940212779779E-3</v>
      </c>
      <c r="BZ96" s="224">
        <v>3.5131058562399755E-3</v>
      </c>
      <c r="CA96" s="224">
        <v>2.4273295261639711E-3</v>
      </c>
      <c r="CB96" s="224">
        <v>4.187604690117253E-4</v>
      </c>
      <c r="CC96" s="224">
        <v>2.5903131291637339E-3</v>
      </c>
      <c r="CD96" s="224">
        <v>2.0085690571522456E-3</v>
      </c>
      <c r="CE96" s="224">
        <v>0</v>
      </c>
      <c r="CF96" s="224">
        <v>6.7861020629750276E-3</v>
      </c>
      <c r="CG96" s="224">
        <v>4.187604690117253E-4</v>
      </c>
      <c r="CH96" s="224">
        <v>0</v>
      </c>
      <c r="CI96" s="224">
        <v>0</v>
      </c>
      <c r="CJ96" s="224">
        <v>0</v>
      </c>
      <c r="CK96" s="224">
        <v>0</v>
      </c>
      <c r="CL96" s="224">
        <v>0</v>
      </c>
      <c r="CM96" s="224">
        <v>0</v>
      </c>
      <c r="CN96" s="224">
        <v>0</v>
      </c>
      <c r="CO96" s="224">
        <v>0</v>
      </c>
      <c r="CP96" s="224">
        <v>0</v>
      </c>
      <c r="CQ96" s="224">
        <v>0</v>
      </c>
      <c r="CR96" s="224">
        <v>0</v>
      </c>
      <c r="CS96" s="224">
        <v>0</v>
      </c>
      <c r="CT96" s="224">
        <v>0</v>
      </c>
      <c r="CU96" s="224">
        <v>0</v>
      </c>
      <c r="CV96" s="224">
        <v>0</v>
      </c>
      <c r="CW96" s="224">
        <v>0</v>
      </c>
      <c r="CX96" s="224">
        <v>0</v>
      </c>
      <c r="CY96" s="224">
        <v>0</v>
      </c>
      <c r="CZ96" s="224">
        <v>0</v>
      </c>
      <c r="DA96" s="224">
        <v>0</v>
      </c>
      <c r="DB96" s="224">
        <v>0</v>
      </c>
      <c r="DC96" s="224">
        <v>0</v>
      </c>
      <c r="DD96" s="224">
        <v>0</v>
      </c>
      <c r="DE96" s="224">
        <v>0</v>
      </c>
      <c r="DF96" s="224">
        <v>0</v>
      </c>
      <c r="DG96" s="224">
        <v>0</v>
      </c>
      <c r="DH96" s="224">
        <v>0</v>
      </c>
      <c r="DI96" s="224">
        <v>0</v>
      </c>
      <c r="DJ96" s="224">
        <v>0</v>
      </c>
      <c r="DK96" s="224">
        <v>0</v>
      </c>
      <c r="DL96" s="224">
        <v>0</v>
      </c>
      <c r="DM96" s="224">
        <v>0</v>
      </c>
      <c r="DN96" s="224">
        <v>0</v>
      </c>
      <c r="DO96" s="224">
        <v>0</v>
      </c>
      <c r="DP96" s="224">
        <v>0</v>
      </c>
      <c r="DQ96" s="224">
        <f t="shared" si="1"/>
        <v>1</v>
      </c>
    </row>
    <row r="97" spans="1:121" x14ac:dyDescent="0.3">
      <c r="A97" s="223" t="s">
        <v>1195</v>
      </c>
      <c r="B97" s="223" t="s">
        <v>1189</v>
      </c>
      <c r="C97" s="223" t="s">
        <v>1089</v>
      </c>
      <c r="D97" s="223" t="s">
        <v>1087</v>
      </c>
      <c r="E97" s="223" t="s">
        <v>1096</v>
      </c>
      <c r="F97" s="224">
        <v>0</v>
      </c>
      <c r="G97" s="224">
        <v>7.0698561850604538E-2</v>
      </c>
      <c r="H97" s="224">
        <v>2.0390679148699312E-2</v>
      </c>
      <c r="I97" s="224">
        <v>1.2690782032452918E-2</v>
      </c>
      <c r="J97" s="224">
        <v>0</v>
      </c>
      <c r="K97" s="224">
        <v>1.3598834184155728E-2</v>
      </c>
      <c r="L97" s="224">
        <v>2.8067973313962224E-2</v>
      </c>
      <c r="M97" s="224">
        <v>5.678753791845975E-3</v>
      </c>
      <c r="N97" s="224">
        <v>2.7637527637527637E-3</v>
      </c>
      <c r="O97" s="224">
        <v>8.5664549950264235E-3</v>
      </c>
      <c r="P97" s="224">
        <v>1.4906461711164179E-2</v>
      </c>
      <c r="Q97" s="224">
        <v>1.9744647302982327E-2</v>
      </c>
      <c r="R97" s="224">
        <v>6.1596476025088361E-3</v>
      </c>
      <c r="S97" s="224">
        <v>1.9735348413463149E-2</v>
      </c>
      <c r="T97" s="224">
        <v>1.645732235005053E-2</v>
      </c>
      <c r="U97" s="224">
        <v>3.1002205926190903E-2</v>
      </c>
      <c r="V97" s="224">
        <v>1.1158307784637007E-2</v>
      </c>
      <c r="W97" s="224">
        <v>1.9544185566867985E-2</v>
      </c>
      <c r="X97" s="224">
        <v>9.1774691958857579E-3</v>
      </c>
      <c r="Y97" s="224">
        <v>1.1284682613725736E-2</v>
      </c>
      <c r="Z97" s="224">
        <v>5.3892380843896361E-3</v>
      </c>
      <c r="AA97" s="224">
        <v>6.4350064350064348E-4</v>
      </c>
      <c r="AB97" s="224">
        <v>1.0465724751439037E-2</v>
      </c>
      <c r="AC97" s="224">
        <v>2.0118234403948689E-2</v>
      </c>
      <c r="AD97" s="224">
        <v>8.2354699740290679E-3</v>
      </c>
      <c r="AE97" s="224">
        <v>1.0095040468836554E-2</v>
      </c>
      <c r="AF97" s="224">
        <v>9.590339642385334E-3</v>
      </c>
      <c r="AG97" s="224">
        <v>1.4961002783429581E-2</v>
      </c>
      <c r="AH97" s="224">
        <v>7.7844190179938259E-3</v>
      </c>
      <c r="AI97" s="224">
        <v>9.9298972378902926E-3</v>
      </c>
      <c r="AJ97" s="224">
        <v>2.6524299115973041E-2</v>
      </c>
      <c r="AK97" s="224">
        <v>1.4213084946096686E-2</v>
      </c>
      <c r="AL97" s="224">
        <v>6.4331969895208728E-3</v>
      </c>
      <c r="AM97" s="224">
        <v>6.7963107476785292E-3</v>
      </c>
      <c r="AN97" s="224">
        <v>1.8285137044799147E-2</v>
      </c>
      <c r="AO97" s="224">
        <v>1.6313950726107584E-2</v>
      </c>
      <c r="AP97" s="224">
        <v>8.1770289468695734E-3</v>
      </c>
      <c r="AQ97" s="224">
        <v>1.2911804820459253E-2</v>
      </c>
      <c r="AR97" s="224">
        <v>2.3542381043582444E-2</v>
      </c>
      <c r="AS97" s="224">
        <v>3.1422576233808029E-2</v>
      </c>
      <c r="AT97" s="224">
        <v>1.478217657996468E-2</v>
      </c>
      <c r="AU97" s="224">
        <v>2.5058716730235599E-3</v>
      </c>
      <c r="AV97" s="224">
        <v>1.5548567107371838E-2</v>
      </c>
      <c r="AW97" s="224">
        <v>1.5059489349930483E-2</v>
      </c>
      <c r="AX97" s="224">
        <v>1.4698116265992886E-2</v>
      </c>
      <c r="AY97" s="224">
        <v>2.5856813105679888E-2</v>
      </c>
      <c r="AZ97" s="224">
        <v>8.7023258294943312E-3</v>
      </c>
      <c r="BA97" s="224">
        <v>1.2411347517730495E-2</v>
      </c>
      <c r="BB97" s="224">
        <v>2.5058716730235599E-3</v>
      </c>
      <c r="BC97" s="224">
        <v>2.8288070478601018E-2</v>
      </c>
      <c r="BD97" s="224">
        <v>5.1421606357363564E-2</v>
      </c>
      <c r="BE97" s="224">
        <v>4.2856161551459583E-2</v>
      </c>
      <c r="BF97" s="224">
        <v>1.4059334950666738E-2</v>
      </c>
      <c r="BG97" s="224">
        <v>1.5664349393715565E-2</v>
      </c>
      <c r="BH97" s="224">
        <v>2.7770347215515672E-2</v>
      </c>
      <c r="BI97" s="224">
        <v>1.1503370809635762E-2</v>
      </c>
      <c r="BJ97" s="224">
        <v>1.4570792296702264E-2</v>
      </c>
      <c r="BK97" s="224">
        <v>0</v>
      </c>
      <c r="BL97" s="224">
        <v>3.9311400355547177E-3</v>
      </c>
      <c r="BM97" s="224">
        <v>6.7625018894311925E-3</v>
      </c>
      <c r="BN97" s="224">
        <v>3.8100452895581797E-3</v>
      </c>
      <c r="BO97" s="224">
        <v>1.0925616994795538E-2</v>
      </c>
      <c r="BP97" s="224">
        <v>8.4939981223521033E-3</v>
      </c>
      <c r="BQ97" s="224">
        <v>4.1311732702606291E-3</v>
      </c>
      <c r="BR97" s="224">
        <v>3.0492570280755125E-3</v>
      </c>
      <c r="BS97" s="224">
        <v>3.0492570280755125E-3</v>
      </c>
      <c r="BT97" s="224">
        <v>0</v>
      </c>
      <c r="BU97" s="224">
        <v>9.355829484979674E-3</v>
      </c>
      <c r="BV97" s="224">
        <v>3.7075678037898699E-3</v>
      </c>
      <c r="BW97" s="224">
        <v>3.5654961390671445E-3</v>
      </c>
      <c r="BX97" s="224">
        <v>5.5514570915934465E-3</v>
      </c>
      <c r="BY97" s="224">
        <v>3.9408384596982191E-3</v>
      </c>
      <c r="BZ97" s="224">
        <v>4.5855837852946078E-3</v>
      </c>
      <c r="CA97" s="224">
        <v>1.8697053306241686E-3</v>
      </c>
      <c r="CB97" s="224">
        <v>3.9408384596982191E-3</v>
      </c>
      <c r="CC97" s="224">
        <v>3.3606237802668291E-3</v>
      </c>
      <c r="CD97" s="224">
        <v>3.9408384596982191E-3</v>
      </c>
      <c r="CE97" s="224">
        <v>0</v>
      </c>
      <c r="CF97" s="224">
        <v>1.036491122060026E-2</v>
      </c>
      <c r="CG97" s="224">
        <v>0</v>
      </c>
      <c r="CH97" s="224">
        <v>0</v>
      </c>
      <c r="CI97" s="224">
        <v>0</v>
      </c>
      <c r="CJ97" s="224">
        <v>0</v>
      </c>
      <c r="CK97" s="224">
        <v>0</v>
      </c>
      <c r="CL97" s="224">
        <v>0</v>
      </c>
      <c r="CM97" s="224">
        <v>0</v>
      </c>
      <c r="CN97" s="224">
        <v>0</v>
      </c>
      <c r="CO97" s="224">
        <v>0</v>
      </c>
      <c r="CP97" s="224">
        <v>0</v>
      </c>
      <c r="CQ97" s="224">
        <v>0</v>
      </c>
      <c r="CR97" s="224">
        <v>0</v>
      </c>
      <c r="CS97" s="224">
        <v>0</v>
      </c>
      <c r="CT97" s="224">
        <v>0</v>
      </c>
      <c r="CU97" s="224">
        <v>0</v>
      </c>
      <c r="CV97" s="224">
        <v>0</v>
      </c>
      <c r="CW97" s="224">
        <v>0</v>
      </c>
      <c r="CX97" s="224">
        <v>0</v>
      </c>
      <c r="CY97" s="224">
        <v>0</v>
      </c>
      <c r="CZ97" s="224">
        <v>0</v>
      </c>
      <c r="DA97" s="224">
        <v>0</v>
      </c>
      <c r="DB97" s="224">
        <v>0</v>
      </c>
      <c r="DC97" s="224">
        <v>0</v>
      </c>
      <c r="DD97" s="224">
        <v>0</v>
      </c>
      <c r="DE97" s="224">
        <v>0</v>
      </c>
      <c r="DF97" s="224">
        <v>0</v>
      </c>
      <c r="DG97" s="224">
        <v>0</v>
      </c>
      <c r="DH97" s="224">
        <v>0</v>
      </c>
      <c r="DI97" s="224">
        <v>0</v>
      </c>
      <c r="DJ97" s="224">
        <v>0</v>
      </c>
      <c r="DK97" s="224">
        <v>0</v>
      </c>
      <c r="DL97" s="224">
        <v>0</v>
      </c>
      <c r="DM97" s="224">
        <v>0</v>
      </c>
      <c r="DN97" s="224">
        <v>0</v>
      </c>
      <c r="DO97" s="224">
        <v>0</v>
      </c>
      <c r="DP97" s="224">
        <v>0</v>
      </c>
      <c r="DQ97" s="224">
        <f t="shared" si="1"/>
        <v>0.99999999999999967</v>
      </c>
    </row>
    <row r="98" spans="1:121" x14ac:dyDescent="0.3">
      <c r="A98" s="223" t="s">
        <v>1196</v>
      </c>
      <c r="B98" s="223" t="s">
        <v>1189</v>
      </c>
      <c r="C98" s="223" t="s">
        <v>1086</v>
      </c>
      <c r="D98" s="223" t="s">
        <v>1087</v>
      </c>
      <c r="E98" s="223" t="s">
        <v>27</v>
      </c>
      <c r="F98" s="224">
        <v>0.1838152479856113</v>
      </c>
      <c r="G98" s="224">
        <v>4.0625948511256019E-2</v>
      </c>
      <c r="H98" s="224">
        <v>1.1042185046448936E-2</v>
      </c>
      <c r="I98" s="224">
        <v>2.3704039084142476E-3</v>
      </c>
      <c r="J98" s="224">
        <v>1.3627056218053681E-2</v>
      </c>
      <c r="K98" s="224">
        <v>7.9573087244031362E-3</v>
      </c>
      <c r="L98" s="224">
        <v>1.3408036617936768E-2</v>
      </c>
      <c r="M98" s="224">
        <v>5.9685216150706906E-3</v>
      </c>
      <c r="N98" s="224">
        <v>1.0109284430347667E-2</v>
      </c>
      <c r="O98" s="224">
        <v>7.2616295356375694E-3</v>
      </c>
      <c r="P98" s="224">
        <v>1.0855094963904605E-2</v>
      </c>
      <c r="Q98" s="224">
        <v>9.3626791538871015E-3</v>
      </c>
      <c r="R98" s="224">
        <v>3.9565292537998851E-3</v>
      </c>
      <c r="S98" s="224">
        <v>1.5219582712653978E-2</v>
      </c>
      <c r="T98" s="224">
        <v>1.5833677959621123E-2</v>
      </c>
      <c r="U98" s="224">
        <v>4.3830217953921367E-3</v>
      </c>
      <c r="V98" s="224">
        <v>7.1748573996816452E-3</v>
      </c>
      <c r="W98" s="224">
        <v>1.4705787150544197E-2</v>
      </c>
      <c r="X98" s="224">
        <v>5.6411024298804414E-3</v>
      </c>
      <c r="Y98" s="224">
        <v>5.5385982293363273E-3</v>
      </c>
      <c r="Z98" s="224">
        <v>1.9249301572216423E-2</v>
      </c>
      <c r="AA98" s="224">
        <v>8.5567635727031206E-4</v>
      </c>
      <c r="AB98" s="224">
        <v>1.6127669370314933E-3</v>
      </c>
      <c r="AC98" s="224">
        <v>1.0474652463836651E-2</v>
      </c>
      <c r="AD98" s="224">
        <v>6.0402070027033268E-3</v>
      </c>
      <c r="AE98" s="224">
        <v>7.073215316067815E-3</v>
      </c>
      <c r="AF98" s="224">
        <v>4.1337879219244377E-3</v>
      </c>
      <c r="AG98" s="224">
        <v>8.791518915602238E-3</v>
      </c>
      <c r="AH98" s="224">
        <v>6.1352903948264535E-3</v>
      </c>
      <c r="AI98" s="224">
        <v>7.196098414137285E-3</v>
      </c>
      <c r="AJ98" s="224">
        <v>2.9566002226366669E-2</v>
      </c>
      <c r="AK98" s="224">
        <v>6.8454895041731656E-3</v>
      </c>
      <c r="AL98" s="224">
        <v>5.0490147367601617E-3</v>
      </c>
      <c r="AM98" s="224">
        <v>2.0416672638441271E-3</v>
      </c>
      <c r="AN98" s="224">
        <v>1.0970590215573109E-2</v>
      </c>
      <c r="AO98" s="224">
        <v>1.5803159985650541E-2</v>
      </c>
      <c r="AP98" s="224">
        <v>3.6183406659856159E-3</v>
      </c>
      <c r="AQ98" s="224">
        <v>5.0797834117136632E-3</v>
      </c>
      <c r="AR98" s="224">
        <v>1.3810105710852021E-2</v>
      </c>
      <c r="AS98" s="224">
        <v>1.6517822799995793E-2</v>
      </c>
      <c r="AT98" s="224">
        <v>6.9369706447694364E-3</v>
      </c>
      <c r="AU98" s="224">
        <v>1.9876930821727413E-3</v>
      </c>
      <c r="AV98" s="224">
        <v>8.4641729666778773E-3</v>
      </c>
      <c r="AW98" s="224">
        <v>8.7030343307801395E-3</v>
      </c>
      <c r="AX98" s="224">
        <v>6.160020878233423E-3</v>
      </c>
      <c r="AY98" s="224">
        <v>9.9432551480842044E-3</v>
      </c>
      <c r="AZ98" s="224">
        <v>6.2437506421227119E-3</v>
      </c>
      <c r="BA98" s="224">
        <v>2.0158701671072416E-3</v>
      </c>
      <c r="BB98" s="224">
        <v>1.4845125032711378E-3</v>
      </c>
      <c r="BC98" s="224">
        <v>1.1874738654609637E-2</v>
      </c>
      <c r="BD98" s="224">
        <v>2.6211250460260575E-2</v>
      </c>
      <c r="BE98" s="224">
        <v>2.4732175827442467E-2</v>
      </c>
      <c r="BF98" s="224">
        <v>7.6995879611029289E-3</v>
      </c>
      <c r="BG98" s="224">
        <v>2.4663366444070623E-2</v>
      </c>
      <c r="BH98" s="224">
        <v>2.0935977956955849E-2</v>
      </c>
      <c r="BI98" s="224">
        <v>7.6654645157941742E-3</v>
      </c>
      <c r="BJ98" s="224">
        <v>8.2668142234834912E-3</v>
      </c>
      <c r="BK98" s="224">
        <v>4.339470477069755E-3</v>
      </c>
      <c r="BL98" s="224">
        <v>1.1280082198807466E-2</v>
      </c>
      <c r="BM98" s="224">
        <v>1.6472856679850944E-2</v>
      </c>
      <c r="BN98" s="224">
        <v>1.3518675095693237E-2</v>
      </c>
      <c r="BO98" s="224">
        <v>1.772932351919343E-2</v>
      </c>
      <c r="BP98" s="224">
        <v>1.1846095067593961E-2</v>
      </c>
      <c r="BQ98" s="224">
        <v>8.4840053734647532E-3</v>
      </c>
      <c r="BR98" s="224">
        <v>1.0081504816370896E-2</v>
      </c>
      <c r="BS98" s="224">
        <v>1.0872072835791908E-2</v>
      </c>
      <c r="BT98" s="224">
        <v>2.1568394662285447E-4</v>
      </c>
      <c r="BU98" s="224">
        <v>1.8483881757991299E-2</v>
      </c>
      <c r="BV98" s="224">
        <v>3.9599158438289473E-3</v>
      </c>
      <c r="BW98" s="224">
        <v>6.4092004115457171E-3</v>
      </c>
      <c r="BX98" s="224">
        <v>1.6243557868707095E-2</v>
      </c>
      <c r="BY98" s="224">
        <v>1.2213412459776784E-2</v>
      </c>
      <c r="BZ98" s="224">
        <v>1.4840299521365464E-2</v>
      </c>
      <c r="CA98" s="224">
        <v>1.159060391384972E-2</v>
      </c>
      <c r="CB98" s="224">
        <v>9.097759290023464E-3</v>
      </c>
      <c r="CC98" s="224">
        <v>1.070714644009047E-2</v>
      </c>
      <c r="CD98" s="224">
        <v>1.1047200559015074E-2</v>
      </c>
      <c r="CE98" s="224">
        <v>7.3541240548801506E-5</v>
      </c>
      <c r="CF98" s="224">
        <v>2.3981344502037902E-2</v>
      </c>
      <c r="CG98" s="224">
        <v>2.8026643154086673E-3</v>
      </c>
      <c r="CH98" s="224">
        <v>0</v>
      </c>
      <c r="CI98" s="224">
        <v>0</v>
      </c>
      <c r="CJ98" s="224">
        <v>0</v>
      </c>
      <c r="CK98" s="224">
        <v>0</v>
      </c>
      <c r="CL98" s="224">
        <v>0</v>
      </c>
      <c r="CM98" s="224">
        <v>0</v>
      </c>
      <c r="CN98" s="224">
        <v>0</v>
      </c>
      <c r="CO98" s="224">
        <v>0</v>
      </c>
      <c r="CP98" s="224">
        <v>0</v>
      </c>
      <c r="CQ98" s="224">
        <v>0</v>
      </c>
      <c r="CR98" s="224">
        <v>0</v>
      </c>
      <c r="CS98" s="224">
        <v>0</v>
      </c>
      <c r="CT98" s="224">
        <v>0</v>
      </c>
      <c r="CU98" s="224">
        <v>0</v>
      </c>
      <c r="CV98" s="224">
        <v>0</v>
      </c>
      <c r="CW98" s="224">
        <v>0</v>
      </c>
      <c r="CX98" s="224">
        <v>0</v>
      </c>
      <c r="CY98" s="224">
        <v>0</v>
      </c>
      <c r="CZ98" s="224">
        <v>0</v>
      </c>
      <c r="DA98" s="224">
        <v>0</v>
      </c>
      <c r="DB98" s="224">
        <v>0</v>
      </c>
      <c r="DC98" s="224">
        <v>0</v>
      </c>
      <c r="DD98" s="224">
        <v>0</v>
      </c>
      <c r="DE98" s="224">
        <v>0</v>
      </c>
      <c r="DF98" s="224">
        <v>0</v>
      </c>
      <c r="DG98" s="224">
        <v>0</v>
      </c>
      <c r="DH98" s="224">
        <v>0</v>
      </c>
      <c r="DI98" s="224">
        <v>0</v>
      </c>
      <c r="DJ98" s="224">
        <v>0</v>
      </c>
      <c r="DK98" s="224">
        <v>0</v>
      </c>
      <c r="DL98" s="224">
        <v>0</v>
      </c>
      <c r="DM98" s="224">
        <v>0</v>
      </c>
      <c r="DN98" s="224">
        <v>0</v>
      </c>
      <c r="DO98" s="224">
        <v>0</v>
      </c>
      <c r="DP98" s="224">
        <v>0</v>
      </c>
      <c r="DQ98" s="224">
        <f t="shared" si="1"/>
        <v>1.0000000000000004</v>
      </c>
    </row>
    <row r="99" spans="1:121" x14ac:dyDescent="0.3">
      <c r="A99" s="223" t="s">
        <v>1197</v>
      </c>
      <c r="B99" s="223" t="s">
        <v>1189</v>
      </c>
      <c r="C99" s="223" t="s">
        <v>1092</v>
      </c>
      <c r="D99" s="223" t="s">
        <v>1087</v>
      </c>
      <c r="E99" s="223" t="s">
        <v>1093</v>
      </c>
      <c r="F99" s="224">
        <v>0.27256577056966091</v>
      </c>
      <c r="G99" s="224">
        <v>3.3121446056196387E-2</v>
      </c>
      <c r="H99" s="224">
        <v>6.8310037843414134E-3</v>
      </c>
      <c r="I99" s="224">
        <v>1.6275273187511576E-3</v>
      </c>
      <c r="J99" s="224">
        <v>2.2499281313278288E-3</v>
      </c>
      <c r="K99" s="224">
        <v>5.5797445485085114E-3</v>
      </c>
      <c r="L99" s="224">
        <v>1.3193752711638985E-2</v>
      </c>
      <c r="M99" s="224">
        <v>4.2295163496653288E-3</v>
      </c>
      <c r="N99" s="224">
        <v>9.2552808536230814E-3</v>
      </c>
      <c r="O99" s="224">
        <v>6.3411270616350029E-3</v>
      </c>
      <c r="P99" s="224">
        <v>5.4644061416059923E-3</v>
      </c>
      <c r="Q99" s="224">
        <v>4.8992233974833582E-3</v>
      </c>
      <c r="R99" s="224">
        <v>2.623826146325291E-3</v>
      </c>
      <c r="S99" s="224">
        <v>7.1825242999422794E-3</v>
      </c>
      <c r="T99" s="224">
        <v>8.4581948835741293E-3</v>
      </c>
      <c r="U99" s="224">
        <v>6.159702481670009E-3</v>
      </c>
      <c r="V99" s="224">
        <v>6.8773495755480663E-3</v>
      </c>
      <c r="W99" s="224">
        <v>9.337890595158764E-3</v>
      </c>
      <c r="X99" s="224">
        <v>2.9952687088599388E-3</v>
      </c>
      <c r="Y99" s="224">
        <v>5.555225984972983E-3</v>
      </c>
      <c r="Z99" s="224">
        <v>1.7040619495959034E-2</v>
      </c>
      <c r="AA99" s="224">
        <v>1.6627522553065641E-3</v>
      </c>
      <c r="AB99" s="224">
        <v>2.5273747901811165E-3</v>
      </c>
      <c r="AC99" s="224">
        <v>9.1815248432033612E-3</v>
      </c>
      <c r="AD99" s="224">
        <v>4.9643546372692485E-3</v>
      </c>
      <c r="AE99" s="224">
        <v>4.4286519858570588E-3</v>
      </c>
      <c r="AF99" s="224">
        <v>2.2904491752436676E-3</v>
      </c>
      <c r="AG99" s="224">
        <v>6.8195291500780554E-3</v>
      </c>
      <c r="AH99" s="224">
        <v>6.7909224411575745E-3</v>
      </c>
      <c r="AI99" s="224">
        <v>7.8262982252202667E-3</v>
      </c>
      <c r="AJ99" s="224">
        <v>1.2644801960426369E-2</v>
      </c>
      <c r="AK99" s="224">
        <v>5.3432385079049361E-3</v>
      </c>
      <c r="AL99" s="224">
        <v>4.8301040723820673E-3</v>
      </c>
      <c r="AM99" s="224">
        <v>1.9019994499927791E-3</v>
      </c>
      <c r="AN99" s="224">
        <v>9.9555147878834255E-3</v>
      </c>
      <c r="AO99" s="224">
        <v>9.3392402064648404E-3</v>
      </c>
      <c r="AP99" s="224">
        <v>3.5717425978512942E-3</v>
      </c>
      <c r="AQ99" s="224">
        <v>2.9633612707749388E-3</v>
      </c>
      <c r="AR99" s="224">
        <v>1.4699639596009484E-2</v>
      </c>
      <c r="AS99" s="224">
        <v>1.3361650603501973E-2</v>
      </c>
      <c r="AT99" s="224">
        <v>5.0732344225173929E-3</v>
      </c>
      <c r="AU99" s="224">
        <v>1.5830372079227144E-3</v>
      </c>
      <c r="AV99" s="224">
        <v>5.7007277818465762E-3</v>
      </c>
      <c r="AW99" s="224">
        <v>5.8867062192986055E-3</v>
      </c>
      <c r="AX99" s="224">
        <v>3.8621855159332919E-3</v>
      </c>
      <c r="AY99" s="224">
        <v>6.9036944431585291E-3</v>
      </c>
      <c r="AZ99" s="224">
        <v>4.8800009713671436E-3</v>
      </c>
      <c r="BA99" s="224">
        <v>6.1862570821077727E-4</v>
      </c>
      <c r="BB99" s="224">
        <v>1.7496309625759242E-3</v>
      </c>
      <c r="BC99" s="224">
        <v>1.2839934356247355E-2</v>
      </c>
      <c r="BD99" s="224">
        <v>1.7130854905488584E-2</v>
      </c>
      <c r="BE99" s="224">
        <v>2.1832921984058468E-2</v>
      </c>
      <c r="BF99" s="224">
        <v>4.8430951575862934E-3</v>
      </c>
      <c r="BG99" s="224">
        <v>1.8967328843521324E-2</v>
      </c>
      <c r="BH99" s="224">
        <v>3.3806310648247732E-2</v>
      </c>
      <c r="BI99" s="224">
        <v>5.7022424308474876E-3</v>
      </c>
      <c r="BJ99" s="224">
        <v>5.4993638275069199E-3</v>
      </c>
      <c r="BK99" s="224">
        <v>1.0322636690097309E-2</v>
      </c>
      <c r="BL99" s="224">
        <v>7.4592377596508462E-3</v>
      </c>
      <c r="BM99" s="224">
        <v>1.1846504327977417E-2</v>
      </c>
      <c r="BN99" s="224">
        <v>1.1549341769608189E-2</v>
      </c>
      <c r="BO99" s="224">
        <v>1.5842164312296403E-2</v>
      </c>
      <c r="BP99" s="224">
        <v>9.8348974065581053E-3</v>
      </c>
      <c r="BQ99" s="224">
        <v>7.1082078818116021E-3</v>
      </c>
      <c r="BR99" s="224">
        <v>7.5790677861188628E-3</v>
      </c>
      <c r="BS99" s="224">
        <v>9.4151461852535288E-3</v>
      </c>
      <c r="BT99" s="224">
        <v>1.9381935408904667E-2</v>
      </c>
      <c r="BU99" s="224">
        <v>2.4262815190093247E-2</v>
      </c>
      <c r="BV99" s="224">
        <v>7.0237014369301373E-3</v>
      </c>
      <c r="BW99" s="224">
        <v>5.8866039391091939E-3</v>
      </c>
      <c r="BX99" s="224">
        <v>1.3139800847058512E-2</v>
      </c>
      <c r="BY99" s="224">
        <v>1.2217018157364996E-2</v>
      </c>
      <c r="BZ99" s="224">
        <v>1.6994907752378528E-2</v>
      </c>
      <c r="CA99" s="224">
        <v>1.1083593827113034E-2</v>
      </c>
      <c r="CB99" s="224">
        <v>7.2063475690306829E-3</v>
      </c>
      <c r="CC99" s="224">
        <v>9.0809511243874121E-3</v>
      </c>
      <c r="CD99" s="224">
        <v>1.0588333514985322E-2</v>
      </c>
      <c r="CE99" s="224">
        <v>1.9488871097319192E-2</v>
      </c>
      <c r="CF99" s="224">
        <v>3.2120235301448252E-2</v>
      </c>
      <c r="CG99" s="224">
        <v>6.9953056750118861E-3</v>
      </c>
      <c r="CH99" s="224">
        <v>0</v>
      </c>
      <c r="CI99" s="224">
        <v>0</v>
      </c>
      <c r="CJ99" s="224">
        <v>0</v>
      </c>
      <c r="CK99" s="224">
        <v>0</v>
      </c>
      <c r="CL99" s="224">
        <v>0</v>
      </c>
      <c r="CM99" s="224">
        <v>0</v>
      </c>
      <c r="CN99" s="224">
        <v>0</v>
      </c>
      <c r="CO99" s="224">
        <v>0</v>
      </c>
      <c r="CP99" s="224">
        <v>0</v>
      </c>
      <c r="CQ99" s="224">
        <v>0</v>
      </c>
      <c r="CR99" s="224">
        <v>0</v>
      </c>
      <c r="CS99" s="224">
        <v>0</v>
      </c>
      <c r="CT99" s="224">
        <v>0</v>
      </c>
      <c r="CU99" s="224">
        <v>0</v>
      </c>
      <c r="CV99" s="224">
        <v>0</v>
      </c>
      <c r="CW99" s="224">
        <v>0</v>
      </c>
      <c r="CX99" s="224">
        <v>0</v>
      </c>
      <c r="CY99" s="224">
        <v>0</v>
      </c>
      <c r="CZ99" s="224">
        <v>0</v>
      </c>
      <c r="DA99" s="224">
        <v>0</v>
      </c>
      <c r="DB99" s="224">
        <v>0</v>
      </c>
      <c r="DC99" s="224">
        <v>0</v>
      </c>
      <c r="DD99" s="224">
        <v>0</v>
      </c>
      <c r="DE99" s="224">
        <v>0</v>
      </c>
      <c r="DF99" s="224">
        <v>0</v>
      </c>
      <c r="DG99" s="224">
        <v>0</v>
      </c>
      <c r="DH99" s="224">
        <v>0</v>
      </c>
      <c r="DI99" s="224">
        <v>0</v>
      </c>
      <c r="DJ99" s="224">
        <v>0</v>
      </c>
      <c r="DK99" s="224">
        <v>0</v>
      </c>
      <c r="DL99" s="224">
        <v>0</v>
      </c>
      <c r="DM99" s="224">
        <v>0</v>
      </c>
      <c r="DN99" s="224">
        <v>0</v>
      </c>
      <c r="DO99" s="224">
        <v>0</v>
      </c>
      <c r="DP99" s="224">
        <v>0</v>
      </c>
      <c r="DQ99" s="224">
        <f t="shared" si="1"/>
        <v>1.0000000000000002</v>
      </c>
    </row>
    <row r="100" spans="1:121" x14ac:dyDescent="0.3">
      <c r="A100" s="223" t="s">
        <v>1198</v>
      </c>
      <c r="B100" s="223" t="s">
        <v>1189</v>
      </c>
      <c r="C100" s="223" t="s">
        <v>1089</v>
      </c>
      <c r="D100" s="223" t="s">
        <v>21</v>
      </c>
      <c r="E100" s="223" t="s">
        <v>1096</v>
      </c>
      <c r="F100" s="224">
        <v>3.2403598506645037E-2</v>
      </c>
      <c r="G100" s="224">
        <v>5.3181187350618643E-2</v>
      </c>
      <c r="H100" s="224">
        <v>2.4320185593560525E-2</v>
      </c>
      <c r="I100" s="224">
        <v>3.3398614301414619E-3</v>
      </c>
      <c r="J100" s="224">
        <v>3.0615916894471571E-3</v>
      </c>
      <c r="K100" s="224">
        <v>1.3511952589238475E-2</v>
      </c>
      <c r="L100" s="224">
        <v>2.9067783968999863E-2</v>
      </c>
      <c r="M100" s="224">
        <v>4.8586082879314464E-3</v>
      </c>
      <c r="N100" s="224">
        <v>7.4821350952314677E-3</v>
      </c>
      <c r="O100" s="224">
        <v>5.6398316114871635E-3</v>
      </c>
      <c r="P100" s="224">
        <v>2.2300683812805755E-2</v>
      </c>
      <c r="Q100" s="224">
        <v>1.7233558225253305E-2</v>
      </c>
      <c r="R100" s="224">
        <v>1.1355833213400285E-3</v>
      </c>
      <c r="S100" s="224">
        <v>3.687204599744201E-2</v>
      </c>
      <c r="T100" s="224">
        <v>2.5049307680386382E-2</v>
      </c>
      <c r="U100" s="224">
        <v>7.9129574678536111E-4</v>
      </c>
      <c r="V100" s="224">
        <v>9.6868166917859089E-3</v>
      </c>
      <c r="W100" s="224">
        <v>2.1033193692748295E-2</v>
      </c>
      <c r="X100" s="224">
        <v>1.0752001758644197E-2</v>
      </c>
      <c r="Y100" s="224">
        <v>2.3230167080131908E-3</v>
      </c>
      <c r="Z100" s="224">
        <v>4.7672366027180068E-3</v>
      </c>
      <c r="AA100" s="224">
        <v>0</v>
      </c>
      <c r="AB100" s="224">
        <v>0</v>
      </c>
      <c r="AC100" s="224">
        <v>1.4239094234505839E-2</v>
      </c>
      <c r="AD100" s="224">
        <v>1.104894564213719E-2</v>
      </c>
      <c r="AE100" s="224">
        <v>1.3246055616575185E-2</v>
      </c>
      <c r="AF100" s="224">
        <v>6.7887171969539728E-3</v>
      </c>
      <c r="AG100" s="224">
        <v>1.9827270545820227E-2</v>
      </c>
      <c r="AH100" s="224">
        <v>1.40623875274733E-2</v>
      </c>
      <c r="AI100" s="224">
        <v>1.2247231100329431E-2</v>
      </c>
      <c r="AJ100" s="224">
        <v>5.8840973250767786E-2</v>
      </c>
      <c r="AK100" s="224">
        <v>1.0507867816339988E-2</v>
      </c>
      <c r="AL100" s="224">
        <v>5.0784162809384085E-3</v>
      </c>
      <c r="AM100" s="224">
        <v>4.8719757054434022E-3</v>
      </c>
      <c r="AN100" s="224">
        <v>2.8360545733735906E-2</v>
      </c>
      <c r="AO100" s="224">
        <v>2.4259287224336082E-2</v>
      </c>
      <c r="AP100" s="224">
        <v>3.3877184814319022E-3</v>
      </c>
      <c r="AQ100" s="224">
        <v>8.819128764755305E-3</v>
      </c>
      <c r="AR100" s="224">
        <v>4.9056185529324357E-2</v>
      </c>
      <c r="AS100" s="224">
        <v>3.8864843115149969E-2</v>
      </c>
      <c r="AT100" s="224">
        <v>1.1757555453342955E-2</v>
      </c>
      <c r="AU100" s="224">
        <v>3.340057907943669E-3</v>
      </c>
      <c r="AV100" s="224">
        <v>1.6828824032278433E-2</v>
      </c>
      <c r="AW100" s="224">
        <v>2.071971022547002E-2</v>
      </c>
      <c r="AX100" s="224">
        <v>1.5195480452607686E-2</v>
      </c>
      <c r="AY100" s="224">
        <v>3.0654579511933018E-2</v>
      </c>
      <c r="AZ100" s="224">
        <v>9.9340586084926356E-3</v>
      </c>
      <c r="BA100" s="224">
        <v>2.1753908905506459E-3</v>
      </c>
      <c r="BB100" s="224">
        <v>4.863508212384855E-4</v>
      </c>
      <c r="BC100" s="224">
        <v>3.1880870247692136E-2</v>
      </c>
      <c r="BD100" s="224">
        <v>5.9702735155527924E-2</v>
      </c>
      <c r="BE100" s="224">
        <v>0</v>
      </c>
      <c r="BF100" s="224">
        <v>1.9390514671237272E-2</v>
      </c>
      <c r="BG100" s="224">
        <v>0</v>
      </c>
      <c r="BH100" s="224">
        <v>7.2451023736071754E-3</v>
      </c>
      <c r="BI100" s="224">
        <v>0</v>
      </c>
      <c r="BJ100" s="224">
        <v>0</v>
      </c>
      <c r="BK100" s="224">
        <v>3.001613688953843E-3</v>
      </c>
      <c r="BL100" s="224">
        <v>2.5978413428829439E-3</v>
      </c>
      <c r="BM100" s="224">
        <v>8.3141125406347161E-3</v>
      </c>
      <c r="BN100" s="224">
        <v>4.1956709542531143E-3</v>
      </c>
      <c r="BO100" s="224">
        <v>8.1891182076258735E-3</v>
      </c>
      <c r="BP100" s="224">
        <v>4.0454719677563205E-3</v>
      </c>
      <c r="BQ100" s="224">
        <v>5.3377444102872375E-3</v>
      </c>
      <c r="BR100" s="224">
        <v>3.8370090800878176E-3</v>
      </c>
      <c r="BS100" s="224">
        <v>4.7160702698182417E-3</v>
      </c>
      <c r="BT100" s="224">
        <v>0</v>
      </c>
      <c r="BU100" s="224">
        <v>8.0213642264903885E-3</v>
      </c>
      <c r="BV100" s="224">
        <v>1.002857596454412E-2</v>
      </c>
      <c r="BW100" s="224">
        <v>1.3527080701432469E-3</v>
      </c>
      <c r="BX100" s="224">
        <v>8.7112920560362284E-3</v>
      </c>
      <c r="BY100" s="224">
        <v>4.4234691573324918E-3</v>
      </c>
      <c r="BZ100" s="224">
        <v>9.5464728446095128E-3</v>
      </c>
      <c r="CA100" s="224">
        <v>3.8311020406831533E-3</v>
      </c>
      <c r="CB100" s="224">
        <v>5.714610936347982E-3</v>
      </c>
      <c r="CC100" s="224">
        <v>4.0574207559130855E-3</v>
      </c>
      <c r="CD100" s="224">
        <v>4.5674185380034874E-3</v>
      </c>
      <c r="CE100" s="224">
        <v>0</v>
      </c>
      <c r="CF100" s="224">
        <v>1.1573214380032984E-2</v>
      </c>
      <c r="CG100" s="224">
        <v>2.3083480883992393E-3</v>
      </c>
      <c r="CH100" s="224">
        <v>0</v>
      </c>
      <c r="CI100" s="224">
        <v>0</v>
      </c>
      <c r="CJ100" s="224">
        <v>0</v>
      </c>
      <c r="CK100" s="224">
        <v>0</v>
      </c>
      <c r="CL100" s="224">
        <v>0</v>
      </c>
      <c r="CM100" s="224">
        <v>0</v>
      </c>
      <c r="CN100" s="224">
        <v>0</v>
      </c>
      <c r="CO100" s="224">
        <v>0</v>
      </c>
      <c r="CP100" s="224">
        <v>0</v>
      </c>
      <c r="CQ100" s="224">
        <v>0</v>
      </c>
      <c r="CR100" s="224">
        <v>0</v>
      </c>
      <c r="CS100" s="224">
        <v>0</v>
      </c>
      <c r="CT100" s="224">
        <v>0</v>
      </c>
      <c r="CU100" s="224">
        <v>0</v>
      </c>
      <c r="CV100" s="224">
        <v>0</v>
      </c>
      <c r="CW100" s="224">
        <v>0</v>
      </c>
      <c r="CX100" s="224">
        <v>0</v>
      </c>
      <c r="CY100" s="224">
        <v>0</v>
      </c>
      <c r="CZ100" s="224">
        <v>0</v>
      </c>
      <c r="DA100" s="224">
        <v>0</v>
      </c>
      <c r="DB100" s="224">
        <v>0</v>
      </c>
      <c r="DC100" s="224">
        <v>0</v>
      </c>
      <c r="DD100" s="224">
        <v>0</v>
      </c>
      <c r="DE100" s="224">
        <v>0</v>
      </c>
      <c r="DF100" s="224">
        <v>0</v>
      </c>
      <c r="DG100" s="224">
        <v>0</v>
      </c>
      <c r="DH100" s="224">
        <v>0</v>
      </c>
      <c r="DI100" s="224">
        <v>0</v>
      </c>
      <c r="DJ100" s="224">
        <v>0</v>
      </c>
      <c r="DK100" s="224">
        <v>0</v>
      </c>
      <c r="DL100" s="224">
        <v>0</v>
      </c>
      <c r="DM100" s="224">
        <v>0</v>
      </c>
      <c r="DN100" s="224">
        <v>0</v>
      </c>
      <c r="DO100" s="224">
        <v>0</v>
      </c>
      <c r="DP100" s="224">
        <v>0</v>
      </c>
      <c r="DQ100" s="224">
        <f t="shared" si="1"/>
        <v>1</v>
      </c>
    </row>
    <row r="101" spans="1:121" x14ac:dyDescent="0.3">
      <c r="A101" s="223" t="s">
        <v>1199</v>
      </c>
      <c r="B101" s="223" t="s">
        <v>1189</v>
      </c>
      <c r="C101" s="223" t="s">
        <v>1086</v>
      </c>
      <c r="D101" s="223" t="s">
        <v>1087</v>
      </c>
      <c r="E101" s="223" t="s">
        <v>1096</v>
      </c>
      <c r="F101" s="224">
        <v>0.21366681845275431</v>
      </c>
      <c r="G101" s="224">
        <v>5.5230994223087061E-2</v>
      </c>
      <c r="H101" s="224">
        <v>2.8070761105514496E-2</v>
      </c>
      <c r="I101" s="224">
        <v>1.0108036422086471E-2</v>
      </c>
      <c r="J101" s="224">
        <v>2.2272367548895597E-2</v>
      </c>
      <c r="K101" s="224">
        <v>9.6903724930520133E-3</v>
      </c>
      <c r="L101" s="224">
        <v>1.7820569947927089E-2</v>
      </c>
      <c r="M101" s="224">
        <v>9.9892361232248872E-3</v>
      </c>
      <c r="N101" s="224">
        <v>1.2375481372445945E-2</v>
      </c>
      <c r="O101" s="224">
        <v>1.3443771673989489E-2</v>
      </c>
      <c r="P101" s="224">
        <v>1.2391401406936635E-2</v>
      </c>
      <c r="Q101" s="224">
        <v>1.1864807142412396E-2</v>
      </c>
      <c r="R101" s="224">
        <v>2.9136095531708743E-3</v>
      </c>
      <c r="S101" s="224">
        <v>2.6035654709862192E-2</v>
      </c>
      <c r="T101" s="224">
        <v>1.5769315900299424E-2</v>
      </c>
      <c r="U101" s="224">
        <v>1.1404330995188727E-3</v>
      </c>
      <c r="V101" s="224">
        <v>1.0329094272801447E-2</v>
      </c>
      <c r="W101" s="224">
        <v>1.6460583765691584E-2</v>
      </c>
      <c r="X101" s="224">
        <v>7.4328330169204978E-3</v>
      </c>
      <c r="Y101" s="224">
        <v>7.6220567252834595E-3</v>
      </c>
      <c r="Z101" s="224">
        <v>1.1277938022272628E-2</v>
      </c>
      <c r="AA101" s="224">
        <v>1.4237670935971715E-3</v>
      </c>
      <c r="AB101" s="224">
        <v>9.312091549915134E-3</v>
      </c>
      <c r="AC101" s="224">
        <v>4.8180346973340522E-3</v>
      </c>
      <c r="AD101" s="224">
        <v>9.6434198639229161E-3</v>
      </c>
      <c r="AE101" s="224">
        <v>8.0958960853093724E-3</v>
      </c>
      <c r="AF101" s="224">
        <v>5.0224168410993725E-3</v>
      </c>
      <c r="AG101" s="224">
        <v>1.5777280150238618E-2</v>
      </c>
      <c r="AH101" s="224">
        <v>5.8964449707305504E-3</v>
      </c>
      <c r="AI101" s="224">
        <v>9.6729769527070675E-3</v>
      </c>
      <c r="AJ101" s="224">
        <v>3.1402434185698089E-2</v>
      </c>
      <c r="AK101" s="224">
        <v>4.7763060483032192E-3</v>
      </c>
      <c r="AL101" s="224">
        <v>5.1449048722448489E-3</v>
      </c>
      <c r="AM101" s="224">
        <v>1.4661347272572789E-3</v>
      </c>
      <c r="AN101" s="224">
        <v>1.5675561490612264E-2</v>
      </c>
      <c r="AO101" s="224">
        <v>9.1366612202278281E-3</v>
      </c>
      <c r="AP101" s="224">
        <v>4.3154429205379211E-3</v>
      </c>
      <c r="AQ101" s="224">
        <v>7.7742823545626401E-3</v>
      </c>
      <c r="AR101" s="224">
        <v>3.1399355492317468E-2</v>
      </c>
      <c r="AS101" s="224">
        <v>2.9352178094755866E-2</v>
      </c>
      <c r="AT101" s="224">
        <v>7.8715017625183362E-3</v>
      </c>
      <c r="AU101" s="224">
        <v>1.7927315183622317E-3</v>
      </c>
      <c r="AV101" s="224">
        <v>9.5011197743553408E-3</v>
      </c>
      <c r="AW101" s="224">
        <v>1.0737210088286212E-2</v>
      </c>
      <c r="AX101" s="224">
        <v>1.3367475662874957E-2</v>
      </c>
      <c r="AY101" s="224">
        <v>1.5548664811246827E-2</v>
      </c>
      <c r="AZ101" s="224">
        <v>7.8589937999844085E-3</v>
      </c>
      <c r="BA101" s="224">
        <v>7.5124087964301102E-3</v>
      </c>
      <c r="BB101" s="224">
        <v>2.5460418041051724E-3</v>
      </c>
      <c r="BC101" s="224">
        <v>1.921892916366396E-2</v>
      </c>
      <c r="BD101" s="224">
        <v>3.5645492960986028E-2</v>
      </c>
      <c r="BE101" s="224">
        <v>3.2711110682316358E-2</v>
      </c>
      <c r="BF101" s="224">
        <v>8.3848205192607363E-3</v>
      </c>
      <c r="BG101" s="224">
        <v>2.6332325130864871E-2</v>
      </c>
      <c r="BH101" s="224">
        <v>2.5605387444082989E-2</v>
      </c>
      <c r="BI101" s="224">
        <v>5.2085964507614293E-3</v>
      </c>
      <c r="BJ101" s="224">
        <v>6.676789938821124E-3</v>
      </c>
      <c r="BK101" s="224">
        <v>8.9346732369933622E-4</v>
      </c>
      <c r="BL101" s="224">
        <v>1.2743471375369975E-3</v>
      </c>
      <c r="BM101" s="224">
        <v>2.6367311689533385E-3</v>
      </c>
      <c r="BN101" s="224">
        <v>1.5538140746685319E-3</v>
      </c>
      <c r="BO101" s="224">
        <v>2.4300076484489916E-3</v>
      </c>
      <c r="BP101" s="224">
        <v>1.4814474368611817E-3</v>
      </c>
      <c r="BQ101" s="224">
        <v>1.2344422570319436E-3</v>
      </c>
      <c r="BR101" s="224">
        <v>1.3040092346997575E-3</v>
      </c>
      <c r="BS101" s="224">
        <v>1.4935647270701491E-3</v>
      </c>
      <c r="BT101" s="224">
        <v>6.1075421142595782E-4</v>
      </c>
      <c r="BU101" s="224">
        <v>2.2829594623938228E-4</v>
      </c>
      <c r="BV101" s="224">
        <v>6.6959423243374968E-3</v>
      </c>
      <c r="BW101" s="224">
        <v>1.0056494898561029E-3</v>
      </c>
      <c r="BX101" s="224">
        <v>2.5999800950343151E-3</v>
      </c>
      <c r="BY101" s="224">
        <v>1.9015314061399211E-3</v>
      </c>
      <c r="BZ101" s="224">
        <v>2.537457723415969E-3</v>
      </c>
      <c r="CA101" s="224">
        <v>8.7860182716186105E-4</v>
      </c>
      <c r="CB101" s="224">
        <v>1.4224353543946546E-3</v>
      </c>
      <c r="CC101" s="224">
        <v>1.6836479903919763E-3</v>
      </c>
      <c r="CD101" s="224">
        <v>2.2352763499268848E-3</v>
      </c>
      <c r="CE101" s="224">
        <v>6.8188429055817074E-4</v>
      </c>
      <c r="CF101" s="224">
        <v>2.4325033535258701E-4</v>
      </c>
      <c r="CG101" s="224">
        <v>4.4213474835440335E-4</v>
      </c>
      <c r="CH101" s="224">
        <v>0</v>
      </c>
      <c r="CI101" s="224">
        <v>0</v>
      </c>
      <c r="CJ101" s="224">
        <v>0</v>
      </c>
      <c r="CK101" s="224">
        <v>0</v>
      </c>
      <c r="CL101" s="224">
        <v>0</v>
      </c>
      <c r="CM101" s="224">
        <v>0</v>
      </c>
      <c r="CN101" s="224">
        <v>0</v>
      </c>
      <c r="CO101" s="224">
        <v>0</v>
      </c>
      <c r="CP101" s="224">
        <v>0</v>
      </c>
      <c r="CQ101" s="224">
        <v>0</v>
      </c>
      <c r="CR101" s="224">
        <v>0</v>
      </c>
      <c r="CS101" s="224">
        <v>0</v>
      </c>
      <c r="CT101" s="224">
        <v>0</v>
      </c>
      <c r="CU101" s="224">
        <v>0</v>
      </c>
      <c r="CV101" s="224">
        <v>0</v>
      </c>
      <c r="CW101" s="224">
        <v>0</v>
      </c>
      <c r="CX101" s="224">
        <v>0</v>
      </c>
      <c r="CY101" s="224">
        <v>0</v>
      </c>
      <c r="CZ101" s="224">
        <v>0</v>
      </c>
      <c r="DA101" s="224">
        <v>0</v>
      </c>
      <c r="DB101" s="224">
        <v>0</v>
      </c>
      <c r="DC101" s="224">
        <v>0</v>
      </c>
      <c r="DD101" s="224">
        <v>0</v>
      </c>
      <c r="DE101" s="224">
        <v>0</v>
      </c>
      <c r="DF101" s="224">
        <v>0</v>
      </c>
      <c r="DG101" s="224">
        <v>0</v>
      </c>
      <c r="DH101" s="224">
        <v>0</v>
      </c>
      <c r="DI101" s="224">
        <v>0</v>
      </c>
      <c r="DJ101" s="224">
        <v>0</v>
      </c>
      <c r="DK101" s="224">
        <v>0</v>
      </c>
      <c r="DL101" s="224">
        <v>0</v>
      </c>
      <c r="DM101" s="224">
        <v>0</v>
      </c>
      <c r="DN101" s="224">
        <v>0</v>
      </c>
      <c r="DO101" s="224">
        <v>0</v>
      </c>
      <c r="DP101" s="224">
        <v>0</v>
      </c>
      <c r="DQ101" s="224">
        <f t="shared" si="1"/>
        <v>1.0000000000000002</v>
      </c>
    </row>
    <row r="102" spans="1:121" x14ac:dyDescent="0.3">
      <c r="A102" s="223" t="s">
        <v>1200</v>
      </c>
      <c r="B102" s="223" t="s">
        <v>1189</v>
      </c>
      <c r="C102" s="223" t="s">
        <v>1086</v>
      </c>
      <c r="D102" s="223" t="s">
        <v>21</v>
      </c>
      <c r="E102" s="223" t="s">
        <v>1096</v>
      </c>
      <c r="F102" s="224">
        <v>0.18450922737452</v>
      </c>
      <c r="G102" s="224">
        <v>7.8308905704344622E-2</v>
      </c>
      <c r="H102" s="224">
        <v>2.3207686377565571E-2</v>
      </c>
      <c r="I102" s="224">
        <v>1.4896786810057423E-2</v>
      </c>
      <c r="J102" s="224">
        <v>1.4810134044209809E-2</v>
      </c>
      <c r="K102" s="224">
        <v>2.2923559742971025E-2</v>
      </c>
      <c r="L102" s="224">
        <v>1.8912606929027326E-2</v>
      </c>
      <c r="M102" s="224">
        <v>6.772726669473806E-3</v>
      </c>
      <c r="N102" s="224">
        <v>4.586536106529736E-3</v>
      </c>
      <c r="O102" s="224">
        <v>1.3245033112582781E-2</v>
      </c>
      <c r="P102" s="224">
        <v>1.3972055878251762E-2</v>
      </c>
      <c r="Q102" s="224">
        <v>1.3657072554984849E-2</v>
      </c>
      <c r="R102" s="224">
        <v>3.5762181493071078E-3</v>
      </c>
      <c r="S102" s="224">
        <v>4.4333622337915435E-2</v>
      </c>
      <c r="T102" s="224">
        <v>2.291308251268083E-2</v>
      </c>
      <c r="U102" s="224">
        <v>0</v>
      </c>
      <c r="V102" s="224">
        <v>9.5866586570534859E-3</v>
      </c>
      <c r="W102" s="224">
        <v>2.1668287318713481E-2</v>
      </c>
      <c r="X102" s="224">
        <v>8.4840852063717241E-3</v>
      </c>
      <c r="Y102" s="224">
        <v>0</v>
      </c>
      <c r="Z102" s="224">
        <v>1.4164693022408453E-2</v>
      </c>
      <c r="AA102" s="224">
        <v>0</v>
      </c>
      <c r="AB102" s="224">
        <v>0</v>
      </c>
      <c r="AC102" s="224">
        <v>0</v>
      </c>
      <c r="AD102" s="224">
        <v>5.0807318551539934E-3</v>
      </c>
      <c r="AE102" s="224">
        <v>9.2116511740166149E-3</v>
      </c>
      <c r="AF102" s="224">
        <v>7.8384531837473043E-3</v>
      </c>
      <c r="AG102" s="224">
        <v>1.0031472635120641E-2</v>
      </c>
      <c r="AH102" s="224">
        <v>6.5568277280952953E-3</v>
      </c>
      <c r="AI102" s="224">
        <v>1.2150390829518803E-2</v>
      </c>
      <c r="AJ102" s="224">
        <v>3.1400657634925166E-2</v>
      </c>
      <c r="AK102" s="224">
        <v>8.7563552271237004E-3</v>
      </c>
      <c r="AL102" s="224">
        <v>1.2001924677073301E-2</v>
      </c>
      <c r="AM102" s="224">
        <v>7.1524362986142157E-3</v>
      </c>
      <c r="AN102" s="224">
        <v>2.0605794564489792E-2</v>
      </c>
      <c r="AO102" s="224">
        <v>1.0173430739911076E-2</v>
      </c>
      <c r="AP102" s="224">
        <v>1.5702818675055342E-2</v>
      </c>
      <c r="AQ102" s="224">
        <v>9.3264295331351374E-3</v>
      </c>
      <c r="AR102" s="224">
        <v>3.4813915208633667E-2</v>
      </c>
      <c r="AS102" s="224">
        <v>4.1183101407868933E-2</v>
      </c>
      <c r="AT102" s="224">
        <v>7.7328607542038368E-3</v>
      </c>
      <c r="AU102" s="224">
        <v>8.9405453732677696E-4</v>
      </c>
      <c r="AV102" s="224">
        <v>2.1603664230948033E-2</v>
      </c>
      <c r="AW102" s="224">
        <v>1.7960013292707917E-2</v>
      </c>
      <c r="AX102" s="224">
        <v>1.2532486100944523E-2</v>
      </c>
      <c r="AY102" s="224">
        <v>1.5386642530645775E-2</v>
      </c>
      <c r="AZ102" s="224">
        <v>9.6175653503524292E-3</v>
      </c>
      <c r="BA102" s="224">
        <v>9.1677736514985501E-3</v>
      </c>
      <c r="BB102" s="224">
        <v>1.3410818059901655E-3</v>
      </c>
      <c r="BC102" s="224">
        <v>2.7553129992789891E-2</v>
      </c>
      <c r="BD102" s="224">
        <v>4.6940779372877051E-2</v>
      </c>
      <c r="BE102" s="224">
        <v>0</v>
      </c>
      <c r="BF102" s="224">
        <v>4.907867057064615E-3</v>
      </c>
      <c r="BG102" s="224">
        <v>0</v>
      </c>
      <c r="BH102" s="224">
        <v>5.465476407360175E-4</v>
      </c>
      <c r="BI102" s="224">
        <v>0</v>
      </c>
      <c r="BJ102" s="224">
        <v>0</v>
      </c>
      <c r="BK102" s="224">
        <v>0</v>
      </c>
      <c r="BL102" s="224">
        <v>3.4230150953115427E-3</v>
      </c>
      <c r="BM102" s="224">
        <v>1.2048520986378821E-3</v>
      </c>
      <c r="BN102" s="224">
        <v>4.7612191098985878E-4</v>
      </c>
      <c r="BO102" s="224">
        <v>5.6467808195967235E-3</v>
      </c>
      <c r="BP102" s="224">
        <v>1.2543942895820823E-3</v>
      </c>
      <c r="BQ102" s="224">
        <v>8.4048700481387044E-4</v>
      </c>
      <c r="BR102" s="224">
        <v>4.7612191098985878E-4</v>
      </c>
      <c r="BS102" s="224">
        <v>4.7612191098985878E-4</v>
      </c>
      <c r="BT102" s="224">
        <v>0</v>
      </c>
      <c r="BU102" s="224">
        <v>1.0678344538062184E-2</v>
      </c>
      <c r="BV102" s="224">
        <v>6.1464355501690019E-3</v>
      </c>
      <c r="BW102" s="224">
        <v>3.3112582781456954E-3</v>
      </c>
      <c r="BX102" s="224">
        <v>1.5692171924618938E-3</v>
      </c>
      <c r="BY102" s="224">
        <v>8.4048700481387044E-4</v>
      </c>
      <c r="BZ102" s="224">
        <v>4.6796574260503272E-3</v>
      </c>
      <c r="CA102" s="224">
        <v>1.5692171924618938E-3</v>
      </c>
      <c r="CB102" s="224">
        <v>1.5692171924618938E-3</v>
      </c>
      <c r="CC102" s="224">
        <v>1.5692171924618938E-3</v>
      </c>
      <c r="CD102" s="224">
        <v>1.5692171924618938E-3</v>
      </c>
      <c r="CE102" s="224">
        <v>0</v>
      </c>
      <c r="CF102" s="224">
        <v>0</v>
      </c>
      <c r="CG102" s="224">
        <v>0</v>
      </c>
      <c r="CH102" s="224">
        <v>0</v>
      </c>
      <c r="CI102" s="224">
        <v>0</v>
      </c>
      <c r="CJ102" s="224">
        <v>0</v>
      </c>
      <c r="CK102" s="224">
        <v>0</v>
      </c>
      <c r="CL102" s="224">
        <v>0</v>
      </c>
      <c r="CM102" s="224">
        <v>0</v>
      </c>
      <c r="CN102" s="224">
        <v>0</v>
      </c>
      <c r="CO102" s="224">
        <v>0</v>
      </c>
      <c r="CP102" s="224">
        <v>0</v>
      </c>
      <c r="CQ102" s="224">
        <v>0</v>
      </c>
      <c r="CR102" s="224">
        <v>0</v>
      </c>
      <c r="CS102" s="224">
        <v>0</v>
      </c>
      <c r="CT102" s="224">
        <v>0</v>
      </c>
      <c r="CU102" s="224">
        <v>0</v>
      </c>
      <c r="CV102" s="224">
        <v>0</v>
      </c>
      <c r="CW102" s="224">
        <v>0</v>
      </c>
      <c r="CX102" s="224">
        <v>0</v>
      </c>
      <c r="CY102" s="224">
        <v>0</v>
      </c>
      <c r="CZ102" s="224">
        <v>0</v>
      </c>
      <c r="DA102" s="224">
        <v>0</v>
      </c>
      <c r="DB102" s="224">
        <v>0</v>
      </c>
      <c r="DC102" s="224">
        <v>0</v>
      </c>
      <c r="DD102" s="224">
        <v>0</v>
      </c>
      <c r="DE102" s="224">
        <v>0</v>
      </c>
      <c r="DF102" s="224">
        <v>0</v>
      </c>
      <c r="DG102" s="224">
        <v>0</v>
      </c>
      <c r="DH102" s="224">
        <v>0</v>
      </c>
      <c r="DI102" s="224">
        <v>0</v>
      </c>
      <c r="DJ102" s="224">
        <v>0</v>
      </c>
      <c r="DK102" s="224">
        <v>0</v>
      </c>
      <c r="DL102" s="224">
        <v>0</v>
      </c>
      <c r="DM102" s="224">
        <v>0</v>
      </c>
      <c r="DN102" s="224">
        <v>0</v>
      </c>
      <c r="DO102" s="224">
        <v>0</v>
      </c>
      <c r="DP102" s="224">
        <v>0</v>
      </c>
      <c r="DQ102" s="224">
        <f t="shared" si="1"/>
        <v>1</v>
      </c>
    </row>
    <row r="103" spans="1:121" x14ac:dyDescent="0.3">
      <c r="A103" s="223" t="s">
        <v>1201</v>
      </c>
      <c r="B103" s="223" t="s">
        <v>1189</v>
      </c>
      <c r="C103" s="223" t="s">
        <v>1095</v>
      </c>
      <c r="D103" s="223" t="s">
        <v>1087</v>
      </c>
      <c r="E103" s="223" t="s">
        <v>1096</v>
      </c>
      <c r="F103" s="224">
        <v>6.7448466603175508E-2</v>
      </c>
      <c r="G103" s="224">
        <v>6.767580722048426E-2</v>
      </c>
      <c r="H103" s="224">
        <v>2.4926331213999668E-2</v>
      </c>
      <c r="I103" s="224">
        <v>1.4946482316314108E-3</v>
      </c>
      <c r="J103" s="224">
        <v>2.8391447076568186E-3</v>
      </c>
      <c r="K103" s="224">
        <v>1.2907230978604838E-2</v>
      </c>
      <c r="L103" s="224">
        <v>3.0070651224052287E-2</v>
      </c>
      <c r="M103" s="224">
        <v>9.8794346007355718E-3</v>
      </c>
      <c r="N103" s="224">
        <v>1.3070932501855778E-2</v>
      </c>
      <c r="O103" s="224">
        <v>8.3585207871346955E-3</v>
      </c>
      <c r="P103" s="224">
        <v>1.4676514556223076E-2</v>
      </c>
      <c r="Q103" s="224">
        <v>9.3693565519381711E-3</v>
      </c>
      <c r="R103" s="224">
        <v>4.8101588385182073E-3</v>
      </c>
      <c r="S103" s="224">
        <v>1.679145380088605E-2</v>
      </c>
      <c r="T103" s="224">
        <v>2.2027243617812678E-2</v>
      </c>
      <c r="U103" s="224">
        <v>0</v>
      </c>
      <c r="V103" s="224">
        <v>9.3614321482095812E-3</v>
      </c>
      <c r="W103" s="224">
        <v>1.8655722045346903E-2</v>
      </c>
      <c r="X103" s="224">
        <v>6.3089990435139347E-3</v>
      </c>
      <c r="Y103" s="224">
        <v>1.0911298656861874E-2</v>
      </c>
      <c r="Z103" s="224">
        <v>3.9173557338289637E-3</v>
      </c>
      <c r="AA103" s="224">
        <v>4.2285686116066389E-3</v>
      </c>
      <c r="AB103" s="224">
        <v>7.4268909965328287E-3</v>
      </c>
      <c r="AC103" s="224">
        <v>1.2730571937385823E-2</v>
      </c>
      <c r="AD103" s="224">
        <v>5.3248361033856181E-3</v>
      </c>
      <c r="AE103" s="224">
        <v>9.4343076982227481E-3</v>
      </c>
      <c r="AF103" s="224">
        <v>6.179931333265702E-3</v>
      </c>
      <c r="AG103" s="224">
        <v>1.5427656936022938E-2</v>
      </c>
      <c r="AH103" s="224">
        <v>1.5399489811360393E-2</v>
      </c>
      <c r="AI103" s="224">
        <v>1.0948817614128555E-2</v>
      </c>
      <c r="AJ103" s="224">
        <v>3.3751433071265366E-2</v>
      </c>
      <c r="AK103" s="224">
        <v>5.4242261129013826E-3</v>
      </c>
      <c r="AL103" s="224">
        <v>5.9318052811548798E-3</v>
      </c>
      <c r="AM103" s="224">
        <v>3.0148868292405565E-3</v>
      </c>
      <c r="AN103" s="224">
        <v>2.1453871014844118E-2</v>
      </c>
      <c r="AO103" s="224">
        <v>1.34007702908353E-2</v>
      </c>
      <c r="AP103" s="224">
        <v>3.7854613069599604E-3</v>
      </c>
      <c r="AQ103" s="224">
        <v>8.0174315410673682E-3</v>
      </c>
      <c r="AR103" s="224">
        <v>2.3102200483041971E-2</v>
      </c>
      <c r="AS103" s="224">
        <v>2.8488351126459286E-2</v>
      </c>
      <c r="AT103" s="224">
        <v>1.066835640546452E-2</v>
      </c>
      <c r="AU103" s="224">
        <v>2.7495629514206667E-3</v>
      </c>
      <c r="AV103" s="224">
        <v>9.3720008038231644E-3</v>
      </c>
      <c r="AW103" s="224">
        <v>9.0614102465397146E-3</v>
      </c>
      <c r="AX103" s="224">
        <v>1.4896797567763619E-2</v>
      </c>
      <c r="AY103" s="224">
        <v>1.9880060386647341E-2</v>
      </c>
      <c r="AZ103" s="224">
        <v>7.7327564761072087E-3</v>
      </c>
      <c r="BA103" s="224">
        <v>2.8854480386639246E-3</v>
      </c>
      <c r="BB103" s="224">
        <v>5.5931950434556215E-3</v>
      </c>
      <c r="BC103" s="224">
        <v>3.0759725052587252E-2</v>
      </c>
      <c r="BD103" s="224">
        <v>4.5293886227225313E-2</v>
      </c>
      <c r="BE103" s="224">
        <v>4.7501299747407057E-2</v>
      </c>
      <c r="BF103" s="224">
        <v>1.4597388006728896E-2</v>
      </c>
      <c r="BG103" s="224">
        <v>2.2711108070781909E-2</v>
      </c>
      <c r="BH103" s="224">
        <v>1.9852707230969317E-2</v>
      </c>
      <c r="BI103" s="224">
        <v>8.1087697721108232E-3</v>
      </c>
      <c r="BJ103" s="224">
        <v>1.190045379569343E-2</v>
      </c>
      <c r="BK103" s="224">
        <v>9.6106511267852904E-4</v>
      </c>
      <c r="BL103" s="224">
        <v>5.4372472843279935E-3</v>
      </c>
      <c r="BM103" s="224">
        <v>7.6382089696812906E-3</v>
      </c>
      <c r="BN103" s="224">
        <v>3.937021100182729E-3</v>
      </c>
      <c r="BO103" s="224">
        <v>8.4283735888003794E-3</v>
      </c>
      <c r="BP103" s="224">
        <v>2.9467582543110955E-3</v>
      </c>
      <c r="BQ103" s="224">
        <v>3.8776141522964772E-3</v>
      </c>
      <c r="BR103" s="224">
        <v>2.845260048835568E-3</v>
      </c>
      <c r="BS103" s="224">
        <v>3.8283363289212708E-3</v>
      </c>
      <c r="BT103" s="224">
        <v>1.4896025740332479E-4</v>
      </c>
      <c r="BU103" s="224">
        <v>1.326163908787493E-2</v>
      </c>
      <c r="BV103" s="224">
        <v>5.1913225726883628E-3</v>
      </c>
      <c r="BW103" s="224">
        <v>4.9592778472108906E-3</v>
      </c>
      <c r="BX103" s="224">
        <v>1.1327361341151638E-2</v>
      </c>
      <c r="BY103" s="224">
        <v>5.9818160415515209E-3</v>
      </c>
      <c r="BZ103" s="224">
        <v>1.0439655532201907E-2</v>
      </c>
      <c r="CA103" s="224">
        <v>5.3725939710662605E-3</v>
      </c>
      <c r="CB103" s="224">
        <v>4.6655626135857645E-3</v>
      </c>
      <c r="CC103" s="224">
        <v>4.2752727677146706E-3</v>
      </c>
      <c r="CD103" s="224">
        <v>4.3029622509854013E-3</v>
      </c>
      <c r="CE103" s="224">
        <v>7.0978617691420465E-4</v>
      </c>
      <c r="CF103" s="224">
        <v>1.1252050682364604E-2</v>
      </c>
      <c r="CG103" s="224">
        <v>1.17887148711362E-3</v>
      </c>
      <c r="CH103" s="224">
        <v>0</v>
      </c>
      <c r="CI103" s="224">
        <v>0</v>
      </c>
      <c r="CJ103" s="224">
        <v>0</v>
      </c>
      <c r="CK103" s="224">
        <v>0</v>
      </c>
      <c r="CL103" s="224">
        <v>0</v>
      </c>
      <c r="CM103" s="224">
        <v>0</v>
      </c>
      <c r="CN103" s="224">
        <v>0</v>
      </c>
      <c r="CO103" s="224">
        <v>3.0252418617842626E-3</v>
      </c>
      <c r="CP103" s="224">
        <v>0</v>
      </c>
      <c r="CQ103" s="224">
        <v>0</v>
      </c>
      <c r="CR103" s="224">
        <v>1.4706036828117943E-3</v>
      </c>
      <c r="CS103" s="224">
        <v>0</v>
      </c>
      <c r="CT103" s="224">
        <v>0</v>
      </c>
      <c r="CU103" s="224">
        <v>0</v>
      </c>
      <c r="CV103" s="224">
        <v>0</v>
      </c>
      <c r="CW103" s="224">
        <v>0</v>
      </c>
      <c r="CX103" s="224">
        <v>0</v>
      </c>
      <c r="CY103" s="224">
        <v>0</v>
      </c>
      <c r="CZ103" s="224">
        <v>0</v>
      </c>
      <c r="DA103" s="224">
        <v>0</v>
      </c>
      <c r="DB103" s="224">
        <v>0</v>
      </c>
      <c r="DC103" s="224">
        <v>0</v>
      </c>
      <c r="DD103" s="224">
        <v>0</v>
      </c>
      <c r="DE103" s="224">
        <v>0</v>
      </c>
      <c r="DF103" s="224">
        <v>0</v>
      </c>
      <c r="DG103" s="224">
        <v>0</v>
      </c>
      <c r="DH103" s="224">
        <v>0</v>
      </c>
      <c r="DI103" s="224">
        <v>0</v>
      </c>
      <c r="DJ103" s="224">
        <v>0</v>
      </c>
      <c r="DK103" s="224">
        <v>0</v>
      </c>
      <c r="DL103" s="224">
        <v>0</v>
      </c>
      <c r="DM103" s="224">
        <v>0</v>
      </c>
      <c r="DN103" s="224">
        <v>0</v>
      </c>
      <c r="DO103" s="224">
        <v>0</v>
      </c>
      <c r="DP103" s="224">
        <v>0</v>
      </c>
      <c r="DQ103" s="224">
        <f t="shared" si="1"/>
        <v>1</v>
      </c>
    </row>
    <row r="104" spans="1:121" x14ac:dyDescent="0.3">
      <c r="A104" s="223" t="s">
        <v>1202</v>
      </c>
      <c r="B104" s="223" t="s">
        <v>1189</v>
      </c>
      <c r="C104" s="223" t="s">
        <v>1086</v>
      </c>
      <c r="D104" s="223" t="s">
        <v>21</v>
      </c>
      <c r="E104" s="223" t="s">
        <v>27</v>
      </c>
      <c r="F104" s="224">
        <v>0.17008252279218791</v>
      </c>
      <c r="G104" s="224">
        <v>3.0187431334087016E-2</v>
      </c>
      <c r="H104" s="224">
        <v>1.6093636253963581E-2</v>
      </c>
      <c r="I104" s="224">
        <v>2.0293560606060605E-3</v>
      </c>
      <c r="J104" s="224">
        <v>1.9176022613297657E-2</v>
      </c>
      <c r="K104" s="224">
        <v>4.6623283936856443E-3</v>
      </c>
      <c r="L104" s="224">
        <v>1.5567644627224334E-2</v>
      </c>
      <c r="M104" s="224">
        <v>4.1186276680740888E-3</v>
      </c>
      <c r="N104" s="224">
        <v>7.1146555235419478E-3</v>
      </c>
      <c r="O104" s="224">
        <v>3.9704136156738573E-3</v>
      </c>
      <c r="P104" s="224">
        <v>8.1268879891948642E-3</v>
      </c>
      <c r="Q104" s="224">
        <v>1.0583261321448255E-2</v>
      </c>
      <c r="R104" s="224">
        <v>3.1623614638214767E-3</v>
      </c>
      <c r="S104" s="224">
        <v>8.0492807452217964E-3</v>
      </c>
      <c r="T104" s="224">
        <v>1.5867493288374002E-2</v>
      </c>
      <c r="U104" s="224">
        <v>6.4977257959714096E-4</v>
      </c>
      <c r="V104" s="224">
        <v>5.9058401984168341E-3</v>
      </c>
      <c r="W104" s="224">
        <v>2.0634587834977444E-2</v>
      </c>
      <c r="X104" s="224">
        <v>7.8859111684281696E-3</v>
      </c>
      <c r="Y104" s="224">
        <v>2.2254832897141146E-3</v>
      </c>
      <c r="Z104" s="224">
        <v>1.622839969947408E-3</v>
      </c>
      <c r="AA104" s="224">
        <v>0</v>
      </c>
      <c r="AB104" s="224">
        <v>0</v>
      </c>
      <c r="AC104" s="224">
        <v>1.4828131113067293E-2</v>
      </c>
      <c r="AD104" s="224">
        <v>2.6737715625149388E-3</v>
      </c>
      <c r="AE104" s="224">
        <v>4.9297348094192875E-3</v>
      </c>
      <c r="AF104" s="224">
        <v>3.7881303550303387E-3</v>
      </c>
      <c r="AG104" s="224">
        <v>1.024012138966821E-2</v>
      </c>
      <c r="AH104" s="224">
        <v>8.696325625060319E-3</v>
      </c>
      <c r="AI104" s="224">
        <v>1.0794498574579234E-2</v>
      </c>
      <c r="AJ104" s="224">
        <v>4.5175206025147165E-2</v>
      </c>
      <c r="AK104" s="224">
        <v>6.7312800082065883E-3</v>
      </c>
      <c r="AL104" s="224">
        <v>4.8676344160945217E-3</v>
      </c>
      <c r="AM104" s="224">
        <v>4.0284392141826022E-3</v>
      </c>
      <c r="AN104" s="224">
        <v>1.512905063922463E-2</v>
      </c>
      <c r="AO104" s="224">
        <v>2.0187682063256784E-2</v>
      </c>
      <c r="AP104" s="224">
        <v>9.4031777386535433E-3</v>
      </c>
      <c r="AQ104" s="224">
        <v>5.9742896474198216E-3</v>
      </c>
      <c r="AR104" s="224">
        <v>1.7559975566415597E-2</v>
      </c>
      <c r="AS104" s="224">
        <v>2.5893885698248145E-2</v>
      </c>
      <c r="AT104" s="224">
        <v>7.9710683343711796E-3</v>
      </c>
      <c r="AU104" s="224">
        <v>9.0633818007689873E-4</v>
      </c>
      <c r="AV104" s="224">
        <v>8.3300482396014112E-3</v>
      </c>
      <c r="AW104" s="224">
        <v>7.7383587981252602E-3</v>
      </c>
      <c r="AX104" s="224">
        <v>8.7261058611250927E-3</v>
      </c>
      <c r="AY104" s="224">
        <v>1.5861171810052029E-2</v>
      </c>
      <c r="AZ104" s="224">
        <v>4.892246049224792E-3</v>
      </c>
      <c r="BA104" s="224">
        <v>1.4068299086542327E-3</v>
      </c>
      <c r="BB104" s="224">
        <v>1.3136177650922367E-3</v>
      </c>
      <c r="BC104" s="224">
        <v>3.0148900880147916E-2</v>
      </c>
      <c r="BD104" s="224">
        <v>3.9017109398262799E-2</v>
      </c>
      <c r="BE104" s="224">
        <v>0</v>
      </c>
      <c r="BF104" s="224">
        <v>9.077123334267443E-3</v>
      </c>
      <c r="BG104" s="224">
        <v>0</v>
      </c>
      <c r="BH104" s="224">
        <v>1.9534184823441023E-3</v>
      </c>
      <c r="BI104" s="224">
        <v>0</v>
      </c>
      <c r="BJ104" s="224">
        <v>0</v>
      </c>
      <c r="BK104" s="224">
        <v>2.4948179756729416E-3</v>
      </c>
      <c r="BL104" s="224">
        <v>8.9712870297785005E-3</v>
      </c>
      <c r="BM104" s="224">
        <v>1.7581074269870305E-2</v>
      </c>
      <c r="BN104" s="224">
        <v>9.6919578690824494E-3</v>
      </c>
      <c r="BO104" s="224">
        <v>1.7211095239062731E-2</v>
      </c>
      <c r="BP104" s="224">
        <v>1.0009258137801137E-2</v>
      </c>
      <c r="BQ104" s="224">
        <v>8.5970496655000707E-3</v>
      </c>
      <c r="BR104" s="224">
        <v>7.699073603064422E-3</v>
      </c>
      <c r="BS104" s="224">
        <v>1.2901490698943271E-2</v>
      </c>
      <c r="BT104" s="224">
        <v>0</v>
      </c>
      <c r="BU104" s="224">
        <v>2.2480788298020794E-2</v>
      </c>
      <c r="BV104" s="224">
        <v>4.6723121023365651E-3</v>
      </c>
      <c r="BW104" s="224">
        <v>7.6632576619873353E-3</v>
      </c>
      <c r="BX104" s="224">
        <v>1.9222248705262124E-2</v>
      </c>
      <c r="BY104" s="224">
        <v>1.594806665388716E-2</v>
      </c>
      <c r="BZ104" s="224">
        <v>2.4353217977338797E-2</v>
      </c>
      <c r="CA104" s="224">
        <v>1.3503648630520596E-2</v>
      </c>
      <c r="CB104" s="224">
        <v>1.444080080039486E-2</v>
      </c>
      <c r="CC104" s="224">
        <v>1.481780948739227E-2</v>
      </c>
      <c r="CD104" s="224">
        <v>1.7783799525720935E-2</v>
      </c>
      <c r="CE104" s="224">
        <v>0</v>
      </c>
      <c r="CF104" s="224">
        <v>4.2427915327528432E-2</v>
      </c>
      <c r="CG104" s="224">
        <v>1.5690001218162848E-3</v>
      </c>
      <c r="CH104" s="224">
        <v>0</v>
      </c>
      <c r="CI104" s="224">
        <v>0</v>
      </c>
      <c r="CJ104" s="224">
        <v>0</v>
      </c>
      <c r="CK104" s="224">
        <v>0</v>
      </c>
      <c r="CL104" s="224">
        <v>0</v>
      </c>
      <c r="CM104" s="224">
        <v>0</v>
      </c>
      <c r="CN104" s="224">
        <v>0</v>
      </c>
      <c r="CO104" s="224">
        <v>0</v>
      </c>
      <c r="CP104" s="224">
        <v>0</v>
      </c>
      <c r="CQ104" s="224">
        <v>0</v>
      </c>
      <c r="CR104" s="224">
        <v>0</v>
      </c>
      <c r="CS104" s="224">
        <v>0</v>
      </c>
      <c r="CT104" s="224">
        <v>0</v>
      </c>
      <c r="CU104" s="224">
        <v>0</v>
      </c>
      <c r="CV104" s="224">
        <v>0</v>
      </c>
      <c r="CW104" s="224">
        <v>0</v>
      </c>
      <c r="CX104" s="224">
        <v>0</v>
      </c>
      <c r="CY104" s="224">
        <v>0</v>
      </c>
      <c r="CZ104" s="224">
        <v>0</v>
      </c>
      <c r="DA104" s="224">
        <v>0</v>
      </c>
      <c r="DB104" s="224">
        <v>0</v>
      </c>
      <c r="DC104" s="224">
        <v>0</v>
      </c>
      <c r="DD104" s="224">
        <v>0</v>
      </c>
      <c r="DE104" s="224">
        <v>0</v>
      </c>
      <c r="DF104" s="224">
        <v>0</v>
      </c>
      <c r="DG104" s="224">
        <v>0</v>
      </c>
      <c r="DH104" s="224">
        <v>0</v>
      </c>
      <c r="DI104" s="224">
        <v>0</v>
      </c>
      <c r="DJ104" s="224">
        <v>0</v>
      </c>
      <c r="DK104" s="224">
        <v>0</v>
      </c>
      <c r="DL104" s="224">
        <v>0</v>
      </c>
      <c r="DM104" s="224">
        <v>0</v>
      </c>
      <c r="DN104" s="224">
        <v>0</v>
      </c>
      <c r="DO104" s="224">
        <v>0</v>
      </c>
      <c r="DP104" s="224">
        <v>0</v>
      </c>
      <c r="DQ104" s="224">
        <f t="shared" si="1"/>
        <v>1.0000000000000002</v>
      </c>
    </row>
    <row r="105" spans="1:121" x14ac:dyDescent="0.3">
      <c r="A105" s="223" t="s">
        <v>1203</v>
      </c>
      <c r="B105" s="223" t="s">
        <v>1189</v>
      </c>
      <c r="C105" s="223" t="s">
        <v>1095</v>
      </c>
      <c r="D105" s="223" t="s">
        <v>21</v>
      </c>
      <c r="E105" s="223" t="s">
        <v>1090</v>
      </c>
      <c r="F105" s="224">
        <v>6.1943860795294632E-2</v>
      </c>
      <c r="G105" s="224">
        <v>5.7254786198479318E-2</v>
      </c>
      <c r="H105" s="224">
        <v>2.5399368476638224E-2</v>
      </c>
      <c r="I105" s="224">
        <v>2.4760136180748994E-3</v>
      </c>
      <c r="J105" s="224">
        <v>0</v>
      </c>
      <c r="K105" s="224">
        <v>2.0514178513459227E-2</v>
      </c>
      <c r="L105" s="224">
        <v>3.8060374799874501E-2</v>
      </c>
      <c r="M105" s="224">
        <v>6.4768508569365453E-3</v>
      </c>
      <c r="N105" s="224">
        <v>7.2621641249092229E-4</v>
      </c>
      <c r="O105" s="224">
        <v>0</v>
      </c>
      <c r="P105" s="224">
        <v>1.595437061454975E-2</v>
      </c>
      <c r="Q105" s="224">
        <v>1.0794348381251668E-2</v>
      </c>
      <c r="R105" s="224">
        <v>5.6473245799802349E-4</v>
      </c>
      <c r="S105" s="224">
        <v>2.8682876739575463E-2</v>
      </c>
      <c r="T105" s="224">
        <v>2.390489160025315E-2</v>
      </c>
      <c r="U105" s="224">
        <v>6.1900340451872485E-3</v>
      </c>
      <c r="V105" s="224">
        <v>1.2407297634829693E-2</v>
      </c>
      <c r="W105" s="224">
        <v>3.0402002382860966E-2</v>
      </c>
      <c r="X105" s="224">
        <v>1.7856599934539277E-2</v>
      </c>
      <c r="Y105" s="224">
        <v>2.4479716293727877E-2</v>
      </c>
      <c r="Z105" s="224">
        <v>0</v>
      </c>
      <c r="AA105" s="224">
        <v>0</v>
      </c>
      <c r="AB105" s="224">
        <v>0</v>
      </c>
      <c r="AC105" s="224">
        <v>0</v>
      </c>
      <c r="AD105" s="224">
        <v>2.2001179242835112E-2</v>
      </c>
      <c r="AE105" s="224">
        <v>1.0257853136654798E-2</v>
      </c>
      <c r="AF105" s="224">
        <v>1.2178913700519269E-2</v>
      </c>
      <c r="AG105" s="224">
        <v>3.709298810479611E-2</v>
      </c>
      <c r="AH105" s="224">
        <v>2.2137058214872312E-2</v>
      </c>
      <c r="AI105" s="224">
        <v>1.7135675418872433E-2</v>
      </c>
      <c r="AJ105" s="224">
        <v>4.3349527021230655E-2</v>
      </c>
      <c r="AK105" s="224">
        <v>1.1004815284107485E-2</v>
      </c>
      <c r="AL105" s="224">
        <v>1.0400276565689292E-2</v>
      </c>
      <c r="AM105" s="224">
        <v>4.2227500659804702E-3</v>
      </c>
      <c r="AN105" s="224">
        <v>2.2931584570554296E-2</v>
      </c>
      <c r="AO105" s="224">
        <v>1.7478540055790363E-2</v>
      </c>
      <c r="AP105" s="224">
        <v>1.2528475919256066E-2</v>
      </c>
      <c r="AQ105" s="224">
        <v>1.0794237900486075E-2</v>
      </c>
      <c r="AR105" s="224">
        <v>5.5074175619013274E-2</v>
      </c>
      <c r="AS105" s="224">
        <v>4.4797215911692487E-2</v>
      </c>
      <c r="AT105" s="224">
        <v>1.3152331719494453E-2</v>
      </c>
      <c r="AU105" s="224">
        <v>4.1285403159701034E-3</v>
      </c>
      <c r="AV105" s="224">
        <v>2.0809187676715954E-2</v>
      </c>
      <c r="AW105" s="224">
        <v>2.1123582256519439E-2</v>
      </c>
      <c r="AX105" s="224">
        <v>1.8235752975360304E-2</v>
      </c>
      <c r="AY105" s="224">
        <v>3.0084459983310774E-2</v>
      </c>
      <c r="AZ105" s="224">
        <v>1.4748123164818629E-2</v>
      </c>
      <c r="BA105" s="224">
        <v>1.9800249456819602E-3</v>
      </c>
      <c r="BB105" s="224">
        <v>4.3380635228408319E-3</v>
      </c>
      <c r="BC105" s="224">
        <v>3.6962691833873046E-2</v>
      </c>
      <c r="BD105" s="224">
        <v>6.0457490447429416E-2</v>
      </c>
      <c r="BE105" s="224">
        <v>0</v>
      </c>
      <c r="BF105" s="224">
        <v>2.1843934062427284E-2</v>
      </c>
      <c r="BG105" s="224">
        <v>0</v>
      </c>
      <c r="BH105" s="224">
        <v>0</v>
      </c>
      <c r="BI105" s="224">
        <v>0</v>
      </c>
      <c r="BJ105" s="224">
        <v>0</v>
      </c>
      <c r="BK105" s="224">
        <v>0</v>
      </c>
      <c r="BL105" s="224">
        <v>0</v>
      </c>
      <c r="BM105" s="224">
        <v>0</v>
      </c>
      <c r="BN105" s="224">
        <v>0</v>
      </c>
      <c r="BO105" s="224">
        <v>3.1007751937984496E-3</v>
      </c>
      <c r="BP105" s="224">
        <v>3.1007751937984496E-3</v>
      </c>
      <c r="BQ105" s="224">
        <v>0</v>
      </c>
      <c r="BR105" s="224">
        <v>0</v>
      </c>
      <c r="BS105" s="224">
        <v>0</v>
      </c>
      <c r="BT105" s="224">
        <v>0</v>
      </c>
      <c r="BU105" s="224">
        <v>0</v>
      </c>
      <c r="BV105" s="224">
        <v>0</v>
      </c>
      <c r="BW105" s="224">
        <v>0</v>
      </c>
      <c r="BX105" s="224">
        <v>0</v>
      </c>
      <c r="BY105" s="224">
        <v>0</v>
      </c>
      <c r="BZ105" s="224">
        <v>4.230240109794497E-3</v>
      </c>
      <c r="CA105" s="224">
        <v>3.1007751937984496E-3</v>
      </c>
      <c r="CB105" s="224">
        <v>0</v>
      </c>
      <c r="CC105" s="224">
        <v>0</v>
      </c>
      <c r="CD105" s="224">
        <v>0</v>
      </c>
      <c r="CE105" s="224">
        <v>0</v>
      </c>
      <c r="CF105" s="224">
        <v>1.129464915996047E-3</v>
      </c>
      <c r="CG105" s="224">
        <v>0</v>
      </c>
      <c r="CH105" s="224">
        <v>0</v>
      </c>
      <c r="CI105" s="224">
        <v>0</v>
      </c>
      <c r="CJ105" s="224">
        <v>0</v>
      </c>
      <c r="CK105" s="224">
        <v>0</v>
      </c>
      <c r="CL105" s="224">
        <v>0</v>
      </c>
      <c r="CM105" s="224">
        <v>0</v>
      </c>
      <c r="CN105" s="224">
        <v>0</v>
      </c>
      <c r="CO105" s="224">
        <v>0</v>
      </c>
      <c r="CP105" s="224">
        <v>0</v>
      </c>
      <c r="CQ105" s="224">
        <v>0</v>
      </c>
      <c r="CR105" s="224">
        <v>0</v>
      </c>
      <c r="CS105" s="224">
        <v>0</v>
      </c>
      <c r="CT105" s="224">
        <v>0</v>
      </c>
      <c r="CU105" s="224">
        <v>0</v>
      </c>
      <c r="CV105" s="224">
        <v>0</v>
      </c>
      <c r="CW105" s="224">
        <v>0</v>
      </c>
      <c r="CX105" s="224">
        <v>0</v>
      </c>
      <c r="CY105" s="224">
        <v>0</v>
      </c>
      <c r="CZ105" s="224">
        <v>0</v>
      </c>
      <c r="DA105" s="224">
        <v>0</v>
      </c>
      <c r="DB105" s="224">
        <v>0</v>
      </c>
      <c r="DC105" s="224">
        <v>0</v>
      </c>
      <c r="DD105" s="224">
        <v>0</v>
      </c>
      <c r="DE105" s="224">
        <v>0</v>
      </c>
      <c r="DF105" s="224">
        <v>0</v>
      </c>
      <c r="DG105" s="224">
        <v>0</v>
      </c>
      <c r="DH105" s="224">
        <v>0</v>
      </c>
      <c r="DI105" s="224">
        <v>0</v>
      </c>
      <c r="DJ105" s="224">
        <v>0</v>
      </c>
      <c r="DK105" s="224">
        <v>0</v>
      </c>
      <c r="DL105" s="224">
        <v>0</v>
      </c>
      <c r="DM105" s="224">
        <v>0</v>
      </c>
      <c r="DN105" s="224">
        <v>0</v>
      </c>
      <c r="DO105" s="224">
        <v>0</v>
      </c>
      <c r="DP105" s="224">
        <v>0</v>
      </c>
      <c r="DQ105" s="224">
        <f t="shared" si="1"/>
        <v>1</v>
      </c>
    </row>
    <row r="106" spans="1:121" x14ac:dyDescent="0.3">
      <c r="A106" s="223" t="s">
        <v>1204</v>
      </c>
      <c r="B106" s="223" t="s">
        <v>1189</v>
      </c>
      <c r="C106" s="223" t="s">
        <v>1095</v>
      </c>
      <c r="D106" s="223" t="s">
        <v>21</v>
      </c>
      <c r="E106" s="223" t="s">
        <v>27</v>
      </c>
      <c r="F106" s="224">
        <v>0.30843632455668996</v>
      </c>
      <c r="G106" s="224">
        <v>3.5823034210997674E-2</v>
      </c>
      <c r="H106" s="224">
        <v>1.2538061973849185E-2</v>
      </c>
      <c r="I106" s="224">
        <v>0</v>
      </c>
      <c r="J106" s="224">
        <v>0</v>
      </c>
      <c r="K106" s="224">
        <v>1.5762135052838976E-2</v>
      </c>
      <c r="L106" s="224">
        <v>4.2987641053197204E-2</v>
      </c>
      <c r="M106" s="224">
        <v>0</v>
      </c>
      <c r="N106" s="224">
        <v>0</v>
      </c>
      <c r="O106" s="224">
        <v>8.5975282106394418E-3</v>
      </c>
      <c r="P106" s="224">
        <v>1.4329213684399069E-2</v>
      </c>
      <c r="Q106" s="224">
        <v>1.0746910263299301E-2</v>
      </c>
      <c r="R106" s="224">
        <v>5.7316854737596273E-3</v>
      </c>
      <c r="S106" s="224">
        <v>1.5583019881783988E-2</v>
      </c>
      <c r="T106" s="224">
        <v>1.8627977789718791E-2</v>
      </c>
      <c r="U106" s="224">
        <v>0</v>
      </c>
      <c r="V106" s="224">
        <v>5.7316854737596273E-3</v>
      </c>
      <c r="W106" s="224">
        <v>3.5823034210997673E-3</v>
      </c>
      <c r="X106" s="224">
        <v>3.5823034210997673E-3</v>
      </c>
      <c r="Y106" s="224">
        <v>8.5975282106394418E-3</v>
      </c>
      <c r="Z106" s="224">
        <v>0</v>
      </c>
      <c r="AA106" s="224">
        <v>0</v>
      </c>
      <c r="AB106" s="224">
        <v>0</v>
      </c>
      <c r="AC106" s="224">
        <v>0</v>
      </c>
      <c r="AD106" s="224">
        <v>0</v>
      </c>
      <c r="AE106" s="224">
        <v>1.5762135052838976E-2</v>
      </c>
      <c r="AF106" s="224">
        <v>5.7316854737596273E-3</v>
      </c>
      <c r="AG106" s="224">
        <v>0</v>
      </c>
      <c r="AH106" s="224">
        <v>1.4329213684399069E-2</v>
      </c>
      <c r="AI106" s="224">
        <v>7.1646068421995345E-3</v>
      </c>
      <c r="AJ106" s="224">
        <v>4.2987641053197204E-2</v>
      </c>
      <c r="AK106" s="224">
        <v>0</v>
      </c>
      <c r="AL106" s="224">
        <v>0</v>
      </c>
      <c r="AM106" s="224">
        <v>0</v>
      </c>
      <c r="AN106" s="224">
        <v>0</v>
      </c>
      <c r="AO106" s="224">
        <v>0</v>
      </c>
      <c r="AP106" s="224">
        <v>1.4329213684399069E-2</v>
      </c>
      <c r="AQ106" s="224">
        <v>0</v>
      </c>
      <c r="AR106" s="224">
        <v>1.4329213684399069E-2</v>
      </c>
      <c r="AS106" s="224">
        <v>1.4329213684399069E-2</v>
      </c>
      <c r="AT106" s="224">
        <v>7.1646068421995345E-3</v>
      </c>
      <c r="AU106" s="224">
        <v>0</v>
      </c>
      <c r="AV106" s="224">
        <v>1.4329213684399069E-2</v>
      </c>
      <c r="AW106" s="224">
        <v>7.1646068421995345E-3</v>
      </c>
      <c r="AX106" s="224">
        <v>7.1646068421995345E-3</v>
      </c>
      <c r="AY106" s="224">
        <v>1.2179831631739208E-2</v>
      </c>
      <c r="AZ106" s="224">
        <v>0</v>
      </c>
      <c r="BA106" s="224">
        <v>0</v>
      </c>
      <c r="BB106" s="224">
        <v>0</v>
      </c>
      <c r="BC106" s="224">
        <v>2.8658427368798138E-2</v>
      </c>
      <c r="BD106" s="224">
        <v>0</v>
      </c>
      <c r="BE106" s="224">
        <v>0</v>
      </c>
      <c r="BF106" s="224">
        <v>0</v>
      </c>
      <c r="BG106" s="224">
        <v>0</v>
      </c>
      <c r="BH106" s="224">
        <v>0</v>
      </c>
      <c r="BI106" s="224">
        <v>0</v>
      </c>
      <c r="BJ106" s="224">
        <v>0</v>
      </c>
      <c r="BK106" s="224">
        <v>5.7316854737596273E-3</v>
      </c>
      <c r="BL106" s="224">
        <v>0</v>
      </c>
      <c r="BM106" s="224">
        <v>1.7195056421278884E-2</v>
      </c>
      <c r="BN106" s="224">
        <v>8.5975282106394418E-3</v>
      </c>
      <c r="BO106" s="224">
        <v>1.4329213684399069E-2</v>
      </c>
      <c r="BP106" s="224">
        <v>1.2896292315959162E-2</v>
      </c>
      <c r="BQ106" s="224">
        <v>8.5975282106394418E-3</v>
      </c>
      <c r="BR106" s="224">
        <v>0</v>
      </c>
      <c r="BS106" s="224">
        <v>5.7316854737596273E-3</v>
      </c>
      <c r="BT106" s="224">
        <v>0</v>
      </c>
      <c r="BU106" s="224">
        <v>0</v>
      </c>
      <c r="BV106" s="224">
        <v>2.1493820526598602E-2</v>
      </c>
      <c r="BW106" s="224">
        <v>0</v>
      </c>
      <c r="BX106" s="224">
        <v>3.5823034210997674E-2</v>
      </c>
      <c r="BY106" s="224">
        <v>2.0060899158158695E-2</v>
      </c>
      <c r="BZ106" s="224">
        <v>4.2987641053197204E-2</v>
      </c>
      <c r="CA106" s="224">
        <v>2.8658427368798138E-2</v>
      </c>
      <c r="CB106" s="224">
        <v>2.1493820526598602E-2</v>
      </c>
      <c r="CC106" s="224">
        <v>0</v>
      </c>
      <c r="CD106" s="224">
        <v>2.5792584631918324E-2</v>
      </c>
      <c r="CE106" s="224">
        <v>0</v>
      </c>
      <c r="CF106" s="224">
        <v>0</v>
      </c>
      <c r="CG106" s="224">
        <v>1.4329213684399069E-2</v>
      </c>
      <c r="CH106" s="224">
        <v>0</v>
      </c>
      <c r="CI106" s="224">
        <v>0</v>
      </c>
      <c r="CJ106" s="224">
        <v>0</v>
      </c>
      <c r="CK106" s="224">
        <v>0</v>
      </c>
      <c r="CL106" s="224">
        <v>0</v>
      </c>
      <c r="CM106" s="224">
        <v>0</v>
      </c>
      <c r="CN106" s="224">
        <v>0</v>
      </c>
      <c r="CO106" s="224">
        <v>0</v>
      </c>
      <c r="CP106" s="224">
        <v>0</v>
      </c>
      <c r="CQ106" s="224">
        <v>0</v>
      </c>
      <c r="CR106" s="224">
        <v>0</v>
      </c>
      <c r="CS106" s="224">
        <v>0</v>
      </c>
      <c r="CT106" s="224">
        <v>0</v>
      </c>
      <c r="CU106" s="224">
        <v>0</v>
      </c>
      <c r="CV106" s="224">
        <v>0</v>
      </c>
      <c r="CW106" s="224">
        <v>0</v>
      </c>
      <c r="CX106" s="224">
        <v>0</v>
      </c>
      <c r="CY106" s="224">
        <v>0</v>
      </c>
      <c r="CZ106" s="224">
        <v>0</v>
      </c>
      <c r="DA106" s="224">
        <v>0</v>
      </c>
      <c r="DB106" s="224">
        <v>0</v>
      </c>
      <c r="DC106" s="224">
        <v>0</v>
      </c>
      <c r="DD106" s="224">
        <v>0</v>
      </c>
      <c r="DE106" s="224">
        <v>0</v>
      </c>
      <c r="DF106" s="224">
        <v>0</v>
      </c>
      <c r="DG106" s="224">
        <v>0</v>
      </c>
      <c r="DH106" s="224">
        <v>0</v>
      </c>
      <c r="DI106" s="224">
        <v>0</v>
      </c>
      <c r="DJ106" s="224">
        <v>0</v>
      </c>
      <c r="DK106" s="224">
        <v>0</v>
      </c>
      <c r="DL106" s="224">
        <v>0</v>
      </c>
      <c r="DM106" s="224">
        <v>0</v>
      </c>
      <c r="DN106" s="224">
        <v>0</v>
      </c>
      <c r="DO106" s="224">
        <v>0</v>
      </c>
      <c r="DP106" s="224">
        <v>0</v>
      </c>
      <c r="DQ106" s="224">
        <f t="shared" si="1"/>
        <v>0.99999999999999989</v>
      </c>
    </row>
    <row r="107" spans="1:121" x14ac:dyDescent="0.3">
      <c r="A107" s="223" t="s">
        <v>1205</v>
      </c>
      <c r="B107" s="223" t="s">
        <v>1189</v>
      </c>
      <c r="C107" s="223" t="s">
        <v>1086</v>
      </c>
      <c r="D107" s="223" t="s">
        <v>1087</v>
      </c>
      <c r="E107" s="223" t="s">
        <v>1093</v>
      </c>
      <c r="F107" s="224">
        <v>0.14953604568165596</v>
      </c>
      <c r="G107" s="224">
        <v>4.4254104211277658E-2</v>
      </c>
      <c r="H107" s="224">
        <v>8.9221984296930772E-3</v>
      </c>
      <c r="I107" s="224">
        <v>7.1377587437544609E-3</v>
      </c>
      <c r="J107" s="224">
        <v>2.3554603854389723E-2</v>
      </c>
      <c r="K107" s="224">
        <v>5.7102069950035689E-3</v>
      </c>
      <c r="L107" s="224">
        <v>1.3561741613133477E-2</v>
      </c>
      <c r="M107" s="224">
        <v>5.7102069950035689E-3</v>
      </c>
      <c r="N107" s="224">
        <v>2.569593147751606E-2</v>
      </c>
      <c r="O107" s="224">
        <v>0</v>
      </c>
      <c r="P107" s="224">
        <v>5.7102069950035689E-3</v>
      </c>
      <c r="Q107" s="224">
        <v>3.5688793718772305E-3</v>
      </c>
      <c r="R107" s="224">
        <v>2.1413276231263384E-3</v>
      </c>
      <c r="S107" s="224">
        <v>3.8543897216274089E-2</v>
      </c>
      <c r="T107" s="224">
        <v>9.2790863668807989E-3</v>
      </c>
      <c r="U107" s="224">
        <v>0</v>
      </c>
      <c r="V107" s="224">
        <v>5.7102069950035689E-3</v>
      </c>
      <c r="W107" s="224">
        <v>2.8551034975017845E-3</v>
      </c>
      <c r="X107" s="224">
        <v>7.1377587437544609E-3</v>
      </c>
      <c r="Y107" s="224">
        <v>5.7102069950035689E-3</v>
      </c>
      <c r="Z107" s="224">
        <v>5.7102069950035689E-3</v>
      </c>
      <c r="AA107" s="224">
        <v>0</v>
      </c>
      <c r="AB107" s="224">
        <v>0</v>
      </c>
      <c r="AC107" s="224">
        <v>0</v>
      </c>
      <c r="AD107" s="224">
        <v>5.7102069950035689E-3</v>
      </c>
      <c r="AE107" s="224">
        <v>1.1420413990007138E-2</v>
      </c>
      <c r="AF107" s="224">
        <v>7.1377587437544611E-4</v>
      </c>
      <c r="AG107" s="224">
        <v>5.7102069950035689E-3</v>
      </c>
      <c r="AH107" s="224">
        <v>2.8551034975017845E-3</v>
      </c>
      <c r="AI107" s="224">
        <v>8.5653104925053538E-3</v>
      </c>
      <c r="AJ107" s="224">
        <v>3.8900785153461813E-2</v>
      </c>
      <c r="AK107" s="224">
        <v>1.4275517487508922E-3</v>
      </c>
      <c r="AL107" s="224">
        <v>1.4275517487508922E-3</v>
      </c>
      <c r="AM107" s="224">
        <v>0</v>
      </c>
      <c r="AN107" s="224">
        <v>8.5653104925053538E-3</v>
      </c>
      <c r="AO107" s="224">
        <v>3.9257673090649536E-2</v>
      </c>
      <c r="AP107" s="224">
        <v>2.8551034975017845E-3</v>
      </c>
      <c r="AQ107" s="224">
        <v>1.4275517487508922E-3</v>
      </c>
      <c r="AR107" s="224">
        <v>4.6038543897216275E-2</v>
      </c>
      <c r="AS107" s="224">
        <v>3.5688793718772305E-3</v>
      </c>
      <c r="AT107" s="224">
        <v>5.7102069950035689E-3</v>
      </c>
      <c r="AU107" s="224">
        <v>1.4275517487508922E-3</v>
      </c>
      <c r="AV107" s="224">
        <v>1.4275517487508922E-2</v>
      </c>
      <c r="AW107" s="224">
        <v>9.9928622412562458E-3</v>
      </c>
      <c r="AX107" s="224">
        <v>4.2826552462526769E-3</v>
      </c>
      <c r="AY107" s="224">
        <v>2.8551034975017845E-3</v>
      </c>
      <c r="AZ107" s="224">
        <v>1.4275517487508922E-3</v>
      </c>
      <c r="BA107" s="224">
        <v>0</v>
      </c>
      <c r="BB107" s="224">
        <v>0</v>
      </c>
      <c r="BC107" s="224">
        <v>2.7123483226266953E-2</v>
      </c>
      <c r="BD107" s="224">
        <v>1.6416845110635261E-2</v>
      </c>
      <c r="BE107" s="224">
        <v>1.7844396859386154E-2</v>
      </c>
      <c r="BF107" s="224">
        <v>5.7102069950035689E-3</v>
      </c>
      <c r="BG107" s="224">
        <v>1.3561741613133477E-2</v>
      </c>
      <c r="BH107" s="224">
        <v>2.569593147751606E-2</v>
      </c>
      <c r="BI107" s="224">
        <v>8.5653104925053538E-3</v>
      </c>
      <c r="BJ107" s="224">
        <v>1.4275517487508922E-3</v>
      </c>
      <c r="BK107" s="224">
        <v>9.9928622412562458E-3</v>
      </c>
      <c r="BL107" s="224">
        <v>5.7102069950035689E-3</v>
      </c>
      <c r="BM107" s="224">
        <v>1.2134189864382585E-2</v>
      </c>
      <c r="BN107" s="224">
        <v>1.0706638115631691E-2</v>
      </c>
      <c r="BO107" s="224">
        <v>1.7130620985010708E-2</v>
      </c>
      <c r="BP107" s="224">
        <v>1.7130620985010708E-2</v>
      </c>
      <c r="BQ107" s="224">
        <v>1.2134189864382585E-2</v>
      </c>
      <c r="BR107" s="224">
        <v>1.0706638115631691E-2</v>
      </c>
      <c r="BS107" s="224">
        <v>1.2134189864382585E-2</v>
      </c>
      <c r="BT107" s="224">
        <v>0</v>
      </c>
      <c r="BU107" s="224">
        <v>1.4275517487508922E-2</v>
      </c>
      <c r="BV107" s="224">
        <v>1.4275517487508922E-2</v>
      </c>
      <c r="BW107" s="224">
        <v>1.284796573875803E-2</v>
      </c>
      <c r="BX107" s="224">
        <v>1.0706638115631691E-2</v>
      </c>
      <c r="BY107" s="224">
        <v>1.2134189864382585E-2</v>
      </c>
      <c r="BZ107" s="224">
        <v>1.0706638115631691E-2</v>
      </c>
      <c r="CA107" s="224">
        <v>1.0706638115631691E-2</v>
      </c>
      <c r="CB107" s="224">
        <v>9.9928622412562458E-3</v>
      </c>
      <c r="CC107" s="224">
        <v>1.2134189864382585E-2</v>
      </c>
      <c r="CD107" s="224">
        <v>9.9928622412562458E-3</v>
      </c>
      <c r="CE107" s="224">
        <v>0</v>
      </c>
      <c r="CF107" s="224">
        <v>5.7102069950035687E-2</v>
      </c>
      <c r="CG107" s="224">
        <v>1.2134189864382585E-2</v>
      </c>
      <c r="CH107" s="224">
        <v>0</v>
      </c>
      <c r="CI107" s="224">
        <v>0</v>
      </c>
      <c r="CJ107" s="224">
        <v>0</v>
      </c>
      <c r="CK107" s="224">
        <v>0</v>
      </c>
      <c r="CL107" s="224">
        <v>0</v>
      </c>
      <c r="CM107" s="224">
        <v>0</v>
      </c>
      <c r="CN107" s="224">
        <v>0</v>
      </c>
      <c r="CO107" s="224">
        <v>0</v>
      </c>
      <c r="CP107" s="224">
        <v>0</v>
      </c>
      <c r="CQ107" s="224">
        <v>0</v>
      </c>
      <c r="CR107" s="224">
        <v>0</v>
      </c>
      <c r="CS107" s="224">
        <v>0</v>
      </c>
      <c r="CT107" s="224">
        <v>0</v>
      </c>
      <c r="CU107" s="224">
        <v>0</v>
      </c>
      <c r="CV107" s="224">
        <v>0</v>
      </c>
      <c r="CW107" s="224">
        <v>0</v>
      </c>
      <c r="CX107" s="224">
        <v>0</v>
      </c>
      <c r="CY107" s="224">
        <v>0</v>
      </c>
      <c r="CZ107" s="224">
        <v>0</v>
      </c>
      <c r="DA107" s="224">
        <v>0</v>
      </c>
      <c r="DB107" s="224">
        <v>0</v>
      </c>
      <c r="DC107" s="224">
        <v>0</v>
      </c>
      <c r="DD107" s="224">
        <v>0</v>
      </c>
      <c r="DE107" s="224">
        <v>0</v>
      </c>
      <c r="DF107" s="224">
        <v>0</v>
      </c>
      <c r="DG107" s="224">
        <v>0</v>
      </c>
      <c r="DH107" s="224">
        <v>0</v>
      </c>
      <c r="DI107" s="224">
        <v>0</v>
      </c>
      <c r="DJ107" s="224">
        <v>0</v>
      </c>
      <c r="DK107" s="224">
        <v>0</v>
      </c>
      <c r="DL107" s="224">
        <v>0</v>
      </c>
      <c r="DM107" s="224">
        <v>0</v>
      </c>
      <c r="DN107" s="224">
        <v>0</v>
      </c>
      <c r="DO107" s="224">
        <v>0</v>
      </c>
      <c r="DP107" s="224">
        <v>0</v>
      </c>
      <c r="DQ107" s="224">
        <f t="shared" si="1"/>
        <v>0.99999999999999989</v>
      </c>
    </row>
    <row r="108" spans="1:121" x14ac:dyDescent="0.3">
      <c r="A108" s="223" t="s">
        <v>1206</v>
      </c>
      <c r="B108" s="223" t="s">
        <v>1189</v>
      </c>
      <c r="C108" s="223" t="s">
        <v>1092</v>
      </c>
      <c r="D108" s="223" t="s">
        <v>21</v>
      </c>
      <c r="E108" s="223" t="s">
        <v>27</v>
      </c>
      <c r="F108" s="224">
        <v>0.29623438823379694</v>
      </c>
      <c r="G108" s="224">
        <v>2.5777944535874838E-2</v>
      </c>
      <c r="H108" s="224">
        <v>2.0865830628305538E-2</v>
      </c>
      <c r="I108" s="224">
        <v>4.4090799490200125E-3</v>
      </c>
      <c r="J108" s="224">
        <v>0</v>
      </c>
      <c r="K108" s="224">
        <v>6.5451399934102483E-3</v>
      </c>
      <c r="L108" s="224">
        <v>6.9409781238593737E-3</v>
      </c>
      <c r="M108" s="224">
        <v>4.1866929815672768E-3</v>
      </c>
      <c r="N108" s="224">
        <v>5.7249177043080005E-4</v>
      </c>
      <c r="O108" s="224">
        <v>2.2045399745100063E-3</v>
      </c>
      <c r="P108" s="224">
        <v>4.6734801165512416E-3</v>
      </c>
      <c r="Q108" s="224">
        <v>3.7143330719039392E-3</v>
      </c>
      <c r="R108" s="224">
        <v>1.1808336585719355E-3</v>
      </c>
      <c r="S108" s="224">
        <v>3.0054817868185233E-2</v>
      </c>
      <c r="T108" s="224">
        <v>1.8464670062855973E-2</v>
      </c>
      <c r="U108" s="224">
        <v>0</v>
      </c>
      <c r="V108" s="224">
        <v>5.4642267829585435E-3</v>
      </c>
      <c r="W108" s="224">
        <v>3.1811929540166949E-2</v>
      </c>
      <c r="X108" s="224">
        <v>9.2608327723611855E-3</v>
      </c>
      <c r="Y108" s="224">
        <v>1.2166837762822705E-3</v>
      </c>
      <c r="Z108" s="224">
        <v>0</v>
      </c>
      <c r="AA108" s="224">
        <v>0</v>
      </c>
      <c r="AB108" s="224">
        <v>0</v>
      </c>
      <c r="AC108" s="224">
        <v>0</v>
      </c>
      <c r="AD108" s="224">
        <v>1.8605982539001001E-3</v>
      </c>
      <c r="AE108" s="224">
        <v>9.7479695923459574E-3</v>
      </c>
      <c r="AF108" s="224">
        <v>5.467658500906674E-3</v>
      </c>
      <c r="AG108" s="224">
        <v>1.0326975113672213E-2</v>
      </c>
      <c r="AH108" s="224">
        <v>6.1047095426282416E-3</v>
      </c>
      <c r="AI108" s="224">
        <v>5.9615866000205424E-3</v>
      </c>
      <c r="AJ108" s="224">
        <v>2.0709685733324431E-2</v>
      </c>
      <c r="AK108" s="224">
        <v>9.168264701018088E-3</v>
      </c>
      <c r="AL108" s="224">
        <v>7.8730172534188878E-3</v>
      </c>
      <c r="AM108" s="224">
        <v>1.0018605982539E-3</v>
      </c>
      <c r="AN108" s="224">
        <v>1.9844850619133238E-2</v>
      </c>
      <c r="AO108" s="224">
        <v>3.2323434214285886E-2</v>
      </c>
      <c r="AP108" s="224">
        <v>2.0752826678116501E-3</v>
      </c>
      <c r="AQ108" s="224">
        <v>5.2531128511119447E-3</v>
      </c>
      <c r="AR108" s="224">
        <v>1.1382888416725257E-2</v>
      </c>
      <c r="AS108" s="224">
        <v>2.4347270166265117E-2</v>
      </c>
      <c r="AT108" s="224">
        <v>5.1814126156912747E-3</v>
      </c>
      <c r="AU108" s="224">
        <v>3.2921052082107416E-3</v>
      </c>
      <c r="AV108" s="224">
        <v>1.1007017237234018E-2</v>
      </c>
      <c r="AW108" s="224">
        <v>9.0317276660730108E-3</v>
      </c>
      <c r="AX108" s="224">
        <v>5.9687275641504452E-3</v>
      </c>
      <c r="AY108" s="224">
        <v>1.0928453565917087E-2</v>
      </c>
      <c r="AZ108" s="224">
        <v>5.1386990620846777E-3</v>
      </c>
      <c r="BA108" s="224">
        <v>0</v>
      </c>
      <c r="BB108" s="224">
        <v>1.1449835408616001E-3</v>
      </c>
      <c r="BC108" s="224">
        <v>1.2789329348050828E-2</v>
      </c>
      <c r="BD108" s="224">
        <v>3.0639915298638978E-2</v>
      </c>
      <c r="BE108" s="224">
        <v>0</v>
      </c>
      <c r="BF108" s="224">
        <v>9.0947429002997387E-3</v>
      </c>
      <c r="BG108" s="224">
        <v>0</v>
      </c>
      <c r="BH108" s="224">
        <v>0</v>
      </c>
      <c r="BI108" s="224">
        <v>0</v>
      </c>
      <c r="BJ108" s="224">
        <v>0</v>
      </c>
      <c r="BK108" s="224">
        <v>3.421223750792277E-3</v>
      </c>
      <c r="BL108" s="224">
        <v>1.1536795454058222E-2</v>
      </c>
      <c r="BM108" s="224">
        <v>1.3934312888912429E-2</v>
      </c>
      <c r="BN108" s="224">
        <v>8.6812000378004833E-3</v>
      </c>
      <c r="BO108" s="224">
        <v>1.3397671236191963E-2</v>
      </c>
      <c r="BP108" s="224">
        <v>1.1536795454058222E-2</v>
      </c>
      <c r="BQ108" s="224">
        <v>9.5937128700121863E-3</v>
      </c>
      <c r="BR108" s="224">
        <v>9.2716168670864494E-3</v>
      </c>
      <c r="BS108" s="224">
        <v>1.2492021839876521E-2</v>
      </c>
      <c r="BT108" s="224">
        <v>0</v>
      </c>
      <c r="BU108" s="224">
        <v>1.3937533194213328E-2</v>
      </c>
      <c r="BV108" s="224">
        <v>0</v>
      </c>
      <c r="BW108" s="224">
        <v>1.5208547203528382E-3</v>
      </c>
      <c r="BX108" s="224">
        <v>1.5751920060972289E-2</v>
      </c>
      <c r="BY108" s="224">
        <v>1.5439064115707779E-2</v>
      </c>
      <c r="BZ108" s="224">
        <v>1.9144434658184138E-2</v>
      </c>
      <c r="CA108" s="224">
        <v>2.0020819844451861E-2</v>
      </c>
      <c r="CB108" s="224">
        <v>1.2377608050849254E-2</v>
      </c>
      <c r="CC108" s="224">
        <v>1.3317008471343711E-2</v>
      </c>
      <c r="CD108" s="224">
        <v>1.5115146547484365E-2</v>
      </c>
      <c r="CE108" s="224">
        <v>0</v>
      </c>
      <c r="CF108" s="224">
        <v>2.4349935415098733E-2</v>
      </c>
      <c r="CG108" s="224">
        <v>3.915151849906145E-3</v>
      </c>
      <c r="CH108" s="224">
        <v>0</v>
      </c>
      <c r="CI108" s="224">
        <v>0</v>
      </c>
      <c r="CJ108" s="224">
        <v>0</v>
      </c>
      <c r="CK108" s="224">
        <v>0</v>
      </c>
      <c r="CL108" s="224">
        <v>0</v>
      </c>
      <c r="CM108" s="224">
        <v>0</v>
      </c>
      <c r="CN108" s="224">
        <v>0</v>
      </c>
      <c r="CO108" s="224">
        <v>0</v>
      </c>
      <c r="CP108" s="224">
        <v>0</v>
      </c>
      <c r="CQ108" s="224">
        <v>0</v>
      </c>
      <c r="CR108" s="224">
        <v>0</v>
      </c>
      <c r="CS108" s="224">
        <v>0</v>
      </c>
      <c r="CT108" s="224">
        <v>0</v>
      </c>
      <c r="CU108" s="224">
        <v>0</v>
      </c>
      <c r="CV108" s="224">
        <v>0</v>
      </c>
      <c r="CW108" s="224">
        <v>0</v>
      </c>
      <c r="CX108" s="224">
        <v>0</v>
      </c>
      <c r="CY108" s="224">
        <v>0</v>
      </c>
      <c r="CZ108" s="224">
        <v>0</v>
      </c>
      <c r="DA108" s="224">
        <v>0</v>
      </c>
      <c r="DB108" s="224">
        <v>0</v>
      </c>
      <c r="DC108" s="224">
        <v>0</v>
      </c>
      <c r="DD108" s="224">
        <v>0</v>
      </c>
      <c r="DE108" s="224">
        <v>0</v>
      </c>
      <c r="DF108" s="224">
        <v>0</v>
      </c>
      <c r="DG108" s="224">
        <v>0</v>
      </c>
      <c r="DH108" s="224">
        <v>0</v>
      </c>
      <c r="DI108" s="224">
        <v>0</v>
      </c>
      <c r="DJ108" s="224">
        <v>0</v>
      </c>
      <c r="DK108" s="224">
        <v>0</v>
      </c>
      <c r="DL108" s="224">
        <v>0</v>
      </c>
      <c r="DM108" s="224">
        <v>0</v>
      </c>
      <c r="DN108" s="224">
        <v>0</v>
      </c>
      <c r="DO108" s="224">
        <v>0</v>
      </c>
      <c r="DP108" s="224">
        <v>0</v>
      </c>
      <c r="DQ108" s="224">
        <f t="shared" si="1"/>
        <v>0.99999999999999978</v>
      </c>
    </row>
    <row r="109" spans="1:121" x14ac:dyDescent="0.3">
      <c r="A109" s="223" t="s">
        <v>1207</v>
      </c>
      <c r="B109" s="223" t="s">
        <v>1189</v>
      </c>
      <c r="C109" s="223" t="s">
        <v>1092</v>
      </c>
      <c r="D109" s="223" t="s">
        <v>1087</v>
      </c>
      <c r="E109" s="223" t="s">
        <v>1096</v>
      </c>
      <c r="F109" s="224">
        <v>0.15528718703976435</v>
      </c>
      <c r="G109" s="224">
        <v>7.6229749631811491E-2</v>
      </c>
      <c r="H109" s="224">
        <v>2.3151693667157584E-2</v>
      </c>
      <c r="I109" s="224">
        <v>0</v>
      </c>
      <c r="J109" s="224">
        <v>0</v>
      </c>
      <c r="K109" s="224">
        <v>9.3078055964653898E-3</v>
      </c>
      <c r="L109" s="224">
        <v>1.4786450662739323E-2</v>
      </c>
      <c r="M109" s="224">
        <v>7.6583210603829157E-3</v>
      </c>
      <c r="N109" s="224">
        <v>9.425625920471281E-4</v>
      </c>
      <c r="O109" s="224">
        <v>5.8910162002945507E-3</v>
      </c>
      <c r="P109" s="224">
        <v>3.7702503681885124E-3</v>
      </c>
      <c r="Q109" s="224">
        <v>1.6023564064801179E-2</v>
      </c>
      <c r="R109" s="224">
        <v>2.3564064801178202E-3</v>
      </c>
      <c r="S109" s="224">
        <v>1.5316642120765831E-2</v>
      </c>
      <c r="T109" s="224">
        <v>3.6288659793814432E-2</v>
      </c>
      <c r="U109" s="224">
        <v>0</v>
      </c>
      <c r="V109" s="224">
        <v>2.6156111929307807E-2</v>
      </c>
      <c r="W109" s="224">
        <v>2.0559646539027983E-2</v>
      </c>
      <c r="X109" s="224">
        <v>2.8276877761413844E-3</v>
      </c>
      <c r="Y109" s="224">
        <v>1.6494845360824743E-3</v>
      </c>
      <c r="Z109" s="224">
        <v>2.3328424153166421E-2</v>
      </c>
      <c r="AA109" s="224">
        <v>0</v>
      </c>
      <c r="AB109" s="224">
        <v>0</v>
      </c>
      <c r="AC109" s="224">
        <v>0</v>
      </c>
      <c r="AD109" s="224">
        <v>0</v>
      </c>
      <c r="AE109" s="224">
        <v>6.1266568483063326E-3</v>
      </c>
      <c r="AF109" s="224">
        <v>6.3622974963181145E-3</v>
      </c>
      <c r="AG109" s="224">
        <v>5.6553755522827688E-3</v>
      </c>
      <c r="AH109" s="224">
        <v>4.7128129602356404E-3</v>
      </c>
      <c r="AI109" s="224">
        <v>1.1782032400589101E-3</v>
      </c>
      <c r="AJ109" s="224">
        <v>3.4403534609720177E-2</v>
      </c>
      <c r="AK109" s="224">
        <v>1.2017673048600883E-2</v>
      </c>
      <c r="AL109" s="224">
        <v>6.1266568483063326E-3</v>
      </c>
      <c r="AM109" s="224">
        <v>0</v>
      </c>
      <c r="AN109" s="224">
        <v>1.7201767304860088E-2</v>
      </c>
      <c r="AO109" s="224">
        <v>4.3593519882179676E-3</v>
      </c>
      <c r="AP109" s="224">
        <v>0</v>
      </c>
      <c r="AQ109" s="224">
        <v>5.6553755522827688E-3</v>
      </c>
      <c r="AR109" s="224">
        <v>7.5405007363770248E-3</v>
      </c>
      <c r="AS109" s="224">
        <v>8.954344624447717E-3</v>
      </c>
      <c r="AT109" s="224">
        <v>2.3564064801178202E-3</v>
      </c>
      <c r="AU109" s="224">
        <v>0</v>
      </c>
      <c r="AV109" s="224">
        <v>1.8851251840942562E-3</v>
      </c>
      <c r="AW109" s="224">
        <v>9.425625920471281E-4</v>
      </c>
      <c r="AX109" s="224">
        <v>4.2415316642120766E-3</v>
      </c>
      <c r="AY109" s="224">
        <v>6.5979381443298972E-3</v>
      </c>
      <c r="AZ109" s="224">
        <v>1.4138438880706922E-3</v>
      </c>
      <c r="BA109" s="224">
        <v>0</v>
      </c>
      <c r="BB109" s="224">
        <v>2.3564064801178202E-4</v>
      </c>
      <c r="BC109" s="224">
        <v>4.0648011782032402E-2</v>
      </c>
      <c r="BD109" s="224">
        <v>2.0854197349042709E-2</v>
      </c>
      <c r="BE109" s="224">
        <v>4.3357879234167895E-2</v>
      </c>
      <c r="BF109" s="224">
        <v>1.8851251840942562E-3</v>
      </c>
      <c r="BG109" s="224">
        <v>0.20359351988217966</v>
      </c>
      <c r="BH109" s="224">
        <v>5.4904270986745211E-2</v>
      </c>
      <c r="BI109" s="224">
        <v>1.0721649484536083E-2</v>
      </c>
      <c r="BJ109" s="224">
        <v>8.954344624447717E-3</v>
      </c>
      <c r="BK109" s="224">
        <v>0</v>
      </c>
      <c r="BL109" s="224">
        <v>1.8851251840942562E-3</v>
      </c>
      <c r="BM109" s="224">
        <v>1.8851251840942562E-3</v>
      </c>
      <c r="BN109" s="224">
        <v>0</v>
      </c>
      <c r="BO109" s="224">
        <v>2.8276877761413844E-3</v>
      </c>
      <c r="BP109" s="224">
        <v>4.7128129602356405E-4</v>
      </c>
      <c r="BQ109" s="224">
        <v>4.7128129602356405E-4</v>
      </c>
      <c r="BR109" s="224">
        <v>1.4138438880706922E-3</v>
      </c>
      <c r="BS109" s="224">
        <v>1.4138438880706922E-3</v>
      </c>
      <c r="BT109" s="224">
        <v>0</v>
      </c>
      <c r="BU109" s="224">
        <v>9.6612665684830627E-3</v>
      </c>
      <c r="BV109" s="224">
        <v>0</v>
      </c>
      <c r="BW109" s="224">
        <v>9.425625920471281E-4</v>
      </c>
      <c r="BX109" s="224">
        <v>9.425625920471281E-4</v>
      </c>
      <c r="BY109" s="224">
        <v>9.425625920471281E-4</v>
      </c>
      <c r="BZ109" s="224">
        <v>3.7702503681885124E-3</v>
      </c>
      <c r="CA109" s="224">
        <v>4.7128129602356405E-4</v>
      </c>
      <c r="CB109" s="224">
        <v>4.7128129602356405E-4</v>
      </c>
      <c r="CC109" s="224">
        <v>1.4138438880706922E-3</v>
      </c>
      <c r="CD109" s="224">
        <v>1.4138438880706922E-3</v>
      </c>
      <c r="CE109" s="224">
        <v>0</v>
      </c>
      <c r="CF109" s="224">
        <v>5.184094256259205E-3</v>
      </c>
      <c r="CG109" s="224">
        <v>0</v>
      </c>
      <c r="CH109" s="224">
        <v>0</v>
      </c>
      <c r="CI109" s="224">
        <v>0</v>
      </c>
      <c r="CJ109" s="224">
        <v>0</v>
      </c>
      <c r="CK109" s="224">
        <v>0</v>
      </c>
      <c r="CL109" s="224">
        <v>0</v>
      </c>
      <c r="CM109" s="224">
        <v>0</v>
      </c>
      <c r="CN109" s="224">
        <v>0</v>
      </c>
      <c r="CO109" s="224">
        <v>0</v>
      </c>
      <c r="CP109" s="224">
        <v>0</v>
      </c>
      <c r="CQ109" s="224">
        <v>0</v>
      </c>
      <c r="CR109" s="224">
        <v>0</v>
      </c>
      <c r="CS109" s="224">
        <v>0</v>
      </c>
      <c r="CT109" s="224">
        <v>0</v>
      </c>
      <c r="CU109" s="224">
        <v>0</v>
      </c>
      <c r="CV109" s="224">
        <v>0</v>
      </c>
      <c r="CW109" s="224">
        <v>0</v>
      </c>
      <c r="CX109" s="224">
        <v>0</v>
      </c>
      <c r="CY109" s="224">
        <v>0</v>
      </c>
      <c r="CZ109" s="224">
        <v>0</v>
      </c>
      <c r="DA109" s="224">
        <v>0</v>
      </c>
      <c r="DB109" s="224">
        <v>0</v>
      </c>
      <c r="DC109" s="224">
        <v>0</v>
      </c>
      <c r="DD109" s="224">
        <v>0</v>
      </c>
      <c r="DE109" s="224">
        <v>0</v>
      </c>
      <c r="DF109" s="224">
        <v>0</v>
      </c>
      <c r="DG109" s="224">
        <v>0</v>
      </c>
      <c r="DH109" s="224">
        <v>0</v>
      </c>
      <c r="DI109" s="224">
        <v>0</v>
      </c>
      <c r="DJ109" s="224">
        <v>0</v>
      </c>
      <c r="DK109" s="224">
        <v>0</v>
      </c>
      <c r="DL109" s="224">
        <v>0</v>
      </c>
      <c r="DM109" s="224">
        <v>0</v>
      </c>
      <c r="DN109" s="224">
        <v>0</v>
      </c>
      <c r="DO109" s="224">
        <v>0</v>
      </c>
      <c r="DP109" s="224">
        <v>0</v>
      </c>
      <c r="DQ109" s="224">
        <f t="shared" si="1"/>
        <v>0.99999999999999978</v>
      </c>
    </row>
    <row r="110" spans="1:121" x14ac:dyDescent="0.3">
      <c r="A110" s="223" t="s">
        <v>1208</v>
      </c>
      <c r="B110" s="223" t="s">
        <v>1177</v>
      </c>
      <c r="F110" s="224">
        <v>0.25277750670436777</v>
      </c>
      <c r="G110" s="224">
        <v>3.4724081091668857E-2</v>
      </c>
      <c r="H110" s="224">
        <v>1.7285646674107948E-2</v>
      </c>
      <c r="I110" s="224">
        <v>1.4756488641986664E-3</v>
      </c>
      <c r="J110" s="224">
        <v>6.5784769789221462E-3</v>
      </c>
      <c r="K110" s="224">
        <v>1.1078026284225885E-2</v>
      </c>
      <c r="L110" s="224">
        <v>2.4009901944352815E-2</v>
      </c>
      <c r="M110" s="224">
        <v>1.769076282717719E-2</v>
      </c>
      <c r="N110" s="224">
        <v>2.097985337063803E-2</v>
      </c>
      <c r="O110" s="224">
        <v>1.2051335579012111E-2</v>
      </c>
      <c r="P110" s="224">
        <v>2.2828958623344253E-3</v>
      </c>
      <c r="Q110" s="224">
        <v>1.2110134507254378E-3</v>
      </c>
      <c r="R110" s="224">
        <v>0</v>
      </c>
      <c r="S110" s="224">
        <v>0</v>
      </c>
      <c r="T110" s="224">
        <v>0</v>
      </c>
      <c r="U110" s="224">
        <v>0</v>
      </c>
      <c r="V110" s="224">
        <v>6.5619842343238918E-3</v>
      </c>
      <c r="W110" s="224">
        <v>6.409619239055247E-3</v>
      </c>
      <c r="X110" s="224">
        <v>3.2659245308300157E-3</v>
      </c>
      <c r="Y110" s="224">
        <v>3.2514502334965276E-3</v>
      </c>
      <c r="Z110" s="224">
        <v>4.7149005664947723E-3</v>
      </c>
      <c r="AA110" s="224">
        <v>6.6085883323544804E-4</v>
      </c>
      <c r="AB110" s="224">
        <v>5.4609044674532167E-4</v>
      </c>
      <c r="AC110" s="224">
        <v>2.7111544526934577E-3</v>
      </c>
      <c r="AD110" s="224">
        <v>3.5953041213119146E-3</v>
      </c>
      <c r="AE110" s="224">
        <v>4.5060281069152913E-4</v>
      </c>
      <c r="AF110" s="224">
        <v>1.4845200370319087E-4</v>
      </c>
      <c r="AG110" s="224">
        <v>1.1254237166601306E-2</v>
      </c>
      <c r="AH110" s="224">
        <v>6.3569249924459162E-3</v>
      </c>
      <c r="AI110" s="224">
        <v>7.2034444332611056E-3</v>
      </c>
      <c r="AJ110" s="224">
        <v>1.4331709300861393E-2</v>
      </c>
      <c r="AK110" s="224">
        <v>5.3377628595378413E-3</v>
      </c>
      <c r="AL110" s="224">
        <v>3.0954817303117318E-3</v>
      </c>
      <c r="AM110" s="224">
        <v>3.4257638095015465E-4</v>
      </c>
      <c r="AN110" s="224">
        <v>7.210716522779965E-3</v>
      </c>
      <c r="AO110" s="224">
        <v>7.7880440879364307E-3</v>
      </c>
      <c r="AP110" s="224">
        <v>3.8698529417920372E-3</v>
      </c>
      <c r="AQ110" s="224">
        <v>6.7802442073214217E-3</v>
      </c>
      <c r="AR110" s="224">
        <v>2.6764437590633084E-3</v>
      </c>
      <c r="AS110" s="224">
        <v>3.1503331028268538E-3</v>
      </c>
      <c r="AT110" s="224">
        <v>1.2995502700050379E-3</v>
      </c>
      <c r="AU110" s="224">
        <v>6.1875282276972086E-3</v>
      </c>
      <c r="AV110" s="224">
        <v>2.0293864838201813E-4</v>
      </c>
      <c r="AW110" s="224">
        <v>1.7898020933041368E-4</v>
      </c>
      <c r="AX110" s="224">
        <v>1.0020106306761865E-2</v>
      </c>
      <c r="AY110" s="224">
        <v>9.0908561109667337E-3</v>
      </c>
      <c r="AZ110" s="224">
        <v>4.1041572683810377E-3</v>
      </c>
      <c r="BA110" s="224">
        <v>4.239283557340174E-3</v>
      </c>
      <c r="BB110" s="224">
        <v>1.2263805660430785E-3</v>
      </c>
      <c r="BC110" s="224">
        <v>1.6549739728631187E-2</v>
      </c>
      <c r="BD110" s="224">
        <v>3.8425816552623913E-2</v>
      </c>
      <c r="BE110" s="224">
        <v>1.7176417352623048E-2</v>
      </c>
      <c r="BF110" s="224">
        <v>8.6756863124949311E-3</v>
      </c>
      <c r="BG110" s="224">
        <v>9.0139806537675084E-3</v>
      </c>
      <c r="BH110" s="224">
        <v>8.2852926596202071E-3</v>
      </c>
      <c r="BI110" s="224">
        <v>2.8148895720827342E-3</v>
      </c>
      <c r="BJ110" s="224">
        <v>3.9029157395602987E-3</v>
      </c>
      <c r="BK110" s="224">
        <v>2.9508963571297309E-3</v>
      </c>
      <c r="BL110" s="224">
        <v>3.8083364927786302E-3</v>
      </c>
      <c r="BM110" s="224">
        <v>6.3129942966525781E-3</v>
      </c>
      <c r="BN110" s="224">
        <v>3.3576064680560583E-3</v>
      </c>
      <c r="BO110" s="224">
        <v>1.8323240170217119E-3</v>
      </c>
      <c r="BP110" s="224">
        <v>0</v>
      </c>
      <c r="BQ110" s="224">
        <v>2.3924338317648209E-4</v>
      </c>
      <c r="BR110" s="224">
        <v>2.1387612506764066E-3</v>
      </c>
      <c r="BS110" s="224">
        <v>2.1038485431588375E-3</v>
      </c>
      <c r="BT110" s="224">
        <v>3.6971094838593728E-3</v>
      </c>
      <c r="BU110" s="224">
        <v>1.7124035631953985E-2</v>
      </c>
      <c r="BV110" s="224">
        <v>3.718841730175013E-3</v>
      </c>
      <c r="BW110" s="224">
        <v>3.4974008422099068E-3</v>
      </c>
      <c r="BX110" s="224">
        <v>8.0720137754404474E-3</v>
      </c>
      <c r="BY110" s="224">
        <v>4.7334029277180719E-3</v>
      </c>
      <c r="BZ110" s="224">
        <v>1.8616636653682021E-3</v>
      </c>
      <c r="CA110" s="224">
        <v>0</v>
      </c>
      <c r="CB110" s="224">
        <v>2.0946634888895321E-4</v>
      </c>
      <c r="CC110" s="224">
        <v>3.0751839035019191E-3</v>
      </c>
      <c r="CD110" s="224">
        <v>2.6787241767107866E-3</v>
      </c>
      <c r="CE110" s="224">
        <v>3.5130086710926114E-3</v>
      </c>
      <c r="CF110" s="224">
        <v>3.0164072721884372E-2</v>
      </c>
      <c r="CG110" s="224">
        <v>4.7145885046467276E-3</v>
      </c>
      <c r="CH110" s="224">
        <v>1.1066057319610181E-2</v>
      </c>
      <c r="CI110" s="224">
        <v>5.9178464399509065E-3</v>
      </c>
      <c r="CJ110" s="224">
        <v>1.7067516490865096E-2</v>
      </c>
      <c r="CK110" s="224">
        <v>7.7144645751287275E-3</v>
      </c>
      <c r="CL110" s="224">
        <v>4.4826258642258355E-3</v>
      </c>
      <c r="CM110" s="224">
        <v>7.4172110718049005E-3</v>
      </c>
      <c r="CN110" s="224">
        <v>6.0162581337131066E-3</v>
      </c>
      <c r="CO110" s="224">
        <v>5.6827397251256401E-3</v>
      </c>
      <c r="CP110" s="224">
        <v>6.2233340470407378E-2</v>
      </c>
      <c r="CQ110" s="224">
        <v>3.0114274328819138E-2</v>
      </c>
      <c r="CR110" s="224">
        <v>1.6101100635768591E-2</v>
      </c>
      <c r="CS110" s="224">
        <v>3.5669761559287516E-3</v>
      </c>
      <c r="CT110" s="224">
        <v>1.9135235382231005E-3</v>
      </c>
      <c r="CU110" s="224">
        <v>3.9830345755370693E-3</v>
      </c>
      <c r="CV110" s="224">
        <v>4.6681477437808599E-3</v>
      </c>
      <c r="CW110" s="224">
        <v>1.8823350086590916E-3</v>
      </c>
      <c r="CX110" s="224">
        <v>2.2394830591904885E-3</v>
      </c>
      <c r="CY110" s="224">
        <v>1.3591092670126282E-3</v>
      </c>
      <c r="CZ110" s="224">
        <v>1.2316342654508459E-3</v>
      </c>
      <c r="DA110" s="224">
        <v>5.2924969212100334E-3</v>
      </c>
      <c r="DB110" s="224">
        <v>3.0470332132853644E-3</v>
      </c>
      <c r="DC110" s="224">
        <v>5.270551794414346E-3</v>
      </c>
      <c r="DD110" s="224">
        <v>4.90971178467502E-3</v>
      </c>
      <c r="DE110" s="224">
        <v>2.4072388364815059E-3</v>
      </c>
      <c r="DF110" s="224">
        <v>4.2821737119467023E-3</v>
      </c>
      <c r="DG110" s="224">
        <v>2.2227507772123898E-3</v>
      </c>
      <c r="DH110" s="224">
        <v>1.9447454861691795E-3</v>
      </c>
      <c r="DI110" s="224">
        <v>5.5182349501565206E-4</v>
      </c>
      <c r="DJ110" s="224">
        <v>1.6278301290478076E-3</v>
      </c>
      <c r="DK110" s="224">
        <v>5.9084310266776978E-3</v>
      </c>
      <c r="DL110" s="224">
        <v>2.8202286362477434E-3</v>
      </c>
      <c r="DM110" s="224">
        <v>0</v>
      </c>
      <c r="DN110" s="224">
        <v>0</v>
      </c>
      <c r="DO110" s="224">
        <v>0</v>
      </c>
      <c r="DP110" s="224">
        <v>0</v>
      </c>
      <c r="DQ110" s="224">
        <f t="shared" si="1"/>
        <v>1</v>
      </c>
    </row>
    <row r="111" spans="1:121" x14ac:dyDescent="0.3">
      <c r="A111" s="223" t="s">
        <v>1209</v>
      </c>
      <c r="B111" s="223" t="s">
        <v>1189</v>
      </c>
      <c r="F111" s="224">
        <v>0.12263879521998755</v>
      </c>
      <c r="G111" s="224">
        <v>5.3405356600328815E-2</v>
      </c>
      <c r="H111" s="224">
        <v>2.2274541604746085E-2</v>
      </c>
      <c r="I111" s="224">
        <v>4.3106811510833449E-3</v>
      </c>
      <c r="J111" s="224">
        <v>7.3570318082315138E-3</v>
      </c>
      <c r="K111" s="224">
        <v>1.3624564681928868E-2</v>
      </c>
      <c r="L111" s="224">
        <v>2.4644451489711706E-2</v>
      </c>
      <c r="M111" s="224">
        <v>6.0371235099018821E-3</v>
      </c>
      <c r="N111" s="224">
        <v>7.981137989590853E-3</v>
      </c>
      <c r="O111" s="224">
        <v>8.8320469356134197E-3</v>
      </c>
      <c r="P111" s="224">
        <v>1.4714846548974812E-2</v>
      </c>
      <c r="Q111" s="224">
        <v>1.2485594731197548E-2</v>
      </c>
      <c r="R111" s="224">
        <v>4.5228391061976391E-3</v>
      </c>
      <c r="S111" s="224">
        <v>2.34348965613266E-2</v>
      </c>
      <c r="T111" s="224">
        <v>2.1570290890568698E-2</v>
      </c>
      <c r="U111" s="224">
        <v>3.369476463281001E-3</v>
      </c>
      <c r="V111" s="224">
        <v>1.0764840587722441E-2</v>
      </c>
      <c r="W111" s="224">
        <v>1.9719258626677734E-2</v>
      </c>
      <c r="X111" s="224">
        <v>8.6850417132311626E-3</v>
      </c>
      <c r="Y111" s="224">
        <v>8.25891515268482E-3</v>
      </c>
      <c r="Z111" s="224">
        <v>1.0837807138124624E-2</v>
      </c>
      <c r="AA111" s="224">
        <v>1.2329290005746226E-3</v>
      </c>
      <c r="AB111" s="224">
        <v>2.5520106643939287E-3</v>
      </c>
      <c r="AC111" s="224">
        <v>8.2015556129668623E-3</v>
      </c>
      <c r="AD111" s="224">
        <v>6.8097192989713517E-3</v>
      </c>
      <c r="AE111" s="224">
        <v>1.055979205523719E-2</v>
      </c>
      <c r="AF111" s="224">
        <v>6.4733973769065759E-3</v>
      </c>
      <c r="AG111" s="224">
        <v>1.7128412718993367E-2</v>
      </c>
      <c r="AH111" s="224">
        <v>1.1383653864586837E-2</v>
      </c>
      <c r="AI111" s="224">
        <v>1.2129180010214796E-2</v>
      </c>
      <c r="AJ111" s="224">
        <v>3.1356697622085428E-2</v>
      </c>
      <c r="AK111" s="224">
        <v>6.9656122735603752E-3</v>
      </c>
      <c r="AL111" s="224">
        <v>6.3020566234822141E-3</v>
      </c>
      <c r="AM111" s="224">
        <v>3.9014529733246263E-3</v>
      </c>
      <c r="AN111" s="224">
        <v>1.9082533144142228E-2</v>
      </c>
      <c r="AO111" s="224">
        <v>1.7623203835949557E-2</v>
      </c>
      <c r="AP111" s="224">
        <v>5.5274830734495326E-3</v>
      </c>
      <c r="AQ111" s="224">
        <v>7.9814335466938408E-3</v>
      </c>
      <c r="AR111" s="224">
        <v>2.8671518694038785E-2</v>
      </c>
      <c r="AS111" s="224">
        <v>3.1192314582334998E-2</v>
      </c>
      <c r="AT111" s="224">
        <v>1.0982566459306994E-2</v>
      </c>
      <c r="AU111" s="224">
        <v>2.673830693970332E-3</v>
      </c>
      <c r="AV111" s="224">
        <v>1.2852329997909815E-2</v>
      </c>
      <c r="AW111" s="224">
        <v>1.3665760759177125E-2</v>
      </c>
      <c r="AX111" s="224">
        <v>1.2742111373138281E-2</v>
      </c>
      <c r="AY111" s="224">
        <v>2.1651129793708604E-2</v>
      </c>
      <c r="AZ111" s="224">
        <v>9.1381498695015176E-3</v>
      </c>
      <c r="BA111" s="224">
        <v>3.7636025017756037E-3</v>
      </c>
      <c r="BB111" s="224">
        <v>2.6166407926295188E-3</v>
      </c>
      <c r="BC111" s="224">
        <v>2.5368900192472888E-2</v>
      </c>
      <c r="BD111" s="224">
        <v>4.5582310902799565E-2</v>
      </c>
      <c r="BE111" s="224">
        <v>1.7000200783441374E-2</v>
      </c>
      <c r="BF111" s="224">
        <v>1.4198800705347353E-2</v>
      </c>
      <c r="BG111" s="224">
        <v>1.426444436146777E-2</v>
      </c>
      <c r="BH111" s="224">
        <v>1.5300464588737366E-2</v>
      </c>
      <c r="BI111" s="224">
        <v>4.2793029861226978E-3</v>
      </c>
      <c r="BJ111" s="224">
        <v>4.9111787920909896E-3</v>
      </c>
      <c r="BK111" s="224">
        <v>2.5209441101081286E-3</v>
      </c>
      <c r="BL111" s="224">
        <v>4.340618081380942E-3</v>
      </c>
      <c r="BM111" s="224">
        <v>7.0193278527980211E-3</v>
      </c>
      <c r="BN111" s="224">
        <v>5.4653986225490355E-3</v>
      </c>
      <c r="BO111" s="224">
        <v>8.5820694351950999E-3</v>
      </c>
      <c r="BP111" s="224">
        <v>5.0421213138120867E-3</v>
      </c>
      <c r="BQ111" s="224">
        <v>3.9043539420183541E-3</v>
      </c>
      <c r="BR111" s="224">
        <v>4.0022916214601349E-3</v>
      </c>
      <c r="BS111" s="224">
        <v>4.5965605586745645E-3</v>
      </c>
      <c r="BT111" s="224">
        <v>2.0357674271653599E-3</v>
      </c>
      <c r="BU111" s="224">
        <v>1.0995056859579102E-2</v>
      </c>
      <c r="BV111" s="224">
        <v>3.3697502878963868E-3</v>
      </c>
      <c r="BW111" s="224">
        <v>2.8926564665283632E-3</v>
      </c>
      <c r="BX111" s="224">
        <v>7.5560246643462947E-3</v>
      </c>
      <c r="BY111" s="224">
        <v>5.8024482756180301E-3</v>
      </c>
      <c r="BZ111" s="224">
        <v>8.8646057711031651E-3</v>
      </c>
      <c r="CA111" s="224">
        <v>5.2052075703555058E-3</v>
      </c>
      <c r="CB111" s="224">
        <v>4.3066342956149493E-3</v>
      </c>
      <c r="CC111" s="224">
        <v>4.5569749742468448E-3</v>
      </c>
      <c r="CD111" s="224">
        <v>5.2166404629877304E-3</v>
      </c>
      <c r="CE111" s="224">
        <v>2.0376227265874931E-3</v>
      </c>
      <c r="CF111" s="224">
        <v>1.3685468189510013E-2</v>
      </c>
      <c r="CG111" s="224">
        <v>1.8556447998543963E-3</v>
      </c>
      <c r="CH111" s="224">
        <v>2.4589055411436368E-4</v>
      </c>
      <c r="CI111" s="224">
        <v>6.147263852859092E-5</v>
      </c>
      <c r="CJ111" s="224">
        <v>6.147263852859092E-5</v>
      </c>
      <c r="CK111" s="224">
        <v>0</v>
      </c>
      <c r="CL111" s="224">
        <v>0</v>
      </c>
      <c r="CM111" s="224">
        <v>0</v>
      </c>
      <c r="CN111" s="224">
        <v>0</v>
      </c>
      <c r="CO111" s="224">
        <v>1.8211111767949711E-4</v>
      </c>
      <c r="CP111" s="224">
        <v>0</v>
      </c>
      <c r="CQ111" s="224">
        <v>0</v>
      </c>
      <c r="CR111" s="224">
        <v>5.8643705142801613E-5</v>
      </c>
      <c r="CS111" s="224">
        <v>0</v>
      </c>
      <c r="CT111" s="224">
        <v>0</v>
      </c>
      <c r="CU111" s="224">
        <v>0</v>
      </c>
      <c r="CV111" s="224">
        <v>0</v>
      </c>
      <c r="CW111" s="224">
        <v>0</v>
      </c>
      <c r="CX111" s="224">
        <v>0</v>
      </c>
      <c r="CY111" s="224">
        <v>0</v>
      </c>
      <c r="CZ111" s="224">
        <v>0</v>
      </c>
      <c r="DA111" s="224">
        <v>0</v>
      </c>
      <c r="DB111" s="224">
        <v>0</v>
      </c>
      <c r="DC111" s="224">
        <v>0</v>
      </c>
      <c r="DD111" s="224">
        <v>0</v>
      </c>
      <c r="DE111" s="224">
        <v>0</v>
      </c>
      <c r="DF111" s="224">
        <v>0</v>
      </c>
      <c r="DG111" s="224">
        <v>0</v>
      </c>
      <c r="DH111" s="224">
        <v>0</v>
      </c>
      <c r="DI111" s="224">
        <v>0</v>
      </c>
      <c r="DJ111" s="224">
        <v>0</v>
      </c>
      <c r="DK111" s="224">
        <v>0</v>
      </c>
      <c r="DL111" s="224">
        <v>0</v>
      </c>
      <c r="DM111" s="224">
        <v>0</v>
      </c>
      <c r="DN111" s="224">
        <v>0</v>
      </c>
      <c r="DO111" s="224">
        <v>0</v>
      </c>
      <c r="DP111" s="224">
        <v>0</v>
      </c>
      <c r="DQ111" s="224">
        <f t="shared" si="1"/>
        <v>1.0000000000000004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1996-1274-4F2F-8F8C-BCBAE5067825}">
  <sheetPr codeName="Sheet17">
    <tabColor theme="0" tint="-0.499984740745262"/>
  </sheetPr>
  <dimension ref="A1:G2353"/>
  <sheetViews>
    <sheetView workbookViewId="0">
      <selection activeCell="G11" sqref="G11"/>
    </sheetView>
  </sheetViews>
  <sheetFormatPr defaultColWidth="9" defaultRowHeight="13.5" x14ac:dyDescent="0.3"/>
  <cols>
    <col min="1" max="1" width="5.5" style="223" bestFit="1" customWidth="1"/>
    <col min="2" max="2" width="13" style="223" bestFit="1" customWidth="1"/>
    <col min="3" max="3" width="35.5" style="223" bestFit="1" customWidth="1"/>
    <col min="4" max="4" width="14.125" style="223" bestFit="1" customWidth="1"/>
    <col min="5" max="5" width="15.25" style="223" bestFit="1" customWidth="1"/>
    <col min="6" max="6" width="18.875" style="223" bestFit="1" customWidth="1"/>
    <col min="7" max="7" width="9.125" style="223" customWidth="1"/>
    <col min="8" max="16384" width="9" style="223"/>
  </cols>
  <sheetData>
    <row r="1" spans="1:7" x14ac:dyDescent="0.3">
      <c r="A1" s="223" t="s">
        <v>1210</v>
      </c>
      <c r="B1" s="223" t="s">
        <v>1211</v>
      </c>
      <c r="C1" s="223" t="s">
        <v>1212</v>
      </c>
      <c r="D1" s="223" t="s">
        <v>1213</v>
      </c>
      <c r="E1" s="223" t="s">
        <v>1214</v>
      </c>
      <c r="F1" s="223" t="s">
        <v>1215</v>
      </c>
      <c r="G1" s="223" t="s">
        <v>1216</v>
      </c>
    </row>
    <row r="2" spans="1:7" x14ac:dyDescent="0.3">
      <c r="A2" s="223">
        <v>1</v>
      </c>
      <c r="B2" s="223" t="s">
        <v>1085</v>
      </c>
      <c r="C2" s="223" t="s">
        <v>1217</v>
      </c>
      <c r="D2" s="223" t="s">
        <v>1218</v>
      </c>
      <c r="E2" s="223" t="s">
        <v>1087</v>
      </c>
      <c r="F2" s="223" t="s">
        <v>1093</v>
      </c>
      <c r="G2" s="223" t="s">
        <v>1091</v>
      </c>
    </row>
    <row r="3" spans="1:7" x14ac:dyDescent="0.3">
      <c r="A3" s="223">
        <v>2</v>
      </c>
      <c r="B3" s="223" t="s">
        <v>1085</v>
      </c>
      <c r="C3" s="223" t="s">
        <v>1217</v>
      </c>
      <c r="D3" s="223" t="s">
        <v>1218</v>
      </c>
      <c r="E3" s="223" t="s">
        <v>1087</v>
      </c>
      <c r="F3" s="223" t="s">
        <v>27</v>
      </c>
      <c r="G3" s="223" t="s">
        <v>1098</v>
      </c>
    </row>
    <row r="4" spans="1:7" x14ac:dyDescent="0.3">
      <c r="A4" s="223">
        <v>3</v>
      </c>
      <c r="B4" s="223" t="s">
        <v>1085</v>
      </c>
      <c r="C4" s="223" t="s">
        <v>1217</v>
      </c>
      <c r="D4" s="223" t="s">
        <v>1218</v>
      </c>
      <c r="E4" s="223" t="s">
        <v>1087</v>
      </c>
      <c r="F4" s="223" t="s">
        <v>1096</v>
      </c>
      <c r="G4" s="223" t="s">
        <v>1207</v>
      </c>
    </row>
    <row r="5" spans="1:7" x14ac:dyDescent="0.3">
      <c r="A5" s="223">
        <v>4</v>
      </c>
      <c r="B5" s="223" t="s">
        <v>1085</v>
      </c>
      <c r="C5" s="223" t="s">
        <v>1217</v>
      </c>
      <c r="D5" s="223" t="s">
        <v>1218</v>
      </c>
      <c r="E5" s="223" t="s">
        <v>1087</v>
      </c>
      <c r="F5" s="223" t="s">
        <v>1090</v>
      </c>
      <c r="G5" s="223" t="s">
        <v>1219</v>
      </c>
    </row>
    <row r="6" spans="1:7" x14ac:dyDescent="0.3">
      <c r="A6" s="223">
        <v>5</v>
      </c>
      <c r="B6" s="223" t="s">
        <v>1085</v>
      </c>
      <c r="C6" s="223" t="s">
        <v>1217</v>
      </c>
      <c r="D6" s="223" t="s">
        <v>1218</v>
      </c>
      <c r="E6" s="223" t="s">
        <v>21</v>
      </c>
      <c r="F6" s="223" t="s">
        <v>1093</v>
      </c>
      <c r="G6" s="223" t="s">
        <v>1219</v>
      </c>
    </row>
    <row r="7" spans="1:7" x14ac:dyDescent="0.3">
      <c r="A7" s="223">
        <v>6</v>
      </c>
      <c r="B7" s="223" t="s">
        <v>1085</v>
      </c>
      <c r="C7" s="223" t="s">
        <v>1217</v>
      </c>
      <c r="D7" s="223" t="s">
        <v>1218</v>
      </c>
      <c r="E7" s="223" t="s">
        <v>21</v>
      </c>
      <c r="F7" s="223" t="s">
        <v>27</v>
      </c>
      <c r="G7" s="223" t="s">
        <v>1108</v>
      </c>
    </row>
    <row r="8" spans="1:7" x14ac:dyDescent="0.3">
      <c r="A8" s="223">
        <v>7</v>
      </c>
      <c r="B8" s="223" t="s">
        <v>1085</v>
      </c>
      <c r="C8" s="223" t="s">
        <v>1217</v>
      </c>
      <c r="D8" s="223" t="s">
        <v>1218</v>
      </c>
      <c r="E8" s="223" t="s">
        <v>21</v>
      </c>
      <c r="F8" s="223" t="s">
        <v>1096</v>
      </c>
      <c r="G8" s="223" t="s">
        <v>1194</v>
      </c>
    </row>
    <row r="9" spans="1:7" x14ac:dyDescent="0.3">
      <c r="A9" s="223">
        <v>8</v>
      </c>
      <c r="B9" s="223" t="s">
        <v>1085</v>
      </c>
      <c r="C9" s="223" t="s">
        <v>1217</v>
      </c>
      <c r="D9" s="223" t="s">
        <v>1218</v>
      </c>
      <c r="E9" s="223" t="s">
        <v>21</v>
      </c>
      <c r="F9" s="223" t="s">
        <v>1090</v>
      </c>
      <c r="G9" s="223" t="s">
        <v>1219</v>
      </c>
    </row>
    <row r="10" spans="1:7" x14ac:dyDescent="0.3">
      <c r="A10" s="223">
        <v>9</v>
      </c>
      <c r="B10" s="223" t="s">
        <v>1085</v>
      </c>
      <c r="C10" s="223" t="s">
        <v>1217</v>
      </c>
      <c r="D10" s="223" t="s">
        <v>1220</v>
      </c>
      <c r="E10" s="223" t="s">
        <v>1087</v>
      </c>
      <c r="F10" s="223" t="s">
        <v>1093</v>
      </c>
      <c r="G10" s="223" t="s">
        <v>1091</v>
      </c>
    </row>
    <row r="11" spans="1:7" x14ac:dyDescent="0.3">
      <c r="A11" s="223">
        <v>10</v>
      </c>
      <c r="B11" s="223" t="s">
        <v>1085</v>
      </c>
      <c r="C11" s="223" t="s">
        <v>1217</v>
      </c>
      <c r="D11" s="223" t="s">
        <v>1220</v>
      </c>
      <c r="E11" s="223" t="s">
        <v>1087</v>
      </c>
      <c r="F11" s="223" t="s">
        <v>27</v>
      </c>
      <c r="G11" s="223" t="s">
        <v>1098</v>
      </c>
    </row>
    <row r="12" spans="1:7" x14ac:dyDescent="0.3">
      <c r="A12" s="223">
        <v>11</v>
      </c>
      <c r="B12" s="223" t="s">
        <v>1085</v>
      </c>
      <c r="C12" s="223" t="s">
        <v>1217</v>
      </c>
      <c r="D12" s="223" t="s">
        <v>1220</v>
      </c>
      <c r="E12" s="223" t="s">
        <v>1087</v>
      </c>
      <c r="F12" s="223" t="s">
        <v>1096</v>
      </c>
      <c r="G12" s="223" t="s">
        <v>1207</v>
      </c>
    </row>
    <row r="13" spans="1:7" x14ac:dyDescent="0.3">
      <c r="A13" s="223">
        <v>12</v>
      </c>
      <c r="B13" s="223" t="s">
        <v>1085</v>
      </c>
      <c r="C13" s="223" t="s">
        <v>1217</v>
      </c>
      <c r="D13" s="223" t="s">
        <v>1220</v>
      </c>
      <c r="E13" s="223" t="s">
        <v>1087</v>
      </c>
      <c r="F13" s="223" t="s">
        <v>1090</v>
      </c>
      <c r="G13" s="223" t="s">
        <v>1219</v>
      </c>
    </row>
    <row r="14" spans="1:7" x14ac:dyDescent="0.3">
      <c r="A14" s="223">
        <v>13</v>
      </c>
      <c r="B14" s="223" t="s">
        <v>1085</v>
      </c>
      <c r="C14" s="223" t="s">
        <v>1217</v>
      </c>
      <c r="D14" s="223" t="s">
        <v>1220</v>
      </c>
      <c r="E14" s="223" t="s">
        <v>21</v>
      </c>
      <c r="F14" s="223" t="s">
        <v>1093</v>
      </c>
      <c r="G14" s="223" t="s">
        <v>1219</v>
      </c>
    </row>
    <row r="15" spans="1:7" x14ac:dyDescent="0.3">
      <c r="A15" s="223">
        <v>14</v>
      </c>
      <c r="B15" s="223" t="s">
        <v>1085</v>
      </c>
      <c r="C15" s="223" t="s">
        <v>1217</v>
      </c>
      <c r="D15" s="223" t="s">
        <v>1220</v>
      </c>
      <c r="E15" s="223" t="s">
        <v>21</v>
      </c>
      <c r="F15" s="223" t="s">
        <v>27</v>
      </c>
      <c r="G15" s="223" t="s">
        <v>1108</v>
      </c>
    </row>
    <row r="16" spans="1:7" x14ac:dyDescent="0.3">
      <c r="A16" s="223">
        <v>15</v>
      </c>
      <c r="B16" s="223" t="s">
        <v>1085</v>
      </c>
      <c r="C16" s="223" t="s">
        <v>1217</v>
      </c>
      <c r="D16" s="223" t="s">
        <v>1220</v>
      </c>
      <c r="E16" s="223" t="s">
        <v>21</v>
      </c>
      <c r="F16" s="223" t="s">
        <v>1096</v>
      </c>
      <c r="G16" s="223" t="s">
        <v>1194</v>
      </c>
    </row>
    <row r="17" spans="1:7" x14ac:dyDescent="0.3">
      <c r="A17" s="223">
        <v>16</v>
      </c>
      <c r="B17" s="223" t="s">
        <v>1085</v>
      </c>
      <c r="C17" s="223" t="s">
        <v>1217</v>
      </c>
      <c r="D17" s="223" t="s">
        <v>1220</v>
      </c>
      <c r="E17" s="223" t="s">
        <v>21</v>
      </c>
      <c r="F17" s="223" t="s">
        <v>1090</v>
      </c>
      <c r="G17" s="223" t="s">
        <v>1219</v>
      </c>
    </row>
    <row r="18" spans="1:7" x14ac:dyDescent="0.3">
      <c r="A18" s="223">
        <v>17</v>
      </c>
      <c r="B18" s="223" t="s">
        <v>1085</v>
      </c>
      <c r="C18" s="223" t="s">
        <v>1217</v>
      </c>
      <c r="D18" s="223" t="s">
        <v>1221</v>
      </c>
      <c r="E18" s="223" t="s">
        <v>1087</v>
      </c>
      <c r="F18" s="223" t="s">
        <v>1093</v>
      </c>
      <c r="G18" s="223" t="s">
        <v>1091</v>
      </c>
    </row>
    <row r="19" spans="1:7" x14ac:dyDescent="0.3">
      <c r="A19" s="223">
        <v>18</v>
      </c>
      <c r="B19" s="223" t="s">
        <v>1085</v>
      </c>
      <c r="C19" s="223" t="s">
        <v>1217</v>
      </c>
      <c r="D19" s="223" t="s">
        <v>1221</v>
      </c>
      <c r="E19" s="223" t="s">
        <v>1087</v>
      </c>
      <c r="F19" s="223" t="s">
        <v>27</v>
      </c>
      <c r="G19" s="223" t="s">
        <v>1098</v>
      </c>
    </row>
    <row r="20" spans="1:7" x14ac:dyDescent="0.3">
      <c r="A20" s="223">
        <v>19</v>
      </c>
      <c r="B20" s="223" t="s">
        <v>1085</v>
      </c>
      <c r="C20" s="223" t="s">
        <v>1217</v>
      </c>
      <c r="D20" s="223" t="s">
        <v>1221</v>
      </c>
      <c r="E20" s="223" t="s">
        <v>1087</v>
      </c>
      <c r="F20" s="223" t="s">
        <v>1096</v>
      </c>
      <c r="G20" s="223" t="s">
        <v>1207</v>
      </c>
    </row>
    <row r="21" spans="1:7" x14ac:dyDescent="0.3">
      <c r="A21" s="223">
        <v>20</v>
      </c>
      <c r="B21" s="223" t="s">
        <v>1085</v>
      </c>
      <c r="C21" s="223" t="s">
        <v>1217</v>
      </c>
      <c r="D21" s="223" t="s">
        <v>1221</v>
      </c>
      <c r="E21" s="223" t="s">
        <v>1087</v>
      </c>
      <c r="F21" s="223" t="s">
        <v>1090</v>
      </c>
      <c r="G21" s="223" t="s">
        <v>1219</v>
      </c>
    </row>
    <row r="22" spans="1:7" x14ac:dyDescent="0.3">
      <c r="A22" s="223">
        <v>21</v>
      </c>
      <c r="B22" s="223" t="s">
        <v>1085</v>
      </c>
      <c r="C22" s="223" t="s">
        <v>1217</v>
      </c>
      <c r="D22" s="223" t="s">
        <v>1221</v>
      </c>
      <c r="E22" s="223" t="s">
        <v>21</v>
      </c>
      <c r="F22" s="223" t="s">
        <v>1093</v>
      </c>
      <c r="G22" s="223" t="s">
        <v>1219</v>
      </c>
    </row>
    <row r="23" spans="1:7" x14ac:dyDescent="0.3">
      <c r="A23" s="223">
        <v>22</v>
      </c>
      <c r="B23" s="223" t="s">
        <v>1085</v>
      </c>
      <c r="C23" s="223" t="s">
        <v>1217</v>
      </c>
      <c r="D23" s="223" t="s">
        <v>1221</v>
      </c>
      <c r="E23" s="223" t="s">
        <v>21</v>
      </c>
      <c r="F23" s="223" t="s">
        <v>27</v>
      </c>
      <c r="G23" s="223" t="s">
        <v>1108</v>
      </c>
    </row>
    <row r="24" spans="1:7" x14ac:dyDescent="0.3">
      <c r="A24" s="223">
        <v>23</v>
      </c>
      <c r="B24" s="223" t="s">
        <v>1085</v>
      </c>
      <c r="C24" s="223" t="s">
        <v>1217</v>
      </c>
      <c r="D24" s="223" t="s">
        <v>1221</v>
      </c>
      <c r="E24" s="223" t="s">
        <v>21</v>
      </c>
      <c r="F24" s="223" t="s">
        <v>1096</v>
      </c>
      <c r="G24" s="223" t="s">
        <v>1194</v>
      </c>
    </row>
    <row r="25" spans="1:7" x14ac:dyDescent="0.3">
      <c r="A25" s="223">
        <v>24</v>
      </c>
      <c r="B25" s="223" t="s">
        <v>1085</v>
      </c>
      <c r="C25" s="223" t="s">
        <v>1217</v>
      </c>
      <c r="D25" s="223" t="s">
        <v>1221</v>
      </c>
      <c r="E25" s="223" t="s">
        <v>21</v>
      </c>
      <c r="F25" s="223" t="s">
        <v>1090</v>
      </c>
      <c r="G25" s="223" t="s">
        <v>1219</v>
      </c>
    </row>
    <row r="26" spans="1:7" x14ac:dyDescent="0.3">
      <c r="A26" s="223">
        <v>25</v>
      </c>
      <c r="B26" s="223" t="s">
        <v>1085</v>
      </c>
      <c r="C26" s="223" t="s">
        <v>1217</v>
      </c>
      <c r="D26" s="223" t="s">
        <v>1222</v>
      </c>
      <c r="E26" s="223" t="s">
        <v>1087</v>
      </c>
      <c r="F26" s="223" t="s">
        <v>1093</v>
      </c>
      <c r="G26" s="223" t="s">
        <v>1091</v>
      </c>
    </row>
    <row r="27" spans="1:7" x14ac:dyDescent="0.3">
      <c r="A27" s="223">
        <v>26</v>
      </c>
      <c r="B27" s="223" t="s">
        <v>1085</v>
      </c>
      <c r="C27" s="223" t="s">
        <v>1217</v>
      </c>
      <c r="D27" s="223" t="s">
        <v>1222</v>
      </c>
      <c r="E27" s="223" t="s">
        <v>1087</v>
      </c>
      <c r="F27" s="223" t="s">
        <v>27</v>
      </c>
      <c r="G27" s="223" t="s">
        <v>1098</v>
      </c>
    </row>
    <row r="28" spans="1:7" x14ac:dyDescent="0.3">
      <c r="A28" s="223">
        <v>27</v>
      </c>
      <c r="B28" s="223" t="s">
        <v>1085</v>
      </c>
      <c r="C28" s="223" t="s">
        <v>1217</v>
      </c>
      <c r="D28" s="223" t="s">
        <v>1222</v>
      </c>
      <c r="E28" s="223" t="s">
        <v>1087</v>
      </c>
      <c r="F28" s="223" t="s">
        <v>1096</v>
      </c>
      <c r="G28" s="223" t="s">
        <v>1207</v>
      </c>
    </row>
    <row r="29" spans="1:7" x14ac:dyDescent="0.3">
      <c r="A29" s="223">
        <v>28</v>
      </c>
      <c r="B29" s="223" t="s">
        <v>1085</v>
      </c>
      <c r="C29" s="223" t="s">
        <v>1217</v>
      </c>
      <c r="D29" s="223" t="s">
        <v>1222</v>
      </c>
      <c r="E29" s="223" t="s">
        <v>1087</v>
      </c>
      <c r="F29" s="223" t="s">
        <v>1090</v>
      </c>
      <c r="G29" s="223" t="s">
        <v>1219</v>
      </c>
    </row>
    <row r="30" spans="1:7" x14ac:dyDescent="0.3">
      <c r="A30" s="223">
        <v>29</v>
      </c>
      <c r="B30" s="223" t="s">
        <v>1085</v>
      </c>
      <c r="C30" s="223" t="s">
        <v>1217</v>
      </c>
      <c r="D30" s="223" t="s">
        <v>1222</v>
      </c>
      <c r="E30" s="223" t="s">
        <v>21</v>
      </c>
      <c r="F30" s="223" t="s">
        <v>1093</v>
      </c>
      <c r="G30" s="223" t="s">
        <v>1219</v>
      </c>
    </row>
    <row r="31" spans="1:7" x14ac:dyDescent="0.3">
      <c r="A31" s="223">
        <v>30</v>
      </c>
      <c r="B31" s="223" t="s">
        <v>1085</v>
      </c>
      <c r="C31" s="223" t="s">
        <v>1217</v>
      </c>
      <c r="D31" s="223" t="s">
        <v>1222</v>
      </c>
      <c r="E31" s="223" t="s">
        <v>21</v>
      </c>
      <c r="F31" s="223" t="s">
        <v>27</v>
      </c>
      <c r="G31" s="223" t="s">
        <v>1108</v>
      </c>
    </row>
    <row r="32" spans="1:7" x14ac:dyDescent="0.3">
      <c r="A32" s="223">
        <v>31</v>
      </c>
      <c r="B32" s="223" t="s">
        <v>1085</v>
      </c>
      <c r="C32" s="223" t="s">
        <v>1217</v>
      </c>
      <c r="D32" s="223" t="s">
        <v>1222</v>
      </c>
      <c r="E32" s="223" t="s">
        <v>21</v>
      </c>
      <c r="F32" s="223" t="s">
        <v>1096</v>
      </c>
      <c r="G32" s="223" t="s">
        <v>1194</v>
      </c>
    </row>
    <row r="33" spans="1:7" x14ac:dyDescent="0.3">
      <c r="A33" s="223">
        <v>32</v>
      </c>
      <c r="B33" s="223" t="s">
        <v>1085</v>
      </c>
      <c r="C33" s="223" t="s">
        <v>1217</v>
      </c>
      <c r="D33" s="223" t="s">
        <v>1222</v>
      </c>
      <c r="E33" s="223" t="s">
        <v>21</v>
      </c>
      <c r="F33" s="223" t="s">
        <v>1090</v>
      </c>
      <c r="G33" s="223" t="s">
        <v>1219</v>
      </c>
    </row>
    <row r="34" spans="1:7" x14ac:dyDescent="0.3">
      <c r="A34" s="223">
        <v>33</v>
      </c>
      <c r="B34" s="223" t="s">
        <v>1085</v>
      </c>
      <c r="C34" s="223" t="s">
        <v>1217</v>
      </c>
      <c r="D34" s="223" t="s">
        <v>1223</v>
      </c>
      <c r="E34" s="223" t="s">
        <v>1087</v>
      </c>
      <c r="F34" s="223" t="s">
        <v>1093</v>
      </c>
      <c r="G34" s="223" t="s">
        <v>1219</v>
      </c>
    </row>
    <row r="35" spans="1:7" x14ac:dyDescent="0.3">
      <c r="A35" s="223">
        <v>34</v>
      </c>
      <c r="B35" s="223" t="s">
        <v>1085</v>
      </c>
      <c r="C35" s="223" t="s">
        <v>1217</v>
      </c>
      <c r="D35" s="223" t="s">
        <v>1223</v>
      </c>
      <c r="E35" s="223" t="s">
        <v>1087</v>
      </c>
      <c r="F35" s="223" t="s">
        <v>27</v>
      </c>
      <c r="G35" s="223" t="s">
        <v>1219</v>
      </c>
    </row>
    <row r="36" spans="1:7" x14ac:dyDescent="0.3">
      <c r="A36" s="223">
        <v>35</v>
      </c>
      <c r="B36" s="223" t="s">
        <v>1085</v>
      </c>
      <c r="C36" s="223" t="s">
        <v>1217</v>
      </c>
      <c r="D36" s="223" t="s">
        <v>1223</v>
      </c>
      <c r="E36" s="223" t="s">
        <v>1087</v>
      </c>
      <c r="F36" s="223" t="s">
        <v>1096</v>
      </c>
      <c r="G36" s="223" t="s">
        <v>1104</v>
      </c>
    </row>
    <row r="37" spans="1:7" x14ac:dyDescent="0.3">
      <c r="A37" s="223">
        <v>36</v>
      </c>
      <c r="B37" s="223" t="s">
        <v>1085</v>
      </c>
      <c r="C37" s="223" t="s">
        <v>1217</v>
      </c>
      <c r="D37" s="223" t="s">
        <v>1223</v>
      </c>
      <c r="E37" s="223" t="s">
        <v>1087</v>
      </c>
      <c r="F37" s="223" t="s">
        <v>1090</v>
      </c>
      <c r="G37" s="223" t="s">
        <v>1190</v>
      </c>
    </row>
    <row r="38" spans="1:7" x14ac:dyDescent="0.3">
      <c r="A38" s="223">
        <v>37</v>
      </c>
      <c r="B38" s="223" t="s">
        <v>1085</v>
      </c>
      <c r="C38" s="223" t="s">
        <v>1217</v>
      </c>
      <c r="D38" s="223" t="s">
        <v>1223</v>
      </c>
      <c r="E38" s="223" t="s">
        <v>21</v>
      </c>
      <c r="F38" s="223" t="s">
        <v>1093</v>
      </c>
      <c r="G38" s="223" t="s">
        <v>1219</v>
      </c>
    </row>
    <row r="39" spans="1:7" x14ac:dyDescent="0.3">
      <c r="A39" s="223">
        <v>38</v>
      </c>
      <c r="B39" s="223" t="s">
        <v>1085</v>
      </c>
      <c r="C39" s="223" t="s">
        <v>1217</v>
      </c>
      <c r="D39" s="223" t="s">
        <v>1223</v>
      </c>
      <c r="E39" s="223" t="s">
        <v>21</v>
      </c>
      <c r="F39" s="223" t="s">
        <v>27</v>
      </c>
      <c r="G39" s="223" t="s">
        <v>1105</v>
      </c>
    </row>
    <row r="40" spans="1:7" x14ac:dyDescent="0.3">
      <c r="A40" s="223">
        <v>39</v>
      </c>
      <c r="B40" s="223" t="s">
        <v>1085</v>
      </c>
      <c r="C40" s="223" t="s">
        <v>1217</v>
      </c>
      <c r="D40" s="223" t="s">
        <v>1223</v>
      </c>
      <c r="E40" s="223" t="s">
        <v>21</v>
      </c>
      <c r="F40" s="223" t="s">
        <v>1096</v>
      </c>
      <c r="G40" s="223" t="s">
        <v>1094</v>
      </c>
    </row>
    <row r="41" spans="1:7" x14ac:dyDescent="0.3">
      <c r="A41" s="223">
        <v>40</v>
      </c>
      <c r="B41" s="223" t="s">
        <v>1085</v>
      </c>
      <c r="C41" s="223" t="s">
        <v>1217</v>
      </c>
      <c r="D41" s="223" t="s">
        <v>1223</v>
      </c>
      <c r="E41" s="223" t="s">
        <v>21</v>
      </c>
      <c r="F41" s="223" t="s">
        <v>1090</v>
      </c>
      <c r="G41" s="223" t="s">
        <v>1103</v>
      </c>
    </row>
    <row r="42" spans="1:7" x14ac:dyDescent="0.3">
      <c r="A42" s="223">
        <v>41</v>
      </c>
      <c r="B42" s="223" t="s">
        <v>1085</v>
      </c>
      <c r="C42" s="223" t="s">
        <v>1217</v>
      </c>
      <c r="D42" s="223" t="s">
        <v>12</v>
      </c>
      <c r="E42" s="223" t="s">
        <v>1087</v>
      </c>
      <c r="F42" s="223" t="s">
        <v>1093</v>
      </c>
      <c r="G42" s="223" t="s">
        <v>1219</v>
      </c>
    </row>
    <row r="43" spans="1:7" x14ac:dyDescent="0.3">
      <c r="A43" s="223">
        <v>42</v>
      </c>
      <c r="B43" s="223" t="s">
        <v>1085</v>
      </c>
      <c r="C43" s="223" t="s">
        <v>1217</v>
      </c>
      <c r="D43" s="223" t="s">
        <v>12</v>
      </c>
      <c r="E43" s="223" t="s">
        <v>1087</v>
      </c>
      <c r="F43" s="223" t="s">
        <v>27</v>
      </c>
      <c r="G43" s="223" t="s">
        <v>1219</v>
      </c>
    </row>
    <row r="44" spans="1:7" x14ac:dyDescent="0.3">
      <c r="A44" s="223">
        <v>43</v>
      </c>
      <c r="B44" s="223" t="s">
        <v>1085</v>
      </c>
      <c r="C44" s="223" t="s">
        <v>1217</v>
      </c>
      <c r="D44" s="223" t="s">
        <v>12</v>
      </c>
      <c r="E44" s="223" t="s">
        <v>1087</v>
      </c>
      <c r="F44" s="223" t="s">
        <v>1096</v>
      </c>
      <c r="G44" s="223" t="s">
        <v>1104</v>
      </c>
    </row>
    <row r="45" spans="1:7" x14ac:dyDescent="0.3">
      <c r="A45" s="223">
        <v>44</v>
      </c>
      <c r="B45" s="223" t="s">
        <v>1085</v>
      </c>
      <c r="C45" s="223" t="s">
        <v>1217</v>
      </c>
      <c r="D45" s="223" t="s">
        <v>12</v>
      </c>
      <c r="E45" s="223" t="s">
        <v>1087</v>
      </c>
      <c r="F45" s="223" t="s">
        <v>1090</v>
      </c>
      <c r="G45" s="223" t="s">
        <v>1190</v>
      </c>
    </row>
    <row r="46" spans="1:7" x14ac:dyDescent="0.3">
      <c r="A46" s="223">
        <v>45</v>
      </c>
      <c r="B46" s="223" t="s">
        <v>1085</v>
      </c>
      <c r="C46" s="223" t="s">
        <v>1217</v>
      </c>
      <c r="D46" s="223" t="s">
        <v>12</v>
      </c>
      <c r="E46" s="223" t="s">
        <v>21</v>
      </c>
      <c r="F46" s="223" t="s">
        <v>1093</v>
      </c>
      <c r="G46" s="223" t="s">
        <v>1219</v>
      </c>
    </row>
    <row r="47" spans="1:7" x14ac:dyDescent="0.3">
      <c r="A47" s="223">
        <v>46</v>
      </c>
      <c r="B47" s="223" t="s">
        <v>1085</v>
      </c>
      <c r="C47" s="223" t="s">
        <v>1217</v>
      </c>
      <c r="D47" s="223" t="s">
        <v>12</v>
      </c>
      <c r="E47" s="223" t="s">
        <v>21</v>
      </c>
      <c r="F47" s="223" t="s">
        <v>27</v>
      </c>
      <c r="G47" s="223" t="s">
        <v>1105</v>
      </c>
    </row>
    <row r="48" spans="1:7" x14ac:dyDescent="0.3">
      <c r="A48" s="223">
        <v>47</v>
      </c>
      <c r="B48" s="223" t="s">
        <v>1085</v>
      </c>
      <c r="C48" s="223" t="s">
        <v>1217</v>
      </c>
      <c r="D48" s="223" t="s">
        <v>12</v>
      </c>
      <c r="E48" s="223" t="s">
        <v>21</v>
      </c>
      <c r="F48" s="223" t="s">
        <v>1096</v>
      </c>
      <c r="G48" s="223" t="s">
        <v>1094</v>
      </c>
    </row>
    <row r="49" spans="1:7" x14ac:dyDescent="0.3">
      <c r="A49" s="223">
        <v>48</v>
      </c>
      <c r="B49" s="223" t="s">
        <v>1085</v>
      </c>
      <c r="C49" s="223" t="s">
        <v>1217</v>
      </c>
      <c r="D49" s="223" t="s">
        <v>12</v>
      </c>
      <c r="E49" s="223" t="s">
        <v>21</v>
      </c>
      <c r="F49" s="223" t="s">
        <v>1090</v>
      </c>
      <c r="G49" s="223" t="s">
        <v>1103</v>
      </c>
    </row>
    <row r="50" spans="1:7" x14ac:dyDescent="0.3">
      <c r="A50" s="223">
        <v>49</v>
      </c>
      <c r="B50" s="223" t="s">
        <v>1085</v>
      </c>
      <c r="C50" s="223" t="s">
        <v>1224</v>
      </c>
      <c r="D50" s="223" t="s">
        <v>1218</v>
      </c>
      <c r="E50" s="223" t="s">
        <v>1087</v>
      </c>
      <c r="F50" s="223" t="s">
        <v>1093</v>
      </c>
      <c r="G50" s="223" t="s">
        <v>1091</v>
      </c>
    </row>
    <row r="51" spans="1:7" x14ac:dyDescent="0.3">
      <c r="A51" s="223">
        <v>50</v>
      </c>
      <c r="B51" s="223" t="s">
        <v>1085</v>
      </c>
      <c r="C51" s="223" t="s">
        <v>1224</v>
      </c>
      <c r="D51" s="223" t="s">
        <v>1218</v>
      </c>
      <c r="E51" s="223" t="s">
        <v>1087</v>
      </c>
      <c r="F51" s="223" t="s">
        <v>27</v>
      </c>
      <c r="G51" s="223" t="s">
        <v>1098</v>
      </c>
    </row>
    <row r="52" spans="1:7" x14ac:dyDescent="0.3">
      <c r="A52" s="223">
        <v>51</v>
      </c>
      <c r="B52" s="223" t="s">
        <v>1085</v>
      </c>
      <c r="C52" s="223" t="s">
        <v>1224</v>
      </c>
      <c r="D52" s="223" t="s">
        <v>1218</v>
      </c>
      <c r="E52" s="223" t="s">
        <v>1087</v>
      </c>
      <c r="F52" s="223" t="s">
        <v>1096</v>
      </c>
      <c r="G52" s="223" t="s">
        <v>1207</v>
      </c>
    </row>
    <row r="53" spans="1:7" x14ac:dyDescent="0.3">
      <c r="A53" s="223">
        <v>52</v>
      </c>
      <c r="B53" s="223" t="s">
        <v>1085</v>
      </c>
      <c r="C53" s="223" t="s">
        <v>1224</v>
      </c>
      <c r="D53" s="223" t="s">
        <v>1218</v>
      </c>
      <c r="E53" s="223" t="s">
        <v>1087</v>
      </c>
      <c r="F53" s="223" t="s">
        <v>1090</v>
      </c>
      <c r="G53" s="223" t="s">
        <v>1219</v>
      </c>
    </row>
    <row r="54" spans="1:7" x14ac:dyDescent="0.3">
      <c r="A54" s="223">
        <v>53</v>
      </c>
      <c r="B54" s="223" t="s">
        <v>1085</v>
      </c>
      <c r="C54" s="223" t="s">
        <v>1224</v>
      </c>
      <c r="D54" s="223" t="s">
        <v>1218</v>
      </c>
      <c r="E54" s="223" t="s">
        <v>21</v>
      </c>
      <c r="F54" s="223" t="s">
        <v>1093</v>
      </c>
      <c r="G54" s="223" t="s">
        <v>1219</v>
      </c>
    </row>
    <row r="55" spans="1:7" x14ac:dyDescent="0.3">
      <c r="A55" s="223">
        <v>54</v>
      </c>
      <c r="B55" s="223" t="s">
        <v>1085</v>
      </c>
      <c r="C55" s="223" t="s">
        <v>1224</v>
      </c>
      <c r="D55" s="223" t="s">
        <v>1218</v>
      </c>
      <c r="E55" s="223" t="s">
        <v>21</v>
      </c>
      <c r="F55" s="223" t="s">
        <v>27</v>
      </c>
      <c r="G55" s="223" t="s">
        <v>1108</v>
      </c>
    </row>
    <row r="56" spans="1:7" x14ac:dyDescent="0.3">
      <c r="A56" s="223">
        <v>55</v>
      </c>
      <c r="B56" s="223" t="s">
        <v>1085</v>
      </c>
      <c r="C56" s="223" t="s">
        <v>1224</v>
      </c>
      <c r="D56" s="223" t="s">
        <v>1218</v>
      </c>
      <c r="E56" s="223" t="s">
        <v>21</v>
      </c>
      <c r="F56" s="223" t="s">
        <v>1096</v>
      </c>
      <c r="G56" s="223" t="s">
        <v>1194</v>
      </c>
    </row>
    <row r="57" spans="1:7" x14ac:dyDescent="0.3">
      <c r="A57" s="223">
        <v>56</v>
      </c>
      <c r="B57" s="223" t="s">
        <v>1085</v>
      </c>
      <c r="C57" s="223" t="s">
        <v>1224</v>
      </c>
      <c r="D57" s="223" t="s">
        <v>1218</v>
      </c>
      <c r="E57" s="223" t="s">
        <v>21</v>
      </c>
      <c r="F57" s="223" t="s">
        <v>1090</v>
      </c>
      <c r="G57" s="223" t="s">
        <v>1219</v>
      </c>
    </row>
    <row r="58" spans="1:7" x14ac:dyDescent="0.3">
      <c r="A58" s="223">
        <v>57</v>
      </c>
      <c r="B58" s="223" t="s">
        <v>1085</v>
      </c>
      <c r="C58" s="223" t="s">
        <v>1224</v>
      </c>
      <c r="D58" s="223" t="s">
        <v>1220</v>
      </c>
      <c r="E58" s="223" t="s">
        <v>1087</v>
      </c>
      <c r="F58" s="223" t="s">
        <v>1093</v>
      </c>
      <c r="G58" s="223" t="s">
        <v>1091</v>
      </c>
    </row>
    <row r="59" spans="1:7" x14ac:dyDescent="0.3">
      <c r="A59" s="223">
        <v>58</v>
      </c>
      <c r="B59" s="223" t="s">
        <v>1085</v>
      </c>
      <c r="C59" s="223" t="s">
        <v>1224</v>
      </c>
      <c r="D59" s="223" t="s">
        <v>1220</v>
      </c>
      <c r="E59" s="223" t="s">
        <v>1087</v>
      </c>
      <c r="F59" s="223" t="s">
        <v>27</v>
      </c>
      <c r="G59" s="223" t="s">
        <v>1098</v>
      </c>
    </row>
    <row r="60" spans="1:7" x14ac:dyDescent="0.3">
      <c r="A60" s="223">
        <v>59</v>
      </c>
      <c r="B60" s="223" t="s">
        <v>1085</v>
      </c>
      <c r="C60" s="223" t="s">
        <v>1224</v>
      </c>
      <c r="D60" s="223" t="s">
        <v>1220</v>
      </c>
      <c r="E60" s="223" t="s">
        <v>1087</v>
      </c>
      <c r="F60" s="223" t="s">
        <v>1096</v>
      </c>
      <c r="G60" s="223" t="s">
        <v>1207</v>
      </c>
    </row>
    <row r="61" spans="1:7" x14ac:dyDescent="0.3">
      <c r="A61" s="223">
        <v>60</v>
      </c>
      <c r="B61" s="223" t="s">
        <v>1085</v>
      </c>
      <c r="C61" s="223" t="s">
        <v>1224</v>
      </c>
      <c r="D61" s="223" t="s">
        <v>1220</v>
      </c>
      <c r="E61" s="223" t="s">
        <v>1087</v>
      </c>
      <c r="F61" s="223" t="s">
        <v>1090</v>
      </c>
      <c r="G61" s="223" t="s">
        <v>1219</v>
      </c>
    </row>
    <row r="62" spans="1:7" x14ac:dyDescent="0.3">
      <c r="A62" s="223">
        <v>61</v>
      </c>
      <c r="B62" s="223" t="s">
        <v>1085</v>
      </c>
      <c r="C62" s="223" t="s">
        <v>1224</v>
      </c>
      <c r="D62" s="223" t="s">
        <v>1220</v>
      </c>
      <c r="E62" s="223" t="s">
        <v>21</v>
      </c>
      <c r="F62" s="223" t="s">
        <v>1093</v>
      </c>
      <c r="G62" s="223" t="s">
        <v>1219</v>
      </c>
    </row>
    <row r="63" spans="1:7" x14ac:dyDescent="0.3">
      <c r="A63" s="223">
        <v>62</v>
      </c>
      <c r="B63" s="223" t="s">
        <v>1085</v>
      </c>
      <c r="C63" s="223" t="s">
        <v>1224</v>
      </c>
      <c r="D63" s="223" t="s">
        <v>1220</v>
      </c>
      <c r="E63" s="223" t="s">
        <v>21</v>
      </c>
      <c r="F63" s="223" t="s">
        <v>27</v>
      </c>
      <c r="G63" s="223" t="s">
        <v>1108</v>
      </c>
    </row>
    <row r="64" spans="1:7" x14ac:dyDescent="0.3">
      <c r="A64" s="223">
        <v>63</v>
      </c>
      <c r="B64" s="223" t="s">
        <v>1085</v>
      </c>
      <c r="C64" s="223" t="s">
        <v>1224</v>
      </c>
      <c r="D64" s="223" t="s">
        <v>1220</v>
      </c>
      <c r="E64" s="223" t="s">
        <v>21</v>
      </c>
      <c r="F64" s="223" t="s">
        <v>1096</v>
      </c>
      <c r="G64" s="223" t="s">
        <v>1194</v>
      </c>
    </row>
    <row r="65" spans="1:7" x14ac:dyDescent="0.3">
      <c r="A65" s="223">
        <v>64</v>
      </c>
      <c r="B65" s="223" t="s">
        <v>1085</v>
      </c>
      <c r="C65" s="223" t="s">
        <v>1224</v>
      </c>
      <c r="D65" s="223" t="s">
        <v>1220</v>
      </c>
      <c r="E65" s="223" t="s">
        <v>21</v>
      </c>
      <c r="F65" s="223" t="s">
        <v>1090</v>
      </c>
      <c r="G65" s="223" t="s">
        <v>1219</v>
      </c>
    </row>
    <row r="66" spans="1:7" x14ac:dyDescent="0.3">
      <c r="A66" s="223">
        <v>65</v>
      </c>
      <c r="B66" s="223" t="s">
        <v>1085</v>
      </c>
      <c r="C66" s="223" t="s">
        <v>1224</v>
      </c>
      <c r="D66" s="223" t="s">
        <v>1221</v>
      </c>
      <c r="E66" s="223" t="s">
        <v>1087</v>
      </c>
      <c r="F66" s="223" t="s">
        <v>1093</v>
      </c>
      <c r="G66" s="223" t="s">
        <v>1091</v>
      </c>
    </row>
    <row r="67" spans="1:7" x14ac:dyDescent="0.3">
      <c r="A67" s="223">
        <v>66</v>
      </c>
      <c r="B67" s="223" t="s">
        <v>1085</v>
      </c>
      <c r="C67" s="223" t="s">
        <v>1224</v>
      </c>
      <c r="D67" s="223" t="s">
        <v>1221</v>
      </c>
      <c r="E67" s="223" t="s">
        <v>1087</v>
      </c>
      <c r="F67" s="223" t="s">
        <v>27</v>
      </c>
      <c r="G67" s="223" t="s">
        <v>1098</v>
      </c>
    </row>
    <row r="68" spans="1:7" x14ac:dyDescent="0.3">
      <c r="A68" s="223">
        <v>67</v>
      </c>
      <c r="B68" s="223" t="s">
        <v>1085</v>
      </c>
      <c r="C68" s="223" t="s">
        <v>1224</v>
      </c>
      <c r="D68" s="223" t="s">
        <v>1221</v>
      </c>
      <c r="E68" s="223" t="s">
        <v>1087</v>
      </c>
      <c r="F68" s="223" t="s">
        <v>1096</v>
      </c>
      <c r="G68" s="223" t="s">
        <v>1207</v>
      </c>
    </row>
    <row r="69" spans="1:7" x14ac:dyDescent="0.3">
      <c r="A69" s="223">
        <v>68</v>
      </c>
      <c r="B69" s="223" t="s">
        <v>1085</v>
      </c>
      <c r="C69" s="223" t="s">
        <v>1224</v>
      </c>
      <c r="D69" s="223" t="s">
        <v>1221</v>
      </c>
      <c r="E69" s="223" t="s">
        <v>1087</v>
      </c>
      <c r="F69" s="223" t="s">
        <v>1090</v>
      </c>
      <c r="G69" s="223" t="s">
        <v>1219</v>
      </c>
    </row>
    <row r="70" spans="1:7" x14ac:dyDescent="0.3">
      <c r="A70" s="223">
        <v>69</v>
      </c>
      <c r="B70" s="223" t="s">
        <v>1085</v>
      </c>
      <c r="C70" s="223" t="s">
        <v>1224</v>
      </c>
      <c r="D70" s="223" t="s">
        <v>1221</v>
      </c>
      <c r="E70" s="223" t="s">
        <v>21</v>
      </c>
      <c r="F70" s="223" t="s">
        <v>1093</v>
      </c>
      <c r="G70" s="223" t="s">
        <v>1219</v>
      </c>
    </row>
    <row r="71" spans="1:7" x14ac:dyDescent="0.3">
      <c r="A71" s="223">
        <v>70</v>
      </c>
      <c r="B71" s="223" t="s">
        <v>1085</v>
      </c>
      <c r="C71" s="223" t="s">
        <v>1224</v>
      </c>
      <c r="D71" s="223" t="s">
        <v>1221</v>
      </c>
      <c r="E71" s="223" t="s">
        <v>21</v>
      </c>
      <c r="F71" s="223" t="s">
        <v>27</v>
      </c>
      <c r="G71" s="223" t="s">
        <v>1108</v>
      </c>
    </row>
    <row r="72" spans="1:7" x14ac:dyDescent="0.3">
      <c r="A72" s="223">
        <v>71</v>
      </c>
      <c r="B72" s="223" t="s">
        <v>1085</v>
      </c>
      <c r="C72" s="223" t="s">
        <v>1224</v>
      </c>
      <c r="D72" s="223" t="s">
        <v>1221</v>
      </c>
      <c r="E72" s="223" t="s">
        <v>21</v>
      </c>
      <c r="F72" s="223" t="s">
        <v>1096</v>
      </c>
      <c r="G72" s="223" t="s">
        <v>1194</v>
      </c>
    </row>
    <row r="73" spans="1:7" x14ac:dyDescent="0.3">
      <c r="A73" s="223">
        <v>72</v>
      </c>
      <c r="B73" s="223" t="s">
        <v>1085</v>
      </c>
      <c r="C73" s="223" t="s">
        <v>1224</v>
      </c>
      <c r="D73" s="223" t="s">
        <v>1221</v>
      </c>
      <c r="E73" s="223" t="s">
        <v>21</v>
      </c>
      <c r="F73" s="223" t="s">
        <v>1090</v>
      </c>
      <c r="G73" s="223" t="s">
        <v>1219</v>
      </c>
    </row>
    <row r="74" spans="1:7" x14ac:dyDescent="0.3">
      <c r="A74" s="223">
        <v>73</v>
      </c>
      <c r="B74" s="223" t="s">
        <v>1085</v>
      </c>
      <c r="C74" s="223" t="s">
        <v>1224</v>
      </c>
      <c r="D74" s="223" t="s">
        <v>1222</v>
      </c>
      <c r="E74" s="223" t="s">
        <v>1087</v>
      </c>
      <c r="F74" s="223" t="s">
        <v>1093</v>
      </c>
      <c r="G74" s="223" t="s">
        <v>1091</v>
      </c>
    </row>
    <row r="75" spans="1:7" x14ac:dyDescent="0.3">
      <c r="A75" s="223">
        <v>74</v>
      </c>
      <c r="B75" s="223" t="s">
        <v>1085</v>
      </c>
      <c r="C75" s="223" t="s">
        <v>1224</v>
      </c>
      <c r="D75" s="223" t="s">
        <v>1222</v>
      </c>
      <c r="E75" s="223" t="s">
        <v>1087</v>
      </c>
      <c r="F75" s="223" t="s">
        <v>27</v>
      </c>
      <c r="G75" s="223" t="s">
        <v>1098</v>
      </c>
    </row>
    <row r="76" spans="1:7" x14ac:dyDescent="0.3">
      <c r="A76" s="223">
        <v>75</v>
      </c>
      <c r="B76" s="223" t="s">
        <v>1085</v>
      </c>
      <c r="C76" s="223" t="s">
        <v>1224</v>
      </c>
      <c r="D76" s="223" t="s">
        <v>1222</v>
      </c>
      <c r="E76" s="223" t="s">
        <v>1087</v>
      </c>
      <c r="F76" s="223" t="s">
        <v>1096</v>
      </c>
      <c r="G76" s="223" t="s">
        <v>1207</v>
      </c>
    </row>
    <row r="77" spans="1:7" x14ac:dyDescent="0.3">
      <c r="A77" s="223">
        <v>76</v>
      </c>
      <c r="B77" s="223" t="s">
        <v>1085</v>
      </c>
      <c r="C77" s="223" t="s">
        <v>1224</v>
      </c>
      <c r="D77" s="223" t="s">
        <v>1222</v>
      </c>
      <c r="E77" s="223" t="s">
        <v>1087</v>
      </c>
      <c r="F77" s="223" t="s">
        <v>1090</v>
      </c>
      <c r="G77" s="223" t="s">
        <v>1219</v>
      </c>
    </row>
    <row r="78" spans="1:7" x14ac:dyDescent="0.3">
      <c r="A78" s="223">
        <v>77</v>
      </c>
      <c r="B78" s="223" t="s">
        <v>1085</v>
      </c>
      <c r="C78" s="223" t="s">
        <v>1224</v>
      </c>
      <c r="D78" s="223" t="s">
        <v>1222</v>
      </c>
      <c r="E78" s="223" t="s">
        <v>21</v>
      </c>
      <c r="F78" s="223" t="s">
        <v>1093</v>
      </c>
      <c r="G78" s="223" t="s">
        <v>1219</v>
      </c>
    </row>
    <row r="79" spans="1:7" x14ac:dyDescent="0.3">
      <c r="A79" s="223">
        <v>78</v>
      </c>
      <c r="B79" s="223" t="s">
        <v>1085</v>
      </c>
      <c r="C79" s="223" t="s">
        <v>1224</v>
      </c>
      <c r="D79" s="223" t="s">
        <v>1222</v>
      </c>
      <c r="E79" s="223" t="s">
        <v>21</v>
      </c>
      <c r="F79" s="223" t="s">
        <v>27</v>
      </c>
      <c r="G79" s="223" t="s">
        <v>1108</v>
      </c>
    </row>
    <row r="80" spans="1:7" x14ac:dyDescent="0.3">
      <c r="A80" s="223">
        <v>79</v>
      </c>
      <c r="B80" s="223" t="s">
        <v>1085</v>
      </c>
      <c r="C80" s="223" t="s">
        <v>1224</v>
      </c>
      <c r="D80" s="223" t="s">
        <v>1222</v>
      </c>
      <c r="E80" s="223" t="s">
        <v>21</v>
      </c>
      <c r="F80" s="223" t="s">
        <v>1096</v>
      </c>
      <c r="G80" s="223" t="s">
        <v>1194</v>
      </c>
    </row>
    <row r="81" spans="1:7" x14ac:dyDescent="0.3">
      <c r="A81" s="223">
        <v>80</v>
      </c>
      <c r="B81" s="223" t="s">
        <v>1085</v>
      </c>
      <c r="C81" s="223" t="s">
        <v>1224</v>
      </c>
      <c r="D81" s="223" t="s">
        <v>1222</v>
      </c>
      <c r="E81" s="223" t="s">
        <v>21</v>
      </c>
      <c r="F81" s="223" t="s">
        <v>1090</v>
      </c>
      <c r="G81" s="223" t="s">
        <v>1219</v>
      </c>
    </row>
    <row r="82" spans="1:7" x14ac:dyDescent="0.3">
      <c r="A82" s="223">
        <v>81</v>
      </c>
      <c r="B82" s="223" t="s">
        <v>1085</v>
      </c>
      <c r="C82" s="223" t="s">
        <v>1224</v>
      </c>
      <c r="D82" s="223" t="s">
        <v>1223</v>
      </c>
      <c r="E82" s="223" t="s">
        <v>1087</v>
      </c>
      <c r="F82" s="223" t="s">
        <v>1093</v>
      </c>
      <c r="G82" s="223" t="s">
        <v>1219</v>
      </c>
    </row>
    <row r="83" spans="1:7" x14ac:dyDescent="0.3">
      <c r="A83" s="223">
        <v>82</v>
      </c>
      <c r="B83" s="223" t="s">
        <v>1085</v>
      </c>
      <c r="C83" s="223" t="s">
        <v>1224</v>
      </c>
      <c r="D83" s="223" t="s">
        <v>1223</v>
      </c>
      <c r="E83" s="223" t="s">
        <v>1087</v>
      </c>
      <c r="F83" s="223" t="s">
        <v>27</v>
      </c>
      <c r="G83" s="223" t="s">
        <v>1219</v>
      </c>
    </row>
    <row r="84" spans="1:7" x14ac:dyDescent="0.3">
      <c r="A84" s="223">
        <v>83</v>
      </c>
      <c r="B84" s="223" t="s">
        <v>1085</v>
      </c>
      <c r="C84" s="223" t="s">
        <v>1224</v>
      </c>
      <c r="D84" s="223" t="s">
        <v>1223</v>
      </c>
      <c r="E84" s="223" t="s">
        <v>1087</v>
      </c>
      <c r="F84" s="223" t="s">
        <v>1096</v>
      </c>
      <c r="G84" s="223" t="s">
        <v>1104</v>
      </c>
    </row>
    <row r="85" spans="1:7" x14ac:dyDescent="0.3">
      <c r="A85" s="223">
        <v>84</v>
      </c>
      <c r="B85" s="223" t="s">
        <v>1085</v>
      </c>
      <c r="C85" s="223" t="s">
        <v>1224</v>
      </c>
      <c r="D85" s="223" t="s">
        <v>1223</v>
      </c>
      <c r="E85" s="223" t="s">
        <v>1087</v>
      </c>
      <c r="F85" s="223" t="s">
        <v>1090</v>
      </c>
      <c r="G85" s="223" t="s">
        <v>1190</v>
      </c>
    </row>
    <row r="86" spans="1:7" x14ac:dyDescent="0.3">
      <c r="A86" s="223">
        <v>85</v>
      </c>
      <c r="B86" s="223" t="s">
        <v>1085</v>
      </c>
      <c r="C86" s="223" t="s">
        <v>1224</v>
      </c>
      <c r="D86" s="223" t="s">
        <v>1223</v>
      </c>
      <c r="E86" s="223" t="s">
        <v>21</v>
      </c>
      <c r="F86" s="223" t="s">
        <v>1093</v>
      </c>
      <c r="G86" s="223" t="s">
        <v>1219</v>
      </c>
    </row>
    <row r="87" spans="1:7" x14ac:dyDescent="0.3">
      <c r="A87" s="223">
        <v>86</v>
      </c>
      <c r="B87" s="223" t="s">
        <v>1085</v>
      </c>
      <c r="C87" s="223" t="s">
        <v>1224</v>
      </c>
      <c r="D87" s="223" t="s">
        <v>1223</v>
      </c>
      <c r="E87" s="223" t="s">
        <v>21</v>
      </c>
      <c r="F87" s="223" t="s">
        <v>27</v>
      </c>
      <c r="G87" s="223" t="s">
        <v>1105</v>
      </c>
    </row>
    <row r="88" spans="1:7" x14ac:dyDescent="0.3">
      <c r="A88" s="223">
        <v>87</v>
      </c>
      <c r="B88" s="223" t="s">
        <v>1085</v>
      </c>
      <c r="C88" s="223" t="s">
        <v>1224</v>
      </c>
      <c r="D88" s="223" t="s">
        <v>1223</v>
      </c>
      <c r="E88" s="223" t="s">
        <v>21</v>
      </c>
      <c r="F88" s="223" t="s">
        <v>1096</v>
      </c>
      <c r="G88" s="223" t="s">
        <v>1094</v>
      </c>
    </row>
    <row r="89" spans="1:7" x14ac:dyDescent="0.3">
      <c r="A89" s="223">
        <v>88</v>
      </c>
      <c r="B89" s="223" t="s">
        <v>1085</v>
      </c>
      <c r="C89" s="223" t="s">
        <v>1224</v>
      </c>
      <c r="D89" s="223" t="s">
        <v>1223</v>
      </c>
      <c r="E89" s="223" t="s">
        <v>21</v>
      </c>
      <c r="F89" s="223" t="s">
        <v>1090</v>
      </c>
      <c r="G89" s="223" t="s">
        <v>1103</v>
      </c>
    </row>
    <row r="90" spans="1:7" x14ac:dyDescent="0.3">
      <c r="A90" s="223">
        <v>89</v>
      </c>
      <c r="B90" s="223" t="s">
        <v>1085</v>
      </c>
      <c r="C90" s="223" t="s">
        <v>1224</v>
      </c>
      <c r="D90" s="223" t="s">
        <v>12</v>
      </c>
      <c r="E90" s="223" t="s">
        <v>1087</v>
      </c>
      <c r="F90" s="223" t="s">
        <v>1093</v>
      </c>
      <c r="G90" s="223" t="s">
        <v>1219</v>
      </c>
    </row>
    <row r="91" spans="1:7" x14ac:dyDescent="0.3">
      <c r="A91" s="223">
        <v>90</v>
      </c>
      <c r="B91" s="223" t="s">
        <v>1085</v>
      </c>
      <c r="C91" s="223" t="s">
        <v>1224</v>
      </c>
      <c r="D91" s="223" t="s">
        <v>12</v>
      </c>
      <c r="E91" s="223" t="s">
        <v>1087</v>
      </c>
      <c r="F91" s="223" t="s">
        <v>27</v>
      </c>
      <c r="G91" s="223" t="s">
        <v>1219</v>
      </c>
    </row>
    <row r="92" spans="1:7" x14ac:dyDescent="0.3">
      <c r="A92" s="223">
        <v>91</v>
      </c>
      <c r="B92" s="223" t="s">
        <v>1085</v>
      </c>
      <c r="C92" s="223" t="s">
        <v>1224</v>
      </c>
      <c r="D92" s="223" t="s">
        <v>12</v>
      </c>
      <c r="E92" s="223" t="s">
        <v>1087</v>
      </c>
      <c r="F92" s="223" t="s">
        <v>1096</v>
      </c>
      <c r="G92" s="223" t="s">
        <v>1104</v>
      </c>
    </row>
    <row r="93" spans="1:7" x14ac:dyDescent="0.3">
      <c r="A93" s="223">
        <v>92</v>
      </c>
      <c r="B93" s="223" t="s">
        <v>1085</v>
      </c>
      <c r="C93" s="223" t="s">
        <v>1224</v>
      </c>
      <c r="D93" s="223" t="s">
        <v>12</v>
      </c>
      <c r="E93" s="223" t="s">
        <v>1087</v>
      </c>
      <c r="F93" s="223" t="s">
        <v>1090</v>
      </c>
      <c r="G93" s="223" t="s">
        <v>1190</v>
      </c>
    </row>
    <row r="94" spans="1:7" x14ac:dyDescent="0.3">
      <c r="A94" s="223">
        <v>93</v>
      </c>
      <c r="B94" s="223" t="s">
        <v>1085</v>
      </c>
      <c r="C94" s="223" t="s">
        <v>1224</v>
      </c>
      <c r="D94" s="223" t="s">
        <v>12</v>
      </c>
      <c r="E94" s="223" t="s">
        <v>21</v>
      </c>
      <c r="F94" s="223" t="s">
        <v>1093</v>
      </c>
      <c r="G94" s="223" t="s">
        <v>1219</v>
      </c>
    </row>
    <row r="95" spans="1:7" x14ac:dyDescent="0.3">
      <c r="A95" s="223">
        <v>94</v>
      </c>
      <c r="B95" s="223" t="s">
        <v>1085</v>
      </c>
      <c r="C95" s="223" t="s">
        <v>1224</v>
      </c>
      <c r="D95" s="223" t="s">
        <v>12</v>
      </c>
      <c r="E95" s="223" t="s">
        <v>21</v>
      </c>
      <c r="F95" s="223" t="s">
        <v>27</v>
      </c>
      <c r="G95" s="223" t="s">
        <v>1105</v>
      </c>
    </row>
    <row r="96" spans="1:7" x14ac:dyDescent="0.3">
      <c r="A96" s="223">
        <v>95</v>
      </c>
      <c r="B96" s="223" t="s">
        <v>1085</v>
      </c>
      <c r="C96" s="223" t="s">
        <v>1224</v>
      </c>
      <c r="D96" s="223" t="s">
        <v>12</v>
      </c>
      <c r="E96" s="223" t="s">
        <v>21</v>
      </c>
      <c r="F96" s="223" t="s">
        <v>1096</v>
      </c>
      <c r="G96" s="223" t="s">
        <v>1094</v>
      </c>
    </row>
    <row r="97" spans="1:7" x14ac:dyDescent="0.3">
      <c r="A97" s="223">
        <v>96</v>
      </c>
      <c r="B97" s="223" t="s">
        <v>1085</v>
      </c>
      <c r="C97" s="223" t="s">
        <v>1224</v>
      </c>
      <c r="D97" s="223" t="s">
        <v>12</v>
      </c>
      <c r="E97" s="223" t="s">
        <v>21</v>
      </c>
      <c r="F97" s="223" t="s">
        <v>1090</v>
      </c>
      <c r="G97" s="223" t="s">
        <v>1103</v>
      </c>
    </row>
    <row r="98" spans="1:7" x14ac:dyDescent="0.3">
      <c r="A98" s="223">
        <v>97</v>
      </c>
      <c r="B98" s="223" t="s">
        <v>1085</v>
      </c>
      <c r="C98" s="223" t="s">
        <v>1225</v>
      </c>
      <c r="D98" s="223" t="s">
        <v>1218</v>
      </c>
      <c r="E98" s="223" t="s">
        <v>1087</v>
      </c>
      <c r="F98" s="223" t="s">
        <v>1093</v>
      </c>
      <c r="G98" s="223" t="s">
        <v>1091</v>
      </c>
    </row>
    <row r="99" spans="1:7" x14ac:dyDescent="0.3">
      <c r="A99" s="223">
        <v>98</v>
      </c>
      <c r="B99" s="223" t="s">
        <v>1085</v>
      </c>
      <c r="C99" s="223" t="s">
        <v>1225</v>
      </c>
      <c r="D99" s="223" t="s">
        <v>1218</v>
      </c>
      <c r="E99" s="223" t="s">
        <v>1087</v>
      </c>
      <c r="F99" s="223" t="s">
        <v>27</v>
      </c>
      <c r="G99" s="223" t="s">
        <v>1098</v>
      </c>
    </row>
    <row r="100" spans="1:7" x14ac:dyDescent="0.3">
      <c r="A100" s="223">
        <v>99</v>
      </c>
      <c r="B100" s="223" t="s">
        <v>1085</v>
      </c>
      <c r="C100" s="223" t="s">
        <v>1225</v>
      </c>
      <c r="D100" s="223" t="s">
        <v>1218</v>
      </c>
      <c r="E100" s="223" t="s">
        <v>1087</v>
      </c>
      <c r="F100" s="223" t="s">
        <v>1096</v>
      </c>
      <c r="G100" s="223" t="s">
        <v>1207</v>
      </c>
    </row>
    <row r="101" spans="1:7" x14ac:dyDescent="0.3">
      <c r="A101" s="223">
        <v>100</v>
      </c>
      <c r="B101" s="223" t="s">
        <v>1085</v>
      </c>
      <c r="C101" s="223" t="s">
        <v>1225</v>
      </c>
      <c r="D101" s="223" t="s">
        <v>1218</v>
      </c>
      <c r="E101" s="223" t="s">
        <v>1087</v>
      </c>
      <c r="F101" s="223" t="s">
        <v>1090</v>
      </c>
      <c r="G101" s="223" t="s">
        <v>1219</v>
      </c>
    </row>
    <row r="102" spans="1:7" x14ac:dyDescent="0.3">
      <c r="A102" s="223">
        <v>101</v>
      </c>
      <c r="B102" s="223" t="s">
        <v>1085</v>
      </c>
      <c r="C102" s="223" t="s">
        <v>1225</v>
      </c>
      <c r="D102" s="223" t="s">
        <v>1218</v>
      </c>
      <c r="E102" s="223" t="s">
        <v>21</v>
      </c>
      <c r="F102" s="223" t="s">
        <v>1093</v>
      </c>
      <c r="G102" s="223" t="s">
        <v>1219</v>
      </c>
    </row>
    <row r="103" spans="1:7" x14ac:dyDescent="0.3">
      <c r="A103" s="223">
        <v>102</v>
      </c>
      <c r="B103" s="223" t="s">
        <v>1085</v>
      </c>
      <c r="C103" s="223" t="s">
        <v>1225</v>
      </c>
      <c r="D103" s="223" t="s">
        <v>1218</v>
      </c>
      <c r="E103" s="223" t="s">
        <v>21</v>
      </c>
      <c r="F103" s="223" t="s">
        <v>27</v>
      </c>
      <c r="G103" s="223" t="s">
        <v>1108</v>
      </c>
    </row>
    <row r="104" spans="1:7" x14ac:dyDescent="0.3">
      <c r="A104" s="223">
        <v>103</v>
      </c>
      <c r="B104" s="223" t="s">
        <v>1085</v>
      </c>
      <c r="C104" s="223" t="s">
        <v>1225</v>
      </c>
      <c r="D104" s="223" t="s">
        <v>1218</v>
      </c>
      <c r="E104" s="223" t="s">
        <v>21</v>
      </c>
      <c r="F104" s="223" t="s">
        <v>1096</v>
      </c>
      <c r="G104" s="223" t="s">
        <v>1194</v>
      </c>
    </row>
    <row r="105" spans="1:7" x14ac:dyDescent="0.3">
      <c r="A105" s="223">
        <v>104</v>
      </c>
      <c r="B105" s="223" t="s">
        <v>1085</v>
      </c>
      <c r="C105" s="223" t="s">
        <v>1225</v>
      </c>
      <c r="D105" s="223" t="s">
        <v>1218</v>
      </c>
      <c r="E105" s="223" t="s">
        <v>21</v>
      </c>
      <c r="F105" s="223" t="s">
        <v>1090</v>
      </c>
      <c r="G105" s="223" t="s">
        <v>1219</v>
      </c>
    </row>
    <row r="106" spans="1:7" x14ac:dyDescent="0.3">
      <c r="A106" s="223">
        <v>105</v>
      </c>
      <c r="B106" s="223" t="s">
        <v>1085</v>
      </c>
      <c r="C106" s="223" t="s">
        <v>1225</v>
      </c>
      <c r="D106" s="223" t="s">
        <v>1220</v>
      </c>
      <c r="E106" s="223" t="s">
        <v>1087</v>
      </c>
      <c r="F106" s="223" t="s">
        <v>1093</v>
      </c>
      <c r="G106" s="223" t="s">
        <v>1091</v>
      </c>
    </row>
    <row r="107" spans="1:7" x14ac:dyDescent="0.3">
      <c r="A107" s="223">
        <v>106</v>
      </c>
      <c r="B107" s="223" t="s">
        <v>1085</v>
      </c>
      <c r="C107" s="223" t="s">
        <v>1225</v>
      </c>
      <c r="D107" s="223" t="s">
        <v>1220</v>
      </c>
      <c r="E107" s="223" t="s">
        <v>1087</v>
      </c>
      <c r="F107" s="223" t="s">
        <v>27</v>
      </c>
      <c r="G107" s="223" t="s">
        <v>1098</v>
      </c>
    </row>
    <row r="108" spans="1:7" x14ac:dyDescent="0.3">
      <c r="A108" s="223">
        <v>107</v>
      </c>
      <c r="B108" s="223" t="s">
        <v>1085</v>
      </c>
      <c r="C108" s="223" t="s">
        <v>1225</v>
      </c>
      <c r="D108" s="223" t="s">
        <v>1220</v>
      </c>
      <c r="E108" s="223" t="s">
        <v>1087</v>
      </c>
      <c r="F108" s="223" t="s">
        <v>1096</v>
      </c>
      <c r="G108" s="223" t="s">
        <v>1207</v>
      </c>
    </row>
    <row r="109" spans="1:7" x14ac:dyDescent="0.3">
      <c r="A109" s="223">
        <v>108</v>
      </c>
      <c r="B109" s="223" t="s">
        <v>1085</v>
      </c>
      <c r="C109" s="223" t="s">
        <v>1225</v>
      </c>
      <c r="D109" s="223" t="s">
        <v>1220</v>
      </c>
      <c r="E109" s="223" t="s">
        <v>1087</v>
      </c>
      <c r="F109" s="223" t="s">
        <v>1090</v>
      </c>
      <c r="G109" s="223" t="s">
        <v>1219</v>
      </c>
    </row>
    <row r="110" spans="1:7" x14ac:dyDescent="0.3">
      <c r="A110" s="223">
        <v>109</v>
      </c>
      <c r="B110" s="223" t="s">
        <v>1085</v>
      </c>
      <c r="C110" s="223" t="s">
        <v>1225</v>
      </c>
      <c r="D110" s="223" t="s">
        <v>1220</v>
      </c>
      <c r="E110" s="223" t="s">
        <v>21</v>
      </c>
      <c r="F110" s="223" t="s">
        <v>1093</v>
      </c>
      <c r="G110" s="223" t="s">
        <v>1219</v>
      </c>
    </row>
    <row r="111" spans="1:7" x14ac:dyDescent="0.3">
      <c r="A111" s="223">
        <v>110</v>
      </c>
      <c r="B111" s="223" t="s">
        <v>1085</v>
      </c>
      <c r="C111" s="223" t="s">
        <v>1225</v>
      </c>
      <c r="D111" s="223" t="s">
        <v>1220</v>
      </c>
      <c r="E111" s="223" t="s">
        <v>21</v>
      </c>
      <c r="F111" s="223" t="s">
        <v>27</v>
      </c>
      <c r="G111" s="223" t="s">
        <v>1108</v>
      </c>
    </row>
    <row r="112" spans="1:7" x14ac:dyDescent="0.3">
      <c r="A112" s="223">
        <v>111</v>
      </c>
      <c r="B112" s="223" t="s">
        <v>1085</v>
      </c>
      <c r="C112" s="223" t="s">
        <v>1225</v>
      </c>
      <c r="D112" s="223" t="s">
        <v>1220</v>
      </c>
      <c r="E112" s="223" t="s">
        <v>21</v>
      </c>
      <c r="F112" s="223" t="s">
        <v>1096</v>
      </c>
      <c r="G112" s="223" t="s">
        <v>1194</v>
      </c>
    </row>
    <row r="113" spans="1:7" x14ac:dyDescent="0.3">
      <c r="A113" s="223">
        <v>112</v>
      </c>
      <c r="B113" s="223" t="s">
        <v>1085</v>
      </c>
      <c r="C113" s="223" t="s">
        <v>1225</v>
      </c>
      <c r="D113" s="223" t="s">
        <v>1220</v>
      </c>
      <c r="E113" s="223" t="s">
        <v>21</v>
      </c>
      <c r="F113" s="223" t="s">
        <v>1090</v>
      </c>
      <c r="G113" s="223" t="s">
        <v>1219</v>
      </c>
    </row>
    <row r="114" spans="1:7" x14ac:dyDescent="0.3">
      <c r="A114" s="223">
        <v>113</v>
      </c>
      <c r="B114" s="223" t="s">
        <v>1085</v>
      </c>
      <c r="C114" s="223" t="s">
        <v>1225</v>
      </c>
      <c r="D114" s="223" t="s">
        <v>1221</v>
      </c>
      <c r="E114" s="223" t="s">
        <v>1087</v>
      </c>
      <c r="F114" s="223" t="s">
        <v>1093</v>
      </c>
      <c r="G114" s="223" t="s">
        <v>1091</v>
      </c>
    </row>
    <row r="115" spans="1:7" x14ac:dyDescent="0.3">
      <c r="A115" s="223">
        <v>114</v>
      </c>
      <c r="B115" s="223" t="s">
        <v>1085</v>
      </c>
      <c r="C115" s="223" t="s">
        <v>1225</v>
      </c>
      <c r="D115" s="223" t="s">
        <v>1221</v>
      </c>
      <c r="E115" s="223" t="s">
        <v>1087</v>
      </c>
      <c r="F115" s="223" t="s">
        <v>27</v>
      </c>
      <c r="G115" s="223" t="s">
        <v>1098</v>
      </c>
    </row>
    <row r="116" spans="1:7" x14ac:dyDescent="0.3">
      <c r="A116" s="223">
        <v>115</v>
      </c>
      <c r="B116" s="223" t="s">
        <v>1085</v>
      </c>
      <c r="C116" s="223" t="s">
        <v>1225</v>
      </c>
      <c r="D116" s="223" t="s">
        <v>1221</v>
      </c>
      <c r="E116" s="223" t="s">
        <v>1087</v>
      </c>
      <c r="F116" s="223" t="s">
        <v>1096</v>
      </c>
      <c r="G116" s="223" t="s">
        <v>1207</v>
      </c>
    </row>
    <row r="117" spans="1:7" x14ac:dyDescent="0.3">
      <c r="A117" s="223">
        <v>116</v>
      </c>
      <c r="B117" s="223" t="s">
        <v>1085</v>
      </c>
      <c r="C117" s="223" t="s">
        <v>1225</v>
      </c>
      <c r="D117" s="223" t="s">
        <v>1221</v>
      </c>
      <c r="E117" s="223" t="s">
        <v>1087</v>
      </c>
      <c r="F117" s="223" t="s">
        <v>1090</v>
      </c>
      <c r="G117" s="223" t="s">
        <v>1219</v>
      </c>
    </row>
    <row r="118" spans="1:7" x14ac:dyDescent="0.3">
      <c r="A118" s="223">
        <v>117</v>
      </c>
      <c r="B118" s="223" t="s">
        <v>1085</v>
      </c>
      <c r="C118" s="223" t="s">
        <v>1225</v>
      </c>
      <c r="D118" s="223" t="s">
        <v>1221</v>
      </c>
      <c r="E118" s="223" t="s">
        <v>21</v>
      </c>
      <c r="F118" s="223" t="s">
        <v>1093</v>
      </c>
      <c r="G118" s="223" t="s">
        <v>1219</v>
      </c>
    </row>
    <row r="119" spans="1:7" x14ac:dyDescent="0.3">
      <c r="A119" s="223">
        <v>118</v>
      </c>
      <c r="B119" s="223" t="s">
        <v>1085</v>
      </c>
      <c r="C119" s="223" t="s">
        <v>1225</v>
      </c>
      <c r="D119" s="223" t="s">
        <v>1221</v>
      </c>
      <c r="E119" s="223" t="s">
        <v>21</v>
      </c>
      <c r="F119" s="223" t="s">
        <v>27</v>
      </c>
      <c r="G119" s="223" t="s">
        <v>1108</v>
      </c>
    </row>
    <row r="120" spans="1:7" x14ac:dyDescent="0.3">
      <c r="A120" s="223">
        <v>119</v>
      </c>
      <c r="B120" s="223" t="s">
        <v>1085</v>
      </c>
      <c r="C120" s="223" t="s">
        <v>1225</v>
      </c>
      <c r="D120" s="223" t="s">
        <v>1221</v>
      </c>
      <c r="E120" s="223" t="s">
        <v>21</v>
      </c>
      <c r="F120" s="223" t="s">
        <v>1096</v>
      </c>
      <c r="G120" s="223" t="s">
        <v>1194</v>
      </c>
    </row>
    <row r="121" spans="1:7" x14ac:dyDescent="0.3">
      <c r="A121" s="223">
        <v>120</v>
      </c>
      <c r="B121" s="223" t="s">
        <v>1085</v>
      </c>
      <c r="C121" s="223" t="s">
        <v>1225</v>
      </c>
      <c r="D121" s="223" t="s">
        <v>1221</v>
      </c>
      <c r="E121" s="223" t="s">
        <v>21</v>
      </c>
      <c r="F121" s="223" t="s">
        <v>1090</v>
      </c>
      <c r="G121" s="223" t="s">
        <v>1219</v>
      </c>
    </row>
    <row r="122" spans="1:7" x14ac:dyDescent="0.3">
      <c r="A122" s="223">
        <v>121</v>
      </c>
      <c r="B122" s="223" t="s">
        <v>1085</v>
      </c>
      <c r="C122" s="223" t="s">
        <v>1225</v>
      </c>
      <c r="D122" s="223" t="s">
        <v>1222</v>
      </c>
      <c r="E122" s="223" t="s">
        <v>1087</v>
      </c>
      <c r="F122" s="223" t="s">
        <v>1093</v>
      </c>
      <c r="G122" s="223" t="s">
        <v>1091</v>
      </c>
    </row>
    <row r="123" spans="1:7" x14ac:dyDescent="0.3">
      <c r="A123" s="223">
        <v>122</v>
      </c>
      <c r="B123" s="223" t="s">
        <v>1085</v>
      </c>
      <c r="C123" s="223" t="s">
        <v>1225</v>
      </c>
      <c r="D123" s="223" t="s">
        <v>1222</v>
      </c>
      <c r="E123" s="223" t="s">
        <v>1087</v>
      </c>
      <c r="F123" s="223" t="s">
        <v>27</v>
      </c>
      <c r="G123" s="223" t="s">
        <v>1098</v>
      </c>
    </row>
    <row r="124" spans="1:7" x14ac:dyDescent="0.3">
      <c r="A124" s="223">
        <v>123</v>
      </c>
      <c r="B124" s="223" t="s">
        <v>1085</v>
      </c>
      <c r="C124" s="223" t="s">
        <v>1225</v>
      </c>
      <c r="D124" s="223" t="s">
        <v>1222</v>
      </c>
      <c r="E124" s="223" t="s">
        <v>1087</v>
      </c>
      <c r="F124" s="223" t="s">
        <v>1096</v>
      </c>
      <c r="G124" s="223" t="s">
        <v>1207</v>
      </c>
    </row>
    <row r="125" spans="1:7" x14ac:dyDescent="0.3">
      <c r="A125" s="223">
        <v>124</v>
      </c>
      <c r="B125" s="223" t="s">
        <v>1085</v>
      </c>
      <c r="C125" s="223" t="s">
        <v>1225</v>
      </c>
      <c r="D125" s="223" t="s">
        <v>1222</v>
      </c>
      <c r="E125" s="223" t="s">
        <v>1087</v>
      </c>
      <c r="F125" s="223" t="s">
        <v>1090</v>
      </c>
      <c r="G125" s="223" t="s">
        <v>1219</v>
      </c>
    </row>
    <row r="126" spans="1:7" x14ac:dyDescent="0.3">
      <c r="A126" s="223">
        <v>125</v>
      </c>
      <c r="B126" s="223" t="s">
        <v>1085</v>
      </c>
      <c r="C126" s="223" t="s">
        <v>1225</v>
      </c>
      <c r="D126" s="223" t="s">
        <v>1222</v>
      </c>
      <c r="E126" s="223" t="s">
        <v>21</v>
      </c>
      <c r="F126" s="223" t="s">
        <v>1093</v>
      </c>
      <c r="G126" s="223" t="s">
        <v>1219</v>
      </c>
    </row>
    <row r="127" spans="1:7" x14ac:dyDescent="0.3">
      <c r="A127" s="223">
        <v>126</v>
      </c>
      <c r="B127" s="223" t="s">
        <v>1085</v>
      </c>
      <c r="C127" s="223" t="s">
        <v>1225</v>
      </c>
      <c r="D127" s="223" t="s">
        <v>1222</v>
      </c>
      <c r="E127" s="223" t="s">
        <v>21</v>
      </c>
      <c r="F127" s="223" t="s">
        <v>27</v>
      </c>
      <c r="G127" s="223" t="s">
        <v>1108</v>
      </c>
    </row>
    <row r="128" spans="1:7" x14ac:dyDescent="0.3">
      <c r="A128" s="223">
        <v>127</v>
      </c>
      <c r="B128" s="223" t="s">
        <v>1085</v>
      </c>
      <c r="C128" s="223" t="s">
        <v>1225</v>
      </c>
      <c r="D128" s="223" t="s">
        <v>1222</v>
      </c>
      <c r="E128" s="223" t="s">
        <v>21</v>
      </c>
      <c r="F128" s="223" t="s">
        <v>1096</v>
      </c>
      <c r="G128" s="223" t="s">
        <v>1194</v>
      </c>
    </row>
    <row r="129" spans="1:7" x14ac:dyDescent="0.3">
      <c r="A129" s="223">
        <v>128</v>
      </c>
      <c r="B129" s="223" t="s">
        <v>1085</v>
      </c>
      <c r="C129" s="223" t="s">
        <v>1225</v>
      </c>
      <c r="D129" s="223" t="s">
        <v>1222</v>
      </c>
      <c r="E129" s="223" t="s">
        <v>21</v>
      </c>
      <c r="F129" s="223" t="s">
        <v>1090</v>
      </c>
      <c r="G129" s="223" t="s">
        <v>1219</v>
      </c>
    </row>
    <row r="130" spans="1:7" x14ac:dyDescent="0.3">
      <c r="A130" s="223">
        <v>129</v>
      </c>
      <c r="B130" s="223" t="s">
        <v>1085</v>
      </c>
      <c r="C130" s="223" t="s">
        <v>1225</v>
      </c>
      <c r="D130" s="223" t="s">
        <v>1223</v>
      </c>
      <c r="E130" s="223" t="s">
        <v>1087</v>
      </c>
      <c r="F130" s="223" t="s">
        <v>1093</v>
      </c>
      <c r="G130" s="223" t="s">
        <v>1219</v>
      </c>
    </row>
    <row r="131" spans="1:7" x14ac:dyDescent="0.3">
      <c r="A131" s="223">
        <v>130</v>
      </c>
      <c r="B131" s="223" t="s">
        <v>1085</v>
      </c>
      <c r="C131" s="223" t="s">
        <v>1225</v>
      </c>
      <c r="D131" s="223" t="s">
        <v>1223</v>
      </c>
      <c r="E131" s="223" t="s">
        <v>1087</v>
      </c>
      <c r="F131" s="223" t="s">
        <v>27</v>
      </c>
      <c r="G131" s="223" t="s">
        <v>1219</v>
      </c>
    </row>
    <row r="132" spans="1:7" x14ac:dyDescent="0.3">
      <c r="A132" s="223">
        <v>131</v>
      </c>
      <c r="B132" s="223" t="s">
        <v>1085</v>
      </c>
      <c r="C132" s="223" t="s">
        <v>1225</v>
      </c>
      <c r="D132" s="223" t="s">
        <v>1223</v>
      </c>
      <c r="E132" s="223" t="s">
        <v>1087</v>
      </c>
      <c r="F132" s="223" t="s">
        <v>1096</v>
      </c>
      <c r="G132" s="223" t="s">
        <v>1104</v>
      </c>
    </row>
    <row r="133" spans="1:7" x14ac:dyDescent="0.3">
      <c r="A133" s="223">
        <v>132</v>
      </c>
      <c r="B133" s="223" t="s">
        <v>1085</v>
      </c>
      <c r="C133" s="223" t="s">
        <v>1225</v>
      </c>
      <c r="D133" s="223" t="s">
        <v>1223</v>
      </c>
      <c r="E133" s="223" t="s">
        <v>1087</v>
      </c>
      <c r="F133" s="223" t="s">
        <v>1090</v>
      </c>
      <c r="G133" s="223" t="s">
        <v>1190</v>
      </c>
    </row>
    <row r="134" spans="1:7" x14ac:dyDescent="0.3">
      <c r="A134" s="223">
        <v>133</v>
      </c>
      <c r="B134" s="223" t="s">
        <v>1085</v>
      </c>
      <c r="C134" s="223" t="s">
        <v>1225</v>
      </c>
      <c r="D134" s="223" t="s">
        <v>1223</v>
      </c>
      <c r="E134" s="223" t="s">
        <v>21</v>
      </c>
      <c r="F134" s="223" t="s">
        <v>1093</v>
      </c>
      <c r="G134" s="223" t="s">
        <v>1219</v>
      </c>
    </row>
    <row r="135" spans="1:7" x14ac:dyDescent="0.3">
      <c r="A135" s="223">
        <v>134</v>
      </c>
      <c r="B135" s="223" t="s">
        <v>1085</v>
      </c>
      <c r="C135" s="223" t="s">
        <v>1225</v>
      </c>
      <c r="D135" s="223" t="s">
        <v>1223</v>
      </c>
      <c r="E135" s="223" t="s">
        <v>21</v>
      </c>
      <c r="F135" s="223" t="s">
        <v>27</v>
      </c>
      <c r="G135" s="223" t="s">
        <v>1105</v>
      </c>
    </row>
    <row r="136" spans="1:7" x14ac:dyDescent="0.3">
      <c r="A136" s="223">
        <v>135</v>
      </c>
      <c r="B136" s="223" t="s">
        <v>1085</v>
      </c>
      <c r="C136" s="223" t="s">
        <v>1225</v>
      </c>
      <c r="D136" s="223" t="s">
        <v>1223</v>
      </c>
      <c r="E136" s="223" t="s">
        <v>21</v>
      </c>
      <c r="F136" s="223" t="s">
        <v>1096</v>
      </c>
      <c r="G136" s="223" t="s">
        <v>1094</v>
      </c>
    </row>
    <row r="137" spans="1:7" x14ac:dyDescent="0.3">
      <c r="A137" s="223">
        <v>136</v>
      </c>
      <c r="B137" s="223" t="s">
        <v>1085</v>
      </c>
      <c r="C137" s="223" t="s">
        <v>1225</v>
      </c>
      <c r="D137" s="223" t="s">
        <v>1223</v>
      </c>
      <c r="E137" s="223" t="s">
        <v>21</v>
      </c>
      <c r="F137" s="223" t="s">
        <v>1090</v>
      </c>
      <c r="G137" s="223" t="s">
        <v>1103</v>
      </c>
    </row>
    <row r="138" spans="1:7" x14ac:dyDescent="0.3">
      <c r="A138" s="223">
        <v>137</v>
      </c>
      <c r="B138" s="223" t="s">
        <v>1085</v>
      </c>
      <c r="C138" s="223" t="s">
        <v>1225</v>
      </c>
      <c r="D138" s="223" t="s">
        <v>12</v>
      </c>
      <c r="E138" s="223" t="s">
        <v>1087</v>
      </c>
      <c r="F138" s="223" t="s">
        <v>1093</v>
      </c>
      <c r="G138" s="223" t="s">
        <v>1219</v>
      </c>
    </row>
    <row r="139" spans="1:7" x14ac:dyDescent="0.3">
      <c r="A139" s="223">
        <v>138</v>
      </c>
      <c r="B139" s="223" t="s">
        <v>1085</v>
      </c>
      <c r="C139" s="223" t="s">
        <v>1225</v>
      </c>
      <c r="D139" s="223" t="s">
        <v>12</v>
      </c>
      <c r="E139" s="223" t="s">
        <v>1087</v>
      </c>
      <c r="F139" s="223" t="s">
        <v>27</v>
      </c>
      <c r="G139" s="223" t="s">
        <v>1219</v>
      </c>
    </row>
    <row r="140" spans="1:7" x14ac:dyDescent="0.3">
      <c r="A140" s="223">
        <v>139</v>
      </c>
      <c r="B140" s="223" t="s">
        <v>1085</v>
      </c>
      <c r="C140" s="223" t="s">
        <v>1225</v>
      </c>
      <c r="D140" s="223" t="s">
        <v>12</v>
      </c>
      <c r="E140" s="223" t="s">
        <v>1087</v>
      </c>
      <c r="F140" s="223" t="s">
        <v>1096</v>
      </c>
      <c r="G140" s="223" t="s">
        <v>1104</v>
      </c>
    </row>
    <row r="141" spans="1:7" x14ac:dyDescent="0.3">
      <c r="A141" s="223">
        <v>140</v>
      </c>
      <c r="B141" s="223" t="s">
        <v>1085</v>
      </c>
      <c r="C141" s="223" t="s">
        <v>1225</v>
      </c>
      <c r="D141" s="223" t="s">
        <v>12</v>
      </c>
      <c r="E141" s="223" t="s">
        <v>1087</v>
      </c>
      <c r="F141" s="223" t="s">
        <v>1090</v>
      </c>
      <c r="G141" s="223" t="s">
        <v>1190</v>
      </c>
    </row>
    <row r="142" spans="1:7" x14ac:dyDescent="0.3">
      <c r="A142" s="223">
        <v>141</v>
      </c>
      <c r="B142" s="223" t="s">
        <v>1085</v>
      </c>
      <c r="C142" s="223" t="s">
        <v>1225</v>
      </c>
      <c r="D142" s="223" t="s">
        <v>12</v>
      </c>
      <c r="E142" s="223" t="s">
        <v>21</v>
      </c>
      <c r="F142" s="223" t="s">
        <v>1093</v>
      </c>
      <c r="G142" s="223" t="s">
        <v>1219</v>
      </c>
    </row>
    <row r="143" spans="1:7" x14ac:dyDescent="0.3">
      <c r="A143" s="223">
        <v>142</v>
      </c>
      <c r="B143" s="223" t="s">
        <v>1085</v>
      </c>
      <c r="C143" s="223" t="s">
        <v>1225</v>
      </c>
      <c r="D143" s="223" t="s">
        <v>12</v>
      </c>
      <c r="E143" s="223" t="s">
        <v>21</v>
      </c>
      <c r="F143" s="223" t="s">
        <v>27</v>
      </c>
      <c r="G143" s="223" t="s">
        <v>1105</v>
      </c>
    </row>
    <row r="144" spans="1:7" x14ac:dyDescent="0.3">
      <c r="A144" s="223">
        <v>143</v>
      </c>
      <c r="B144" s="223" t="s">
        <v>1085</v>
      </c>
      <c r="C144" s="223" t="s">
        <v>1225</v>
      </c>
      <c r="D144" s="223" t="s">
        <v>12</v>
      </c>
      <c r="E144" s="223" t="s">
        <v>21</v>
      </c>
      <c r="F144" s="223" t="s">
        <v>1096</v>
      </c>
      <c r="G144" s="223" t="s">
        <v>1094</v>
      </c>
    </row>
    <row r="145" spans="1:7" x14ac:dyDescent="0.3">
      <c r="A145" s="223">
        <v>144</v>
      </c>
      <c r="B145" s="223" t="s">
        <v>1085</v>
      </c>
      <c r="C145" s="223" t="s">
        <v>1225</v>
      </c>
      <c r="D145" s="223" t="s">
        <v>12</v>
      </c>
      <c r="E145" s="223" t="s">
        <v>21</v>
      </c>
      <c r="F145" s="223" t="s">
        <v>1090</v>
      </c>
      <c r="G145" s="223" t="s">
        <v>1103</v>
      </c>
    </row>
    <row r="146" spans="1:7" x14ac:dyDescent="0.3">
      <c r="A146" s="223">
        <v>145</v>
      </c>
      <c r="B146" s="223" t="s">
        <v>1085</v>
      </c>
      <c r="C146" s="223" t="s">
        <v>1226</v>
      </c>
      <c r="D146" s="223" t="s">
        <v>1218</v>
      </c>
      <c r="E146" s="223" t="s">
        <v>1087</v>
      </c>
      <c r="F146" s="223" t="s">
        <v>1093</v>
      </c>
      <c r="G146" s="223" t="s">
        <v>1107</v>
      </c>
    </row>
    <row r="147" spans="1:7" x14ac:dyDescent="0.3">
      <c r="A147" s="223">
        <v>146</v>
      </c>
      <c r="B147" s="223" t="s">
        <v>1085</v>
      </c>
      <c r="C147" s="223" t="s">
        <v>1226</v>
      </c>
      <c r="D147" s="223" t="s">
        <v>1218</v>
      </c>
      <c r="E147" s="223" t="s">
        <v>1087</v>
      </c>
      <c r="F147" s="223" t="s">
        <v>27</v>
      </c>
      <c r="G147" s="223" t="s">
        <v>1084</v>
      </c>
    </row>
    <row r="148" spans="1:7" x14ac:dyDescent="0.3">
      <c r="A148" s="223">
        <v>147</v>
      </c>
      <c r="B148" s="223" t="s">
        <v>1085</v>
      </c>
      <c r="C148" s="223" t="s">
        <v>1226</v>
      </c>
      <c r="D148" s="223" t="s">
        <v>1218</v>
      </c>
      <c r="E148" s="223" t="s">
        <v>1087</v>
      </c>
      <c r="F148" s="223" t="s">
        <v>1096</v>
      </c>
      <c r="G148" s="223" t="s">
        <v>1099</v>
      </c>
    </row>
    <row r="149" spans="1:7" x14ac:dyDescent="0.3">
      <c r="A149" s="223">
        <v>148</v>
      </c>
      <c r="B149" s="223" t="s">
        <v>1085</v>
      </c>
      <c r="C149" s="223" t="s">
        <v>1226</v>
      </c>
      <c r="D149" s="223" t="s">
        <v>1218</v>
      </c>
      <c r="E149" s="223" t="s">
        <v>1087</v>
      </c>
      <c r="F149" s="223" t="s">
        <v>1090</v>
      </c>
      <c r="G149" s="223" t="s">
        <v>1219</v>
      </c>
    </row>
    <row r="150" spans="1:7" x14ac:dyDescent="0.3">
      <c r="A150" s="223">
        <v>149</v>
      </c>
      <c r="B150" s="223" t="s">
        <v>1085</v>
      </c>
      <c r="C150" s="223" t="s">
        <v>1226</v>
      </c>
      <c r="D150" s="223" t="s">
        <v>1218</v>
      </c>
      <c r="E150" s="223" t="s">
        <v>21</v>
      </c>
      <c r="F150" s="223" t="s">
        <v>1093</v>
      </c>
      <c r="G150" s="223" t="s">
        <v>1219</v>
      </c>
    </row>
    <row r="151" spans="1:7" x14ac:dyDescent="0.3">
      <c r="A151" s="223">
        <v>150</v>
      </c>
      <c r="B151" s="223" t="s">
        <v>1085</v>
      </c>
      <c r="C151" s="223" t="s">
        <v>1226</v>
      </c>
      <c r="D151" s="223" t="s">
        <v>1218</v>
      </c>
      <c r="E151" s="223" t="s">
        <v>21</v>
      </c>
      <c r="F151" s="223" t="s">
        <v>27</v>
      </c>
      <c r="G151" s="223" t="s">
        <v>1106</v>
      </c>
    </row>
    <row r="152" spans="1:7" x14ac:dyDescent="0.3">
      <c r="A152" s="223">
        <v>151</v>
      </c>
      <c r="B152" s="223" t="s">
        <v>1085</v>
      </c>
      <c r="C152" s="223" t="s">
        <v>1226</v>
      </c>
      <c r="D152" s="223" t="s">
        <v>1218</v>
      </c>
      <c r="E152" s="223" t="s">
        <v>21</v>
      </c>
      <c r="F152" s="223" t="s">
        <v>1096</v>
      </c>
      <c r="G152" s="223" t="s">
        <v>1100</v>
      </c>
    </row>
    <row r="153" spans="1:7" x14ac:dyDescent="0.3">
      <c r="A153" s="223">
        <v>152</v>
      </c>
      <c r="B153" s="223" t="s">
        <v>1085</v>
      </c>
      <c r="C153" s="223" t="s">
        <v>1226</v>
      </c>
      <c r="D153" s="223" t="s">
        <v>1218</v>
      </c>
      <c r="E153" s="223" t="s">
        <v>21</v>
      </c>
      <c r="F153" s="223" t="s">
        <v>1090</v>
      </c>
      <c r="G153" s="223" t="s">
        <v>1219</v>
      </c>
    </row>
    <row r="154" spans="1:7" x14ac:dyDescent="0.3">
      <c r="A154" s="223">
        <v>153</v>
      </c>
      <c r="B154" s="223" t="s">
        <v>1085</v>
      </c>
      <c r="C154" s="223" t="s">
        <v>1226</v>
      </c>
      <c r="D154" s="223" t="s">
        <v>1220</v>
      </c>
      <c r="E154" s="223" t="s">
        <v>1087</v>
      </c>
      <c r="F154" s="223" t="s">
        <v>1093</v>
      </c>
      <c r="G154" s="223" t="s">
        <v>1107</v>
      </c>
    </row>
    <row r="155" spans="1:7" x14ac:dyDescent="0.3">
      <c r="A155" s="223">
        <v>154</v>
      </c>
      <c r="B155" s="223" t="s">
        <v>1085</v>
      </c>
      <c r="C155" s="223" t="s">
        <v>1226</v>
      </c>
      <c r="D155" s="223" t="s">
        <v>1220</v>
      </c>
      <c r="E155" s="223" t="s">
        <v>1087</v>
      </c>
      <c r="F155" s="223" t="s">
        <v>27</v>
      </c>
      <c r="G155" s="223" t="s">
        <v>1084</v>
      </c>
    </row>
    <row r="156" spans="1:7" x14ac:dyDescent="0.3">
      <c r="A156" s="223">
        <v>155</v>
      </c>
      <c r="B156" s="223" t="s">
        <v>1085</v>
      </c>
      <c r="C156" s="223" t="s">
        <v>1226</v>
      </c>
      <c r="D156" s="223" t="s">
        <v>1220</v>
      </c>
      <c r="E156" s="223" t="s">
        <v>1087</v>
      </c>
      <c r="F156" s="223" t="s">
        <v>1096</v>
      </c>
      <c r="G156" s="223" t="s">
        <v>1099</v>
      </c>
    </row>
    <row r="157" spans="1:7" x14ac:dyDescent="0.3">
      <c r="A157" s="223">
        <v>156</v>
      </c>
      <c r="B157" s="223" t="s">
        <v>1085</v>
      </c>
      <c r="C157" s="223" t="s">
        <v>1226</v>
      </c>
      <c r="D157" s="223" t="s">
        <v>1220</v>
      </c>
      <c r="E157" s="223" t="s">
        <v>1087</v>
      </c>
      <c r="F157" s="223" t="s">
        <v>1090</v>
      </c>
      <c r="G157" s="223" t="s">
        <v>1219</v>
      </c>
    </row>
    <row r="158" spans="1:7" x14ac:dyDescent="0.3">
      <c r="A158" s="223">
        <v>157</v>
      </c>
      <c r="B158" s="223" t="s">
        <v>1085</v>
      </c>
      <c r="C158" s="223" t="s">
        <v>1226</v>
      </c>
      <c r="D158" s="223" t="s">
        <v>1220</v>
      </c>
      <c r="E158" s="223" t="s">
        <v>21</v>
      </c>
      <c r="F158" s="223" t="s">
        <v>1093</v>
      </c>
      <c r="G158" s="223" t="s">
        <v>1219</v>
      </c>
    </row>
    <row r="159" spans="1:7" x14ac:dyDescent="0.3">
      <c r="A159" s="223">
        <v>158</v>
      </c>
      <c r="B159" s="223" t="s">
        <v>1085</v>
      </c>
      <c r="C159" s="223" t="s">
        <v>1226</v>
      </c>
      <c r="D159" s="223" t="s">
        <v>1220</v>
      </c>
      <c r="E159" s="223" t="s">
        <v>21</v>
      </c>
      <c r="F159" s="223" t="s">
        <v>27</v>
      </c>
      <c r="G159" s="223" t="s">
        <v>1106</v>
      </c>
    </row>
    <row r="160" spans="1:7" x14ac:dyDescent="0.3">
      <c r="A160" s="223">
        <v>159</v>
      </c>
      <c r="B160" s="223" t="s">
        <v>1085</v>
      </c>
      <c r="C160" s="223" t="s">
        <v>1226</v>
      </c>
      <c r="D160" s="223" t="s">
        <v>1220</v>
      </c>
      <c r="E160" s="223" t="s">
        <v>21</v>
      </c>
      <c r="F160" s="223" t="s">
        <v>1096</v>
      </c>
      <c r="G160" s="223" t="s">
        <v>1100</v>
      </c>
    </row>
    <row r="161" spans="1:7" x14ac:dyDescent="0.3">
      <c r="A161" s="223">
        <v>160</v>
      </c>
      <c r="B161" s="223" t="s">
        <v>1085</v>
      </c>
      <c r="C161" s="223" t="s">
        <v>1226</v>
      </c>
      <c r="D161" s="223" t="s">
        <v>1220</v>
      </c>
      <c r="E161" s="223" t="s">
        <v>21</v>
      </c>
      <c r="F161" s="223" t="s">
        <v>1090</v>
      </c>
      <c r="G161" s="223" t="s">
        <v>1219</v>
      </c>
    </row>
    <row r="162" spans="1:7" x14ac:dyDescent="0.3">
      <c r="A162" s="223">
        <v>161</v>
      </c>
      <c r="B162" s="223" t="s">
        <v>1085</v>
      </c>
      <c r="C162" s="223" t="s">
        <v>1226</v>
      </c>
      <c r="D162" s="223" t="s">
        <v>1221</v>
      </c>
      <c r="E162" s="223" t="s">
        <v>1087</v>
      </c>
      <c r="F162" s="223" t="s">
        <v>1093</v>
      </c>
      <c r="G162" s="223" t="s">
        <v>1107</v>
      </c>
    </row>
    <row r="163" spans="1:7" x14ac:dyDescent="0.3">
      <c r="A163" s="223">
        <v>162</v>
      </c>
      <c r="B163" s="223" t="s">
        <v>1085</v>
      </c>
      <c r="C163" s="223" t="s">
        <v>1226</v>
      </c>
      <c r="D163" s="223" t="s">
        <v>1221</v>
      </c>
      <c r="E163" s="223" t="s">
        <v>1087</v>
      </c>
      <c r="F163" s="223" t="s">
        <v>27</v>
      </c>
      <c r="G163" s="223" t="s">
        <v>1084</v>
      </c>
    </row>
    <row r="164" spans="1:7" x14ac:dyDescent="0.3">
      <c r="A164" s="223">
        <v>163</v>
      </c>
      <c r="B164" s="223" t="s">
        <v>1085</v>
      </c>
      <c r="C164" s="223" t="s">
        <v>1226</v>
      </c>
      <c r="D164" s="223" t="s">
        <v>1221</v>
      </c>
      <c r="E164" s="223" t="s">
        <v>1087</v>
      </c>
      <c r="F164" s="223" t="s">
        <v>1096</v>
      </c>
      <c r="G164" s="223" t="s">
        <v>1099</v>
      </c>
    </row>
    <row r="165" spans="1:7" x14ac:dyDescent="0.3">
      <c r="A165" s="223">
        <v>164</v>
      </c>
      <c r="B165" s="223" t="s">
        <v>1085</v>
      </c>
      <c r="C165" s="223" t="s">
        <v>1226</v>
      </c>
      <c r="D165" s="223" t="s">
        <v>1221</v>
      </c>
      <c r="E165" s="223" t="s">
        <v>1087</v>
      </c>
      <c r="F165" s="223" t="s">
        <v>1090</v>
      </c>
      <c r="G165" s="223" t="s">
        <v>1219</v>
      </c>
    </row>
    <row r="166" spans="1:7" x14ac:dyDescent="0.3">
      <c r="A166" s="223">
        <v>165</v>
      </c>
      <c r="B166" s="223" t="s">
        <v>1085</v>
      </c>
      <c r="C166" s="223" t="s">
        <v>1226</v>
      </c>
      <c r="D166" s="223" t="s">
        <v>1221</v>
      </c>
      <c r="E166" s="223" t="s">
        <v>21</v>
      </c>
      <c r="F166" s="223" t="s">
        <v>1093</v>
      </c>
      <c r="G166" s="223" t="s">
        <v>1219</v>
      </c>
    </row>
    <row r="167" spans="1:7" x14ac:dyDescent="0.3">
      <c r="A167" s="223">
        <v>166</v>
      </c>
      <c r="B167" s="223" t="s">
        <v>1085</v>
      </c>
      <c r="C167" s="223" t="s">
        <v>1226</v>
      </c>
      <c r="D167" s="223" t="s">
        <v>1221</v>
      </c>
      <c r="E167" s="223" t="s">
        <v>21</v>
      </c>
      <c r="F167" s="223" t="s">
        <v>27</v>
      </c>
      <c r="G167" s="223" t="s">
        <v>1106</v>
      </c>
    </row>
    <row r="168" spans="1:7" x14ac:dyDescent="0.3">
      <c r="A168" s="223">
        <v>167</v>
      </c>
      <c r="B168" s="223" t="s">
        <v>1085</v>
      </c>
      <c r="C168" s="223" t="s">
        <v>1226</v>
      </c>
      <c r="D168" s="223" t="s">
        <v>1221</v>
      </c>
      <c r="E168" s="223" t="s">
        <v>21</v>
      </c>
      <c r="F168" s="223" t="s">
        <v>1096</v>
      </c>
      <c r="G168" s="223" t="s">
        <v>1100</v>
      </c>
    </row>
    <row r="169" spans="1:7" x14ac:dyDescent="0.3">
      <c r="A169" s="223">
        <v>168</v>
      </c>
      <c r="B169" s="223" t="s">
        <v>1085</v>
      </c>
      <c r="C169" s="223" t="s">
        <v>1226</v>
      </c>
      <c r="D169" s="223" t="s">
        <v>1221</v>
      </c>
      <c r="E169" s="223" t="s">
        <v>21</v>
      </c>
      <c r="F169" s="223" t="s">
        <v>1090</v>
      </c>
      <c r="G169" s="223" t="s">
        <v>1219</v>
      </c>
    </row>
    <row r="170" spans="1:7" x14ac:dyDescent="0.3">
      <c r="A170" s="223">
        <v>169</v>
      </c>
      <c r="B170" s="223" t="s">
        <v>1085</v>
      </c>
      <c r="C170" s="223" t="s">
        <v>1226</v>
      </c>
      <c r="D170" s="223" t="s">
        <v>1222</v>
      </c>
      <c r="E170" s="223" t="s">
        <v>1087</v>
      </c>
      <c r="F170" s="223" t="s">
        <v>1093</v>
      </c>
      <c r="G170" s="223" t="s">
        <v>1107</v>
      </c>
    </row>
    <row r="171" spans="1:7" x14ac:dyDescent="0.3">
      <c r="A171" s="223">
        <v>170</v>
      </c>
      <c r="B171" s="223" t="s">
        <v>1085</v>
      </c>
      <c r="C171" s="223" t="s">
        <v>1226</v>
      </c>
      <c r="D171" s="223" t="s">
        <v>1222</v>
      </c>
      <c r="E171" s="223" t="s">
        <v>1087</v>
      </c>
      <c r="F171" s="223" t="s">
        <v>27</v>
      </c>
      <c r="G171" s="223" t="s">
        <v>1084</v>
      </c>
    </row>
    <row r="172" spans="1:7" x14ac:dyDescent="0.3">
      <c r="A172" s="223">
        <v>171</v>
      </c>
      <c r="B172" s="223" t="s">
        <v>1085</v>
      </c>
      <c r="C172" s="223" t="s">
        <v>1226</v>
      </c>
      <c r="D172" s="223" t="s">
        <v>1222</v>
      </c>
      <c r="E172" s="223" t="s">
        <v>1087</v>
      </c>
      <c r="F172" s="223" t="s">
        <v>1096</v>
      </c>
      <c r="G172" s="223" t="s">
        <v>1099</v>
      </c>
    </row>
    <row r="173" spans="1:7" x14ac:dyDescent="0.3">
      <c r="A173" s="223">
        <v>172</v>
      </c>
      <c r="B173" s="223" t="s">
        <v>1085</v>
      </c>
      <c r="C173" s="223" t="s">
        <v>1226</v>
      </c>
      <c r="D173" s="223" t="s">
        <v>1222</v>
      </c>
      <c r="E173" s="223" t="s">
        <v>1087</v>
      </c>
      <c r="F173" s="223" t="s">
        <v>1090</v>
      </c>
      <c r="G173" s="223" t="s">
        <v>1219</v>
      </c>
    </row>
    <row r="174" spans="1:7" x14ac:dyDescent="0.3">
      <c r="A174" s="223">
        <v>173</v>
      </c>
      <c r="B174" s="223" t="s">
        <v>1085</v>
      </c>
      <c r="C174" s="223" t="s">
        <v>1226</v>
      </c>
      <c r="D174" s="223" t="s">
        <v>1222</v>
      </c>
      <c r="E174" s="223" t="s">
        <v>21</v>
      </c>
      <c r="F174" s="223" t="s">
        <v>1093</v>
      </c>
      <c r="G174" s="223" t="s">
        <v>1219</v>
      </c>
    </row>
    <row r="175" spans="1:7" x14ac:dyDescent="0.3">
      <c r="A175" s="223">
        <v>174</v>
      </c>
      <c r="B175" s="223" t="s">
        <v>1085</v>
      </c>
      <c r="C175" s="223" t="s">
        <v>1226</v>
      </c>
      <c r="D175" s="223" t="s">
        <v>1222</v>
      </c>
      <c r="E175" s="223" t="s">
        <v>21</v>
      </c>
      <c r="F175" s="223" t="s">
        <v>27</v>
      </c>
      <c r="G175" s="223" t="s">
        <v>1106</v>
      </c>
    </row>
    <row r="176" spans="1:7" x14ac:dyDescent="0.3">
      <c r="A176" s="223">
        <v>175</v>
      </c>
      <c r="B176" s="223" t="s">
        <v>1085</v>
      </c>
      <c r="C176" s="223" t="s">
        <v>1226</v>
      </c>
      <c r="D176" s="223" t="s">
        <v>1222</v>
      </c>
      <c r="E176" s="223" t="s">
        <v>21</v>
      </c>
      <c r="F176" s="223" t="s">
        <v>1096</v>
      </c>
      <c r="G176" s="223" t="s">
        <v>1100</v>
      </c>
    </row>
    <row r="177" spans="1:7" x14ac:dyDescent="0.3">
      <c r="A177" s="223">
        <v>176</v>
      </c>
      <c r="B177" s="223" t="s">
        <v>1085</v>
      </c>
      <c r="C177" s="223" t="s">
        <v>1226</v>
      </c>
      <c r="D177" s="223" t="s">
        <v>1222</v>
      </c>
      <c r="E177" s="223" t="s">
        <v>21</v>
      </c>
      <c r="F177" s="223" t="s">
        <v>1090</v>
      </c>
      <c r="G177" s="223" t="s">
        <v>1219</v>
      </c>
    </row>
    <row r="178" spans="1:7" x14ac:dyDescent="0.3">
      <c r="A178" s="223">
        <v>177</v>
      </c>
      <c r="B178" s="223" t="s">
        <v>1085</v>
      </c>
      <c r="C178" s="223" t="s">
        <v>1226</v>
      </c>
      <c r="D178" s="223" t="s">
        <v>1223</v>
      </c>
      <c r="E178" s="223" t="s">
        <v>1087</v>
      </c>
      <c r="F178" s="223" t="s">
        <v>1093</v>
      </c>
      <c r="G178" s="223" t="s">
        <v>1219</v>
      </c>
    </row>
    <row r="179" spans="1:7" x14ac:dyDescent="0.3">
      <c r="A179" s="223">
        <v>178</v>
      </c>
      <c r="B179" s="223" t="s">
        <v>1085</v>
      </c>
      <c r="C179" s="223" t="s">
        <v>1226</v>
      </c>
      <c r="D179" s="223" t="s">
        <v>1223</v>
      </c>
      <c r="E179" s="223" t="s">
        <v>1087</v>
      </c>
      <c r="F179" s="223" t="s">
        <v>27</v>
      </c>
      <c r="G179" s="223" t="s">
        <v>1219</v>
      </c>
    </row>
    <row r="180" spans="1:7" x14ac:dyDescent="0.3">
      <c r="A180" s="223">
        <v>179</v>
      </c>
      <c r="B180" s="223" t="s">
        <v>1085</v>
      </c>
      <c r="C180" s="223" t="s">
        <v>1226</v>
      </c>
      <c r="D180" s="223" t="s">
        <v>1223</v>
      </c>
      <c r="E180" s="223" t="s">
        <v>1087</v>
      </c>
      <c r="F180" s="223" t="s">
        <v>1096</v>
      </c>
      <c r="G180" s="223" t="s">
        <v>1101</v>
      </c>
    </row>
    <row r="181" spans="1:7" x14ac:dyDescent="0.3">
      <c r="A181" s="223">
        <v>180</v>
      </c>
      <c r="B181" s="223" t="s">
        <v>1085</v>
      </c>
      <c r="C181" s="223" t="s">
        <v>1226</v>
      </c>
      <c r="D181" s="223" t="s">
        <v>1223</v>
      </c>
      <c r="E181" s="223" t="s">
        <v>1087</v>
      </c>
      <c r="F181" s="223" t="s">
        <v>1090</v>
      </c>
      <c r="G181" s="223" t="s">
        <v>1102</v>
      </c>
    </row>
    <row r="182" spans="1:7" x14ac:dyDescent="0.3">
      <c r="A182" s="223">
        <v>181</v>
      </c>
      <c r="B182" s="223" t="s">
        <v>1085</v>
      </c>
      <c r="C182" s="223" t="s">
        <v>1226</v>
      </c>
      <c r="D182" s="223" t="s">
        <v>1223</v>
      </c>
      <c r="E182" s="223" t="s">
        <v>21</v>
      </c>
      <c r="F182" s="223" t="s">
        <v>1093</v>
      </c>
      <c r="G182" s="223" t="s">
        <v>1219</v>
      </c>
    </row>
    <row r="183" spans="1:7" x14ac:dyDescent="0.3">
      <c r="A183" s="223">
        <v>182</v>
      </c>
      <c r="B183" s="223" t="s">
        <v>1085</v>
      </c>
      <c r="C183" s="223" t="s">
        <v>1226</v>
      </c>
      <c r="D183" s="223" t="s">
        <v>1223</v>
      </c>
      <c r="E183" s="223" t="s">
        <v>21</v>
      </c>
      <c r="F183" s="223" t="s">
        <v>27</v>
      </c>
      <c r="G183" s="223" t="s">
        <v>1219</v>
      </c>
    </row>
    <row r="184" spans="1:7" x14ac:dyDescent="0.3">
      <c r="A184" s="223">
        <v>183</v>
      </c>
      <c r="B184" s="223" t="s">
        <v>1085</v>
      </c>
      <c r="C184" s="223" t="s">
        <v>1226</v>
      </c>
      <c r="D184" s="223" t="s">
        <v>1223</v>
      </c>
      <c r="E184" s="223" t="s">
        <v>21</v>
      </c>
      <c r="F184" s="223" t="s">
        <v>1096</v>
      </c>
      <c r="G184" s="223" t="s">
        <v>1097</v>
      </c>
    </row>
    <row r="185" spans="1:7" x14ac:dyDescent="0.3">
      <c r="A185" s="223">
        <v>184</v>
      </c>
      <c r="B185" s="223" t="s">
        <v>1085</v>
      </c>
      <c r="C185" s="223" t="s">
        <v>1226</v>
      </c>
      <c r="D185" s="223" t="s">
        <v>1223</v>
      </c>
      <c r="E185" s="223" t="s">
        <v>21</v>
      </c>
      <c r="F185" s="223" t="s">
        <v>1090</v>
      </c>
      <c r="G185" s="223" t="s">
        <v>1088</v>
      </c>
    </row>
    <row r="186" spans="1:7" x14ac:dyDescent="0.3">
      <c r="A186" s="223">
        <v>185</v>
      </c>
      <c r="B186" s="223" t="s">
        <v>1085</v>
      </c>
      <c r="C186" s="223" t="s">
        <v>1226</v>
      </c>
      <c r="D186" s="223" t="s">
        <v>12</v>
      </c>
      <c r="E186" s="223" t="s">
        <v>1087</v>
      </c>
      <c r="F186" s="223" t="s">
        <v>1093</v>
      </c>
      <c r="G186" s="223" t="s">
        <v>1219</v>
      </c>
    </row>
    <row r="187" spans="1:7" x14ac:dyDescent="0.3">
      <c r="A187" s="223">
        <v>186</v>
      </c>
      <c r="B187" s="223" t="s">
        <v>1085</v>
      </c>
      <c r="C187" s="223" t="s">
        <v>1226</v>
      </c>
      <c r="D187" s="223" t="s">
        <v>12</v>
      </c>
      <c r="E187" s="223" t="s">
        <v>1087</v>
      </c>
      <c r="F187" s="223" t="s">
        <v>27</v>
      </c>
      <c r="G187" s="223" t="s">
        <v>1219</v>
      </c>
    </row>
    <row r="188" spans="1:7" x14ac:dyDescent="0.3">
      <c r="A188" s="223">
        <v>187</v>
      </c>
      <c r="B188" s="223" t="s">
        <v>1085</v>
      </c>
      <c r="C188" s="223" t="s">
        <v>1226</v>
      </c>
      <c r="D188" s="223" t="s">
        <v>12</v>
      </c>
      <c r="E188" s="223" t="s">
        <v>1087</v>
      </c>
      <c r="F188" s="223" t="s">
        <v>1096</v>
      </c>
      <c r="G188" s="223" t="s">
        <v>1101</v>
      </c>
    </row>
    <row r="189" spans="1:7" x14ac:dyDescent="0.3">
      <c r="A189" s="223">
        <v>188</v>
      </c>
      <c r="B189" s="223" t="s">
        <v>1085</v>
      </c>
      <c r="C189" s="223" t="s">
        <v>1226</v>
      </c>
      <c r="D189" s="223" t="s">
        <v>12</v>
      </c>
      <c r="E189" s="223" t="s">
        <v>1087</v>
      </c>
      <c r="F189" s="223" t="s">
        <v>1090</v>
      </c>
      <c r="G189" s="223" t="s">
        <v>1102</v>
      </c>
    </row>
    <row r="190" spans="1:7" x14ac:dyDescent="0.3">
      <c r="A190" s="223">
        <v>189</v>
      </c>
      <c r="B190" s="223" t="s">
        <v>1085</v>
      </c>
      <c r="C190" s="223" t="s">
        <v>1226</v>
      </c>
      <c r="D190" s="223" t="s">
        <v>12</v>
      </c>
      <c r="E190" s="223" t="s">
        <v>21</v>
      </c>
      <c r="F190" s="223" t="s">
        <v>1093</v>
      </c>
      <c r="G190" s="223" t="s">
        <v>1219</v>
      </c>
    </row>
    <row r="191" spans="1:7" x14ac:dyDescent="0.3">
      <c r="A191" s="223">
        <v>190</v>
      </c>
      <c r="B191" s="223" t="s">
        <v>1085</v>
      </c>
      <c r="C191" s="223" t="s">
        <v>1226</v>
      </c>
      <c r="D191" s="223" t="s">
        <v>12</v>
      </c>
      <c r="E191" s="223" t="s">
        <v>21</v>
      </c>
      <c r="F191" s="223" t="s">
        <v>27</v>
      </c>
      <c r="G191" s="223" t="s">
        <v>1219</v>
      </c>
    </row>
    <row r="192" spans="1:7" x14ac:dyDescent="0.3">
      <c r="A192" s="223">
        <v>191</v>
      </c>
      <c r="B192" s="223" t="s">
        <v>1085</v>
      </c>
      <c r="C192" s="223" t="s">
        <v>1226</v>
      </c>
      <c r="D192" s="223" t="s">
        <v>12</v>
      </c>
      <c r="E192" s="223" t="s">
        <v>21</v>
      </c>
      <c r="F192" s="223" t="s">
        <v>1096</v>
      </c>
      <c r="G192" s="223" t="s">
        <v>1097</v>
      </c>
    </row>
    <row r="193" spans="1:7" x14ac:dyDescent="0.3">
      <c r="A193" s="223">
        <v>192</v>
      </c>
      <c r="B193" s="223" t="s">
        <v>1085</v>
      </c>
      <c r="C193" s="223" t="s">
        <v>1226</v>
      </c>
      <c r="D193" s="223" t="s">
        <v>12</v>
      </c>
      <c r="E193" s="223" t="s">
        <v>21</v>
      </c>
      <c r="F193" s="223" t="s">
        <v>1090</v>
      </c>
      <c r="G193" s="223" t="s">
        <v>1088</v>
      </c>
    </row>
    <row r="194" spans="1:7" x14ac:dyDescent="0.3">
      <c r="A194" s="223">
        <v>193</v>
      </c>
      <c r="B194" s="223" t="s">
        <v>1085</v>
      </c>
      <c r="C194" s="223" t="s">
        <v>9</v>
      </c>
      <c r="D194" s="223" t="s">
        <v>1218</v>
      </c>
      <c r="E194" s="223" t="s">
        <v>1087</v>
      </c>
      <c r="F194" s="223" t="s">
        <v>1093</v>
      </c>
      <c r="G194" s="223" t="s">
        <v>1107</v>
      </c>
    </row>
    <row r="195" spans="1:7" x14ac:dyDescent="0.3">
      <c r="A195" s="223">
        <v>194</v>
      </c>
      <c r="B195" s="223" t="s">
        <v>1085</v>
      </c>
      <c r="C195" s="223" t="s">
        <v>9</v>
      </c>
      <c r="D195" s="223" t="s">
        <v>1218</v>
      </c>
      <c r="E195" s="223" t="s">
        <v>1087</v>
      </c>
      <c r="F195" s="223" t="s">
        <v>27</v>
      </c>
      <c r="G195" s="223" t="s">
        <v>1084</v>
      </c>
    </row>
    <row r="196" spans="1:7" x14ac:dyDescent="0.3">
      <c r="A196" s="223">
        <v>195</v>
      </c>
      <c r="B196" s="223" t="s">
        <v>1085</v>
      </c>
      <c r="C196" s="223" t="s">
        <v>9</v>
      </c>
      <c r="D196" s="223" t="s">
        <v>1218</v>
      </c>
      <c r="E196" s="223" t="s">
        <v>1087</v>
      </c>
      <c r="F196" s="223" t="s">
        <v>1096</v>
      </c>
      <c r="G196" s="223" t="s">
        <v>1099</v>
      </c>
    </row>
    <row r="197" spans="1:7" x14ac:dyDescent="0.3">
      <c r="A197" s="223">
        <v>196</v>
      </c>
      <c r="B197" s="223" t="s">
        <v>1085</v>
      </c>
      <c r="C197" s="223" t="s">
        <v>9</v>
      </c>
      <c r="D197" s="223" t="s">
        <v>1218</v>
      </c>
      <c r="E197" s="223" t="s">
        <v>1087</v>
      </c>
      <c r="F197" s="223" t="s">
        <v>1090</v>
      </c>
      <c r="G197" s="223" t="s">
        <v>1219</v>
      </c>
    </row>
    <row r="198" spans="1:7" x14ac:dyDescent="0.3">
      <c r="A198" s="223">
        <v>197</v>
      </c>
      <c r="B198" s="223" t="s">
        <v>1085</v>
      </c>
      <c r="C198" s="223" t="s">
        <v>9</v>
      </c>
      <c r="D198" s="223" t="s">
        <v>1218</v>
      </c>
      <c r="E198" s="223" t="s">
        <v>21</v>
      </c>
      <c r="F198" s="223" t="s">
        <v>1093</v>
      </c>
      <c r="G198" s="223" t="s">
        <v>1219</v>
      </c>
    </row>
    <row r="199" spans="1:7" x14ac:dyDescent="0.3">
      <c r="A199" s="223">
        <v>198</v>
      </c>
      <c r="B199" s="223" t="s">
        <v>1085</v>
      </c>
      <c r="C199" s="223" t="s">
        <v>9</v>
      </c>
      <c r="D199" s="223" t="s">
        <v>1218</v>
      </c>
      <c r="E199" s="223" t="s">
        <v>21</v>
      </c>
      <c r="F199" s="223" t="s">
        <v>27</v>
      </c>
      <c r="G199" s="223" t="s">
        <v>1106</v>
      </c>
    </row>
    <row r="200" spans="1:7" x14ac:dyDescent="0.3">
      <c r="A200" s="223">
        <v>199</v>
      </c>
      <c r="B200" s="223" t="s">
        <v>1085</v>
      </c>
      <c r="C200" s="223" t="s">
        <v>9</v>
      </c>
      <c r="D200" s="223" t="s">
        <v>1218</v>
      </c>
      <c r="E200" s="223" t="s">
        <v>21</v>
      </c>
      <c r="F200" s="223" t="s">
        <v>1096</v>
      </c>
      <c r="G200" s="223" t="s">
        <v>1100</v>
      </c>
    </row>
    <row r="201" spans="1:7" x14ac:dyDescent="0.3">
      <c r="A201" s="223">
        <v>200</v>
      </c>
      <c r="B201" s="223" t="s">
        <v>1085</v>
      </c>
      <c r="C201" s="223" t="s">
        <v>9</v>
      </c>
      <c r="D201" s="223" t="s">
        <v>1218</v>
      </c>
      <c r="E201" s="223" t="s">
        <v>21</v>
      </c>
      <c r="F201" s="223" t="s">
        <v>1090</v>
      </c>
      <c r="G201" s="223" t="s">
        <v>1219</v>
      </c>
    </row>
    <row r="202" spans="1:7" x14ac:dyDescent="0.3">
      <c r="A202" s="223">
        <v>201</v>
      </c>
      <c r="B202" s="223" t="s">
        <v>1085</v>
      </c>
      <c r="C202" s="223" t="s">
        <v>9</v>
      </c>
      <c r="D202" s="223" t="s">
        <v>1220</v>
      </c>
      <c r="E202" s="223" t="s">
        <v>1087</v>
      </c>
      <c r="F202" s="223" t="s">
        <v>1093</v>
      </c>
      <c r="G202" s="223" t="s">
        <v>1107</v>
      </c>
    </row>
    <row r="203" spans="1:7" x14ac:dyDescent="0.3">
      <c r="A203" s="223">
        <v>202</v>
      </c>
      <c r="B203" s="223" t="s">
        <v>1085</v>
      </c>
      <c r="C203" s="223" t="s">
        <v>9</v>
      </c>
      <c r="D203" s="223" t="s">
        <v>1220</v>
      </c>
      <c r="E203" s="223" t="s">
        <v>1087</v>
      </c>
      <c r="F203" s="223" t="s">
        <v>27</v>
      </c>
      <c r="G203" s="223" t="s">
        <v>1084</v>
      </c>
    </row>
    <row r="204" spans="1:7" x14ac:dyDescent="0.3">
      <c r="A204" s="223">
        <v>203</v>
      </c>
      <c r="B204" s="223" t="s">
        <v>1085</v>
      </c>
      <c r="C204" s="223" t="s">
        <v>9</v>
      </c>
      <c r="D204" s="223" t="s">
        <v>1220</v>
      </c>
      <c r="E204" s="223" t="s">
        <v>1087</v>
      </c>
      <c r="F204" s="223" t="s">
        <v>1096</v>
      </c>
      <c r="G204" s="223" t="s">
        <v>1099</v>
      </c>
    </row>
    <row r="205" spans="1:7" x14ac:dyDescent="0.3">
      <c r="A205" s="223">
        <v>204</v>
      </c>
      <c r="B205" s="223" t="s">
        <v>1085</v>
      </c>
      <c r="C205" s="223" t="s">
        <v>9</v>
      </c>
      <c r="D205" s="223" t="s">
        <v>1220</v>
      </c>
      <c r="E205" s="223" t="s">
        <v>1087</v>
      </c>
      <c r="F205" s="223" t="s">
        <v>1090</v>
      </c>
      <c r="G205" s="223" t="s">
        <v>1219</v>
      </c>
    </row>
    <row r="206" spans="1:7" x14ac:dyDescent="0.3">
      <c r="A206" s="223">
        <v>205</v>
      </c>
      <c r="B206" s="223" t="s">
        <v>1085</v>
      </c>
      <c r="C206" s="223" t="s">
        <v>9</v>
      </c>
      <c r="D206" s="223" t="s">
        <v>1220</v>
      </c>
      <c r="E206" s="223" t="s">
        <v>21</v>
      </c>
      <c r="F206" s="223" t="s">
        <v>1093</v>
      </c>
      <c r="G206" s="223" t="s">
        <v>1219</v>
      </c>
    </row>
    <row r="207" spans="1:7" x14ac:dyDescent="0.3">
      <c r="A207" s="223">
        <v>206</v>
      </c>
      <c r="B207" s="223" t="s">
        <v>1085</v>
      </c>
      <c r="C207" s="223" t="s">
        <v>9</v>
      </c>
      <c r="D207" s="223" t="s">
        <v>1220</v>
      </c>
      <c r="E207" s="223" t="s">
        <v>21</v>
      </c>
      <c r="F207" s="223" t="s">
        <v>27</v>
      </c>
      <c r="G207" s="223" t="s">
        <v>1106</v>
      </c>
    </row>
    <row r="208" spans="1:7" x14ac:dyDescent="0.3">
      <c r="A208" s="223">
        <v>207</v>
      </c>
      <c r="B208" s="223" t="s">
        <v>1085</v>
      </c>
      <c r="C208" s="223" t="s">
        <v>9</v>
      </c>
      <c r="D208" s="223" t="s">
        <v>1220</v>
      </c>
      <c r="E208" s="223" t="s">
        <v>21</v>
      </c>
      <c r="F208" s="223" t="s">
        <v>1096</v>
      </c>
      <c r="G208" s="223" t="s">
        <v>1100</v>
      </c>
    </row>
    <row r="209" spans="1:7" x14ac:dyDescent="0.3">
      <c r="A209" s="223">
        <v>208</v>
      </c>
      <c r="B209" s="223" t="s">
        <v>1085</v>
      </c>
      <c r="C209" s="223" t="s">
        <v>9</v>
      </c>
      <c r="D209" s="223" t="s">
        <v>1220</v>
      </c>
      <c r="E209" s="223" t="s">
        <v>21</v>
      </c>
      <c r="F209" s="223" t="s">
        <v>1090</v>
      </c>
      <c r="G209" s="223" t="s">
        <v>1219</v>
      </c>
    </row>
    <row r="210" spans="1:7" x14ac:dyDescent="0.3">
      <c r="A210" s="223">
        <v>209</v>
      </c>
      <c r="B210" s="223" t="s">
        <v>1085</v>
      </c>
      <c r="C210" s="223" t="s">
        <v>9</v>
      </c>
      <c r="D210" s="223" t="s">
        <v>1221</v>
      </c>
      <c r="E210" s="223" t="s">
        <v>1087</v>
      </c>
      <c r="F210" s="223" t="s">
        <v>1093</v>
      </c>
      <c r="G210" s="223" t="s">
        <v>1107</v>
      </c>
    </row>
    <row r="211" spans="1:7" x14ac:dyDescent="0.3">
      <c r="A211" s="223">
        <v>210</v>
      </c>
      <c r="B211" s="223" t="s">
        <v>1085</v>
      </c>
      <c r="C211" s="223" t="s">
        <v>9</v>
      </c>
      <c r="D211" s="223" t="s">
        <v>1221</v>
      </c>
      <c r="E211" s="223" t="s">
        <v>1087</v>
      </c>
      <c r="F211" s="223" t="s">
        <v>27</v>
      </c>
      <c r="G211" s="223" t="s">
        <v>1084</v>
      </c>
    </row>
    <row r="212" spans="1:7" x14ac:dyDescent="0.3">
      <c r="A212" s="223">
        <v>211</v>
      </c>
      <c r="B212" s="223" t="s">
        <v>1085</v>
      </c>
      <c r="C212" s="223" t="s">
        <v>9</v>
      </c>
      <c r="D212" s="223" t="s">
        <v>1221</v>
      </c>
      <c r="E212" s="223" t="s">
        <v>1087</v>
      </c>
      <c r="F212" s="223" t="s">
        <v>1096</v>
      </c>
      <c r="G212" s="223" t="s">
        <v>1099</v>
      </c>
    </row>
    <row r="213" spans="1:7" x14ac:dyDescent="0.3">
      <c r="A213" s="223">
        <v>212</v>
      </c>
      <c r="B213" s="223" t="s">
        <v>1085</v>
      </c>
      <c r="C213" s="223" t="s">
        <v>9</v>
      </c>
      <c r="D213" s="223" t="s">
        <v>1221</v>
      </c>
      <c r="E213" s="223" t="s">
        <v>1087</v>
      </c>
      <c r="F213" s="223" t="s">
        <v>1090</v>
      </c>
      <c r="G213" s="223" t="s">
        <v>1219</v>
      </c>
    </row>
    <row r="214" spans="1:7" x14ac:dyDescent="0.3">
      <c r="A214" s="223">
        <v>213</v>
      </c>
      <c r="B214" s="223" t="s">
        <v>1085</v>
      </c>
      <c r="C214" s="223" t="s">
        <v>9</v>
      </c>
      <c r="D214" s="223" t="s">
        <v>1221</v>
      </c>
      <c r="E214" s="223" t="s">
        <v>21</v>
      </c>
      <c r="F214" s="223" t="s">
        <v>1093</v>
      </c>
      <c r="G214" s="223" t="s">
        <v>1219</v>
      </c>
    </row>
    <row r="215" spans="1:7" x14ac:dyDescent="0.3">
      <c r="A215" s="223">
        <v>214</v>
      </c>
      <c r="B215" s="223" t="s">
        <v>1085</v>
      </c>
      <c r="C215" s="223" t="s">
        <v>9</v>
      </c>
      <c r="D215" s="223" t="s">
        <v>1221</v>
      </c>
      <c r="E215" s="223" t="s">
        <v>21</v>
      </c>
      <c r="F215" s="223" t="s">
        <v>27</v>
      </c>
      <c r="G215" s="223" t="s">
        <v>1106</v>
      </c>
    </row>
    <row r="216" spans="1:7" x14ac:dyDescent="0.3">
      <c r="A216" s="223">
        <v>215</v>
      </c>
      <c r="B216" s="223" t="s">
        <v>1085</v>
      </c>
      <c r="C216" s="223" t="s">
        <v>9</v>
      </c>
      <c r="D216" s="223" t="s">
        <v>1221</v>
      </c>
      <c r="E216" s="223" t="s">
        <v>21</v>
      </c>
      <c r="F216" s="223" t="s">
        <v>1096</v>
      </c>
      <c r="G216" s="223" t="s">
        <v>1100</v>
      </c>
    </row>
    <row r="217" spans="1:7" x14ac:dyDescent="0.3">
      <c r="A217" s="223">
        <v>216</v>
      </c>
      <c r="B217" s="223" t="s">
        <v>1085</v>
      </c>
      <c r="C217" s="223" t="s">
        <v>9</v>
      </c>
      <c r="D217" s="223" t="s">
        <v>1221</v>
      </c>
      <c r="E217" s="223" t="s">
        <v>21</v>
      </c>
      <c r="F217" s="223" t="s">
        <v>1090</v>
      </c>
      <c r="G217" s="223" t="s">
        <v>1219</v>
      </c>
    </row>
    <row r="218" spans="1:7" x14ac:dyDescent="0.3">
      <c r="A218" s="223">
        <v>217</v>
      </c>
      <c r="B218" s="223" t="s">
        <v>1085</v>
      </c>
      <c r="C218" s="223" t="s">
        <v>9</v>
      </c>
      <c r="D218" s="223" t="s">
        <v>1222</v>
      </c>
      <c r="E218" s="223" t="s">
        <v>1087</v>
      </c>
      <c r="F218" s="223" t="s">
        <v>1093</v>
      </c>
      <c r="G218" s="223" t="s">
        <v>1107</v>
      </c>
    </row>
    <row r="219" spans="1:7" x14ac:dyDescent="0.3">
      <c r="A219" s="223">
        <v>218</v>
      </c>
      <c r="B219" s="223" t="s">
        <v>1085</v>
      </c>
      <c r="C219" s="223" t="s">
        <v>9</v>
      </c>
      <c r="D219" s="223" t="s">
        <v>1222</v>
      </c>
      <c r="E219" s="223" t="s">
        <v>1087</v>
      </c>
      <c r="F219" s="223" t="s">
        <v>27</v>
      </c>
      <c r="G219" s="223" t="s">
        <v>1084</v>
      </c>
    </row>
    <row r="220" spans="1:7" x14ac:dyDescent="0.3">
      <c r="A220" s="223">
        <v>219</v>
      </c>
      <c r="B220" s="223" t="s">
        <v>1085</v>
      </c>
      <c r="C220" s="223" t="s">
        <v>9</v>
      </c>
      <c r="D220" s="223" t="s">
        <v>1222</v>
      </c>
      <c r="E220" s="223" t="s">
        <v>1087</v>
      </c>
      <c r="F220" s="223" t="s">
        <v>1096</v>
      </c>
      <c r="G220" s="223" t="s">
        <v>1099</v>
      </c>
    </row>
    <row r="221" spans="1:7" x14ac:dyDescent="0.3">
      <c r="A221" s="223">
        <v>220</v>
      </c>
      <c r="B221" s="223" t="s">
        <v>1085</v>
      </c>
      <c r="C221" s="223" t="s">
        <v>9</v>
      </c>
      <c r="D221" s="223" t="s">
        <v>1222</v>
      </c>
      <c r="E221" s="223" t="s">
        <v>1087</v>
      </c>
      <c r="F221" s="223" t="s">
        <v>1090</v>
      </c>
      <c r="G221" s="223" t="s">
        <v>1219</v>
      </c>
    </row>
    <row r="222" spans="1:7" x14ac:dyDescent="0.3">
      <c r="A222" s="223">
        <v>221</v>
      </c>
      <c r="B222" s="223" t="s">
        <v>1085</v>
      </c>
      <c r="C222" s="223" t="s">
        <v>9</v>
      </c>
      <c r="D222" s="223" t="s">
        <v>1222</v>
      </c>
      <c r="E222" s="223" t="s">
        <v>21</v>
      </c>
      <c r="F222" s="223" t="s">
        <v>1093</v>
      </c>
      <c r="G222" s="223" t="s">
        <v>1219</v>
      </c>
    </row>
    <row r="223" spans="1:7" x14ac:dyDescent="0.3">
      <c r="A223" s="223">
        <v>222</v>
      </c>
      <c r="B223" s="223" t="s">
        <v>1085</v>
      </c>
      <c r="C223" s="223" t="s">
        <v>9</v>
      </c>
      <c r="D223" s="223" t="s">
        <v>1222</v>
      </c>
      <c r="E223" s="223" t="s">
        <v>21</v>
      </c>
      <c r="F223" s="223" t="s">
        <v>27</v>
      </c>
      <c r="G223" s="223" t="s">
        <v>1106</v>
      </c>
    </row>
    <row r="224" spans="1:7" x14ac:dyDescent="0.3">
      <c r="A224" s="223">
        <v>223</v>
      </c>
      <c r="B224" s="223" t="s">
        <v>1085</v>
      </c>
      <c r="C224" s="223" t="s">
        <v>9</v>
      </c>
      <c r="D224" s="223" t="s">
        <v>1222</v>
      </c>
      <c r="E224" s="223" t="s">
        <v>21</v>
      </c>
      <c r="F224" s="223" t="s">
        <v>1096</v>
      </c>
      <c r="G224" s="223" t="s">
        <v>1100</v>
      </c>
    </row>
    <row r="225" spans="1:7" x14ac:dyDescent="0.3">
      <c r="A225" s="223">
        <v>224</v>
      </c>
      <c r="B225" s="223" t="s">
        <v>1085</v>
      </c>
      <c r="C225" s="223" t="s">
        <v>9</v>
      </c>
      <c r="D225" s="223" t="s">
        <v>1222</v>
      </c>
      <c r="E225" s="223" t="s">
        <v>21</v>
      </c>
      <c r="F225" s="223" t="s">
        <v>1090</v>
      </c>
      <c r="G225" s="223" t="s">
        <v>1219</v>
      </c>
    </row>
    <row r="226" spans="1:7" x14ac:dyDescent="0.3">
      <c r="A226" s="223">
        <v>225</v>
      </c>
      <c r="B226" s="223" t="s">
        <v>1085</v>
      </c>
      <c r="C226" s="223" t="s">
        <v>9</v>
      </c>
      <c r="D226" s="223" t="s">
        <v>1223</v>
      </c>
      <c r="E226" s="223" t="s">
        <v>1087</v>
      </c>
      <c r="F226" s="223" t="s">
        <v>1093</v>
      </c>
      <c r="G226" s="223" t="s">
        <v>1219</v>
      </c>
    </row>
    <row r="227" spans="1:7" x14ac:dyDescent="0.3">
      <c r="A227" s="223">
        <v>226</v>
      </c>
      <c r="B227" s="223" t="s">
        <v>1085</v>
      </c>
      <c r="C227" s="223" t="s">
        <v>9</v>
      </c>
      <c r="D227" s="223" t="s">
        <v>1223</v>
      </c>
      <c r="E227" s="223" t="s">
        <v>1087</v>
      </c>
      <c r="F227" s="223" t="s">
        <v>27</v>
      </c>
      <c r="G227" s="223" t="s">
        <v>1219</v>
      </c>
    </row>
    <row r="228" spans="1:7" x14ac:dyDescent="0.3">
      <c r="A228" s="223">
        <v>227</v>
      </c>
      <c r="B228" s="223" t="s">
        <v>1085</v>
      </c>
      <c r="C228" s="223" t="s">
        <v>9</v>
      </c>
      <c r="D228" s="223" t="s">
        <v>1223</v>
      </c>
      <c r="E228" s="223" t="s">
        <v>1087</v>
      </c>
      <c r="F228" s="223" t="s">
        <v>1096</v>
      </c>
      <c r="G228" s="223" t="s">
        <v>1101</v>
      </c>
    </row>
    <row r="229" spans="1:7" x14ac:dyDescent="0.3">
      <c r="A229" s="223">
        <v>228</v>
      </c>
      <c r="B229" s="223" t="s">
        <v>1085</v>
      </c>
      <c r="C229" s="223" t="s">
        <v>9</v>
      </c>
      <c r="D229" s="223" t="s">
        <v>1223</v>
      </c>
      <c r="E229" s="223" t="s">
        <v>1087</v>
      </c>
      <c r="F229" s="223" t="s">
        <v>1090</v>
      </c>
      <c r="G229" s="223" t="s">
        <v>1102</v>
      </c>
    </row>
    <row r="230" spans="1:7" x14ac:dyDescent="0.3">
      <c r="A230" s="223">
        <v>229</v>
      </c>
      <c r="B230" s="223" t="s">
        <v>1085</v>
      </c>
      <c r="C230" s="223" t="s">
        <v>9</v>
      </c>
      <c r="D230" s="223" t="s">
        <v>1223</v>
      </c>
      <c r="E230" s="223" t="s">
        <v>21</v>
      </c>
      <c r="F230" s="223" t="s">
        <v>1093</v>
      </c>
      <c r="G230" s="223" t="s">
        <v>1219</v>
      </c>
    </row>
    <row r="231" spans="1:7" x14ac:dyDescent="0.3">
      <c r="A231" s="223">
        <v>230</v>
      </c>
      <c r="B231" s="223" t="s">
        <v>1085</v>
      </c>
      <c r="C231" s="223" t="s">
        <v>9</v>
      </c>
      <c r="D231" s="223" t="s">
        <v>1223</v>
      </c>
      <c r="E231" s="223" t="s">
        <v>21</v>
      </c>
      <c r="F231" s="223" t="s">
        <v>27</v>
      </c>
      <c r="G231" s="223" t="s">
        <v>1219</v>
      </c>
    </row>
    <row r="232" spans="1:7" x14ac:dyDescent="0.3">
      <c r="A232" s="223">
        <v>231</v>
      </c>
      <c r="B232" s="223" t="s">
        <v>1085</v>
      </c>
      <c r="C232" s="223" t="s">
        <v>9</v>
      </c>
      <c r="D232" s="223" t="s">
        <v>1223</v>
      </c>
      <c r="E232" s="223" t="s">
        <v>21</v>
      </c>
      <c r="F232" s="223" t="s">
        <v>1096</v>
      </c>
      <c r="G232" s="223" t="s">
        <v>1097</v>
      </c>
    </row>
    <row r="233" spans="1:7" x14ac:dyDescent="0.3">
      <c r="A233" s="223">
        <v>232</v>
      </c>
      <c r="B233" s="223" t="s">
        <v>1085</v>
      </c>
      <c r="C233" s="223" t="s">
        <v>9</v>
      </c>
      <c r="D233" s="223" t="s">
        <v>1223</v>
      </c>
      <c r="E233" s="223" t="s">
        <v>21</v>
      </c>
      <c r="F233" s="223" t="s">
        <v>1090</v>
      </c>
      <c r="G233" s="223" t="s">
        <v>1088</v>
      </c>
    </row>
    <row r="234" spans="1:7" x14ac:dyDescent="0.3">
      <c r="A234" s="223">
        <v>233</v>
      </c>
      <c r="B234" s="223" t="s">
        <v>1085</v>
      </c>
      <c r="C234" s="223" t="s">
        <v>9</v>
      </c>
      <c r="D234" s="223" t="s">
        <v>12</v>
      </c>
      <c r="E234" s="223" t="s">
        <v>1087</v>
      </c>
      <c r="F234" s="223" t="s">
        <v>1093</v>
      </c>
      <c r="G234" s="223" t="s">
        <v>1219</v>
      </c>
    </row>
    <row r="235" spans="1:7" x14ac:dyDescent="0.3">
      <c r="A235" s="223">
        <v>234</v>
      </c>
      <c r="B235" s="223" t="s">
        <v>1085</v>
      </c>
      <c r="C235" s="223" t="s">
        <v>9</v>
      </c>
      <c r="D235" s="223" t="s">
        <v>12</v>
      </c>
      <c r="E235" s="223" t="s">
        <v>1087</v>
      </c>
      <c r="F235" s="223" t="s">
        <v>27</v>
      </c>
      <c r="G235" s="223" t="s">
        <v>1219</v>
      </c>
    </row>
    <row r="236" spans="1:7" x14ac:dyDescent="0.3">
      <c r="A236" s="223">
        <v>235</v>
      </c>
      <c r="B236" s="223" t="s">
        <v>1085</v>
      </c>
      <c r="C236" s="223" t="s">
        <v>9</v>
      </c>
      <c r="D236" s="223" t="s">
        <v>12</v>
      </c>
      <c r="E236" s="223" t="s">
        <v>1087</v>
      </c>
      <c r="F236" s="223" t="s">
        <v>1096</v>
      </c>
      <c r="G236" s="223" t="s">
        <v>1101</v>
      </c>
    </row>
    <row r="237" spans="1:7" x14ac:dyDescent="0.3">
      <c r="A237" s="223">
        <v>236</v>
      </c>
      <c r="B237" s="223" t="s">
        <v>1085</v>
      </c>
      <c r="C237" s="223" t="s">
        <v>9</v>
      </c>
      <c r="D237" s="223" t="s">
        <v>12</v>
      </c>
      <c r="E237" s="223" t="s">
        <v>1087</v>
      </c>
      <c r="F237" s="223" t="s">
        <v>1090</v>
      </c>
      <c r="G237" s="223" t="s">
        <v>1102</v>
      </c>
    </row>
    <row r="238" spans="1:7" x14ac:dyDescent="0.3">
      <c r="A238" s="223">
        <v>237</v>
      </c>
      <c r="B238" s="223" t="s">
        <v>1085</v>
      </c>
      <c r="C238" s="223" t="s">
        <v>9</v>
      </c>
      <c r="D238" s="223" t="s">
        <v>12</v>
      </c>
      <c r="E238" s="223" t="s">
        <v>21</v>
      </c>
      <c r="F238" s="223" t="s">
        <v>1093</v>
      </c>
      <c r="G238" s="223" t="s">
        <v>1219</v>
      </c>
    </row>
    <row r="239" spans="1:7" x14ac:dyDescent="0.3">
      <c r="A239" s="223">
        <v>238</v>
      </c>
      <c r="B239" s="223" t="s">
        <v>1085</v>
      </c>
      <c r="C239" s="223" t="s">
        <v>9</v>
      </c>
      <c r="D239" s="223" t="s">
        <v>12</v>
      </c>
      <c r="E239" s="223" t="s">
        <v>21</v>
      </c>
      <c r="F239" s="223" t="s">
        <v>27</v>
      </c>
      <c r="G239" s="223" t="s">
        <v>1219</v>
      </c>
    </row>
    <row r="240" spans="1:7" x14ac:dyDescent="0.3">
      <c r="A240" s="223">
        <v>239</v>
      </c>
      <c r="B240" s="223" t="s">
        <v>1085</v>
      </c>
      <c r="C240" s="223" t="s">
        <v>9</v>
      </c>
      <c r="D240" s="223" t="s">
        <v>12</v>
      </c>
      <c r="E240" s="223" t="s">
        <v>21</v>
      </c>
      <c r="F240" s="223" t="s">
        <v>1096</v>
      </c>
      <c r="G240" s="223" t="s">
        <v>1097</v>
      </c>
    </row>
    <row r="241" spans="1:7" x14ac:dyDescent="0.3">
      <c r="A241" s="223">
        <v>240</v>
      </c>
      <c r="B241" s="223" t="s">
        <v>1085</v>
      </c>
      <c r="C241" s="223" t="s">
        <v>9</v>
      </c>
      <c r="D241" s="223" t="s">
        <v>12</v>
      </c>
      <c r="E241" s="223" t="s">
        <v>21</v>
      </c>
      <c r="F241" s="223" t="s">
        <v>1090</v>
      </c>
      <c r="G241" s="223" t="s">
        <v>1088</v>
      </c>
    </row>
    <row r="242" spans="1:7" x14ac:dyDescent="0.3">
      <c r="A242" s="223">
        <v>241</v>
      </c>
      <c r="B242" s="223" t="s">
        <v>1085</v>
      </c>
      <c r="C242" s="223" t="s">
        <v>1227</v>
      </c>
      <c r="D242" s="223" t="s">
        <v>1218</v>
      </c>
      <c r="E242" s="223" t="s">
        <v>1087</v>
      </c>
      <c r="F242" s="223" t="s">
        <v>1093</v>
      </c>
      <c r="G242" s="223" t="s">
        <v>1107</v>
      </c>
    </row>
    <row r="243" spans="1:7" x14ac:dyDescent="0.3">
      <c r="A243" s="223">
        <v>242</v>
      </c>
      <c r="B243" s="223" t="s">
        <v>1085</v>
      </c>
      <c r="C243" s="223" t="s">
        <v>1227</v>
      </c>
      <c r="D243" s="223" t="s">
        <v>1218</v>
      </c>
      <c r="E243" s="223" t="s">
        <v>1087</v>
      </c>
      <c r="F243" s="223" t="s">
        <v>27</v>
      </c>
      <c r="G243" s="223" t="s">
        <v>1084</v>
      </c>
    </row>
    <row r="244" spans="1:7" x14ac:dyDescent="0.3">
      <c r="A244" s="223">
        <v>243</v>
      </c>
      <c r="B244" s="223" t="s">
        <v>1085</v>
      </c>
      <c r="C244" s="223" t="s">
        <v>1227</v>
      </c>
      <c r="D244" s="223" t="s">
        <v>1218</v>
      </c>
      <c r="E244" s="223" t="s">
        <v>1087</v>
      </c>
      <c r="F244" s="223" t="s">
        <v>1096</v>
      </c>
      <c r="G244" s="223" t="s">
        <v>1099</v>
      </c>
    </row>
    <row r="245" spans="1:7" x14ac:dyDescent="0.3">
      <c r="A245" s="223">
        <v>244</v>
      </c>
      <c r="B245" s="223" t="s">
        <v>1085</v>
      </c>
      <c r="C245" s="223" t="s">
        <v>1227</v>
      </c>
      <c r="D245" s="223" t="s">
        <v>1218</v>
      </c>
      <c r="E245" s="223" t="s">
        <v>1087</v>
      </c>
      <c r="F245" s="223" t="s">
        <v>1090</v>
      </c>
      <c r="G245" s="223" t="s">
        <v>1219</v>
      </c>
    </row>
    <row r="246" spans="1:7" x14ac:dyDescent="0.3">
      <c r="A246" s="223">
        <v>245</v>
      </c>
      <c r="B246" s="223" t="s">
        <v>1085</v>
      </c>
      <c r="C246" s="223" t="s">
        <v>1227</v>
      </c>
      <c r="D246" s="223" t="s">
        <v>1218</v>
      </c>
      <c r="E246" s="223" t="s">
        <v>21</v>
      </c>
      <c r="F246" s="223" t="s">
        <v>1093</v>
      </c>
      <c r="G246" s="223" t="s">
        <v>1219</v>
      </c>
    </row>
    <row r="247" spans="1:7" x14ac:dyDescent="0.3">
      <c r="A247" s="223">
        <v>246</v>
      </c>
      <c r="B247" s="223" t="s">
        <v>1085</v>
      </c>
      <c r="C247" s="223" t="s">
        <v>1227</v>
      </c>
      <c r="D247" s="223" t="s">
        <v>1218</v>
      </c>
      <c r="E247" s="223" t="s">
        <v>21</v>
      </c>
      <c r="F247" s="223" t="s">
        <v>27</v>
      </c>
      <c r="G247" s="223" t="s">
        <v>1106</v>
      </c>
    </row>
    <row r="248" spans="1:7" x14ac:dyDescent="0.3">
      <c r="A248" s="223">
        <v>247</v>
      </c>
      <c r="B248" s="223" t="s">
        <v>1085</v>
      </c>
      <c r="C248" s="223" t="s">
        <v>1227</v>
      </c>
      <c r="D248" s="223" t="s">
        <v>1218</v>
      </c>
      <c r="E248" s="223" t="s">
        <v>21</v>
      </c>
      <c r="F248" s="223" t="s">
        <v>1096</v>
      </c>
      <c r="G248" s="223" t="s">
        <v>1100</v>
      </c>
    </row>
    <row r="249" spans="1:7" x14ac:dyDescent="0.3">
      <c r="A249" s="223">
        <v>248</v>
      </c>
      <c r="B249" s="223" t="s">
        <v>1085</v>
      </c>
      <c r="C249" s="223" t="s">
        <v>1227</v>
      </c>
      <c r="D249" s="223" t="s">
        <v>1218</v>
      </c>
      <c r="E249" s="223" t="s">
        <v>21</v>
      </c>
      <c r="F249" s="223" t="s">
        <v>1090</v>
      </c>
      <c r="G249" s="223" t="s">
        <v>1219</v>
      </c>
    </row>
    <row r="250" spans="1:7" x14ac:dyDescent="0.3">
      <c r="A250" s="223">
        <v>249</v>
      </c>
      <c r="B250" s="223" t="s">
        <v>1085</v>
      </c>
      <c r="C250" s="223" t="s">
        <v>1227</v>
      </c>
      <c r="D250" s="223" t="s">
        <v>1220</v>
      </c>
      <c r="E250" s="223" t="s">
        <v>1087</v>
      </c>
      <c r="F250" s="223" t="s">
        <v>1093</v>
      </c>
      <c r="G250" s="223" t="s">
        <v>1107</v>
      </c>
    </row>
    <row r="251" spans="1:7" x14ac:dyDescent="0.3">
      <c r="A251" s="223">
        <v>250</v>
      </c>
      <c r="B251" s="223" t="s">
        <v>1085</v>
      </c>
      <c r="C251" s="223" t="s">
        <v>1227</v>
      </c>
      <c r="D251" s="223" t="s">
        <v>1220</v>
      </c>
      <c r="E251" s="223" t="s">
        <v>1087</v>
      </c>
      <c r="F251" s="223" t="s">
        <v>27</v>
      </c>
      <c r="G251" s="223" t="s">
        <v>1084</v>
      </c>
    </row>
    <row r="252" spans="1:7" x14ac:dyDescent="0.3">
      <c r="A252" s="223">
        <v>251</v>
      </c>
      <c r="B252" s="223" t="s">
        <v>1085</v>
      </c>
      <c r="C252" s="223" t="s">
        <v>1227</v>
      </c>
      <c r="D252" s="223" t="s">
        <v>1220</v>
      </c>
      <c r="E252" s="223" t="s">
        <v>1087</v>
      </c>
      <c r="F252" s="223" t="s">
        <v>1096</v>
      </c>
      <c r="G252" s="223" t="s">
        <v>1099</v>
      </c>
    </row>
    <row r="253" spans="1:7" x14ac:dyDescent="0.3">
      <c r="A253" s="223">
        <v>252</v>
      </c>
      <c r="B253" s="223" t="s">
        <v>1085</v>
      </c>
      <c r="C253" s="223" t="s">
        <v>1227</v>
      </c>
      <c r="D253" s="223" t="s">
        <v>1220</v>
      </c>
      <c r="E253" s="223" t="s">
        <v>1087</v>
      </c>
      <c r="F253" s="223" t="s">
        <v>1090</v>
      </c>
      <c r="G253" s="223" t="s">
        <v>1219</v>
      </c>
    </row>
    <row r="254" spans="1:7" x14ac:dyDescent="0.3">
      <c r="A254" s="223">
        <v>253</v>
      </c>
      <c r="B254" s="223" t="s">
        <v>1085</v>
      </c>
      <c r="C254" s="223" t="s">
        <v>1227</v>
      </c>
      <c r="D254" s="223" t="s">
        <v>1220</v>
      </c>
      <c r="E254" s="223" t="s">
        <v>21</v>
      </c>
      <c r="F254" s="223" t="s">
        <v>1093</v>
      </c>
      <c r="G254" s="223" t="s">
        <v>1219</v>
      </c>
    </row>
    <row r="255" spans="1:7" x14ac:dyDescent="0.3">
      <c r="A255" s="223">
        <v>254</v>
      </c>
      <c r="B255" s="223" t="s">
        <v>1085</v>
      </c>
      <c r="C255" s="223" t="s">
        <v>1227</v>
      </c>
      <c r="D255" s="223" t="s">
        <v>1220</v>
      </c>
      <c r="E255" s="223" t="s">
        <v>21</v>
      </c>
      <c r="F255" s="223" t="s">
        <v>27</v>
      </c>
      <c r="G255" s="223" t="s">
        <v>1106</v>
      </c>
    </row>
    <row r="256" spans="1:7" x14ac:dyDescent="0.3">
      <c r="A256" s="223">
        <v>255</v>
      </c>
      <c r="B256" s="223" t="s">
        <v>1085</v>
      </c>
      <c r="C256" s="223" t="s">
        <v>1227</v>
      </c>
      <c r="D256" s="223" t="s">
        <v>1220</v>
      </c>
      <c r="E256" s="223" t="s">
        <v>21</v>
      </c>
      <c r="F256" s="223" t="s">
        <v>1096</v>
      </c>
      <c r="G256" s="223" t="s">
        <v>1100</v>
      </c>
    </row>
    <row r="257" spans="1:7" x14ac:dyDescent="0.3">
      <c r="A257" s="223">
        <v>256</v>
      </c>
      <c r="B257" s="223" t="s">
        <v>1085</v>
      </c>
      <c r="C257" s="223" t="s">
        <v>1227</v>
      </c>
      <c r="D257" s="223" t="s">
        <v>1220</v>
      </c>
      <c r="E257" s="223" t="s">
        <v>21</v>
      </c>
      <c r="F257" s="223" t="s">
        <v>1090</v>
      </c>
      <c r="G257" s="223" t="s">
        <v>1219</v>
      </c>
    </row>
    <row r="258" spans="1:7" x14ac:dyDescent="0.3">
      <c r="A258" s="223">
        <v>257</v>
      </c>
      <c r="B258" s="223" t="s">
        <v>1085</v>
      </c>
      <c r="C258" s="223" t="s">
        <v>1227</v>
      </c>
      <c r="D258" s="223" t="s">
        <v>1221</v>
      </c>
      <c r="E258" s="223" t="s">
        <v>1087</v>
      </c>
      <c r="F258" s="223" t="s">
        <v>1093</v>
      </c>
      <c r="G258" s="223" t="s">
        <v>1107</v>
      </c>
    </row>
    <row r="259" spans="1:7" x14ac:dyDescent="0.3">
      <c r="A259" s="223">
        <v>258</v>
      </c>
      <c r="B259" s="223" t="s">
        <v>1085</v>
      </c>
      <c r="C259" s="223" t="s">
        <v>1227</v>
      </c>
      <c r="D259" s="223" t="s">
        <v>1221</v>
      </c>
      <c r="E259" s="223" t="s">
        <v>1087</v>
      </c>
      <c r="F259" s="223" t="s">
        <v>27</v>
      </c>
      <c r="G259" s="223" t="s">
        <v>1084</v>
      </c>
    </row>
    <row r="260" spans="1:7" x14ac:dyDescent="0.3">
      <c r="A260" s="223">
        <v>259</v>
      </c>
      <c r="B260" s="223" t="s">
        <v>1085</v>
      </c>
      <c r="C260" s="223" t="s">
        <v>1227</v>
      </c>
      <c r="D260" s="223" t="s">
        <v>1221</v>
      </c>
      <c r="E260" s="223" t="s">
        <v>1087</v>
      </c>
      <c r="F260" s="223" t="s">
        <v>1096</v>
      </c>
      <c r="G260" s="223" t="s">
        <v>1099</v>
      </c>
    </row>
    <row r="261" spans="1:7" x14ac:dyDescent="0.3">
      <c r="A261" s="223">
        <v>260</v>
      </c>
      <c r="B261" s="223" t="s">
        <v>1085</v>
      </c>
      <c r="C261" s="223" t="s">
        <v>1227</v>
      </c>
      <c r="D261" s="223" t="s">
        <v>1221</v>
      </c>
      <c r="E261" s="223" t="s">
        <v>1087</v>
      </c>
      <c r="F261" s="223" t="s">
        <v>1090</v>
      </c>
      <c r="G261" s="223" t="s">
        <v>1219</v>
      </c>
    </row>
    <row r="262" spans="1:7" x14ac:dyDescent="0.3">
      <c r="A262" s="223">
        <v>261</v>
      </c>
      <c r="B262" s="223" t="s">
        <v>1085</v>
      </c>
      <c r="C262" s="223" t="s">
        <v>1227</v>
      </c>
      <c r="D262" s="223" t="s">
        <v>1221</v>
      </c>
      <c r="E262" s="223" t="s">
        <v>21</v>
      </c>
      <c r="F262" s="223" t="s">
        <v>1093</v>
      </c>
      <c r="G262" s="223" t="s">
        <v>1219</v>
      </c>
    </row>
    <row r="263" spans="1:7" x14ac:dyDescent="0.3">
      <c r="A263" s="223">
        <v>262</v>
      </c>
      <c r="B263" s="223" t="s">
        <v>1085</v>
      </c>
      <c r="C263" s="223" t="s">
        <v>1227</v>
      </c>
      <c r="D263" s="223" t="s">
        <v>1221</v>
      </c>
      <c r="E263" s="223" t="s">
        <v>21</v>
      </c>
      <c r="F263" s="223" t="s">
        <v>27</v>
      </c>
      <c r="G263" s="223" t="s">
        <v>1106</v>
      </c>
    </row>
    <row r="264" spans="1:7" x14ac:dyDescent="0.3">
      <c r="A264" s="223">
        <v>263</v>
      </c>
      <c r="B264" s="223" t="s">
        <v>1085</v>
      </c>
      <c r="C264" s="223" t="s">
        <v>1227</v>
      </c>
      <c r="D264" s="223" t="s">
        <v>1221</v>
      </c>
      <c r="E264" s="223" t="s">
        <v>21</v>
      </c>
      <c r="F264" s="223" t="s">
        <v>1096</v>
      </c>
      <c r="G264" s="223" t="s">
        <v>1100</v>
      </c>
    </row>
    <row r="265" spans="1:7" x14ac:dyDescent="0.3">
      <c r="A265" s="223">
        <v>264</v>
      </c>
      <c r="B265" s="223" t="s">
        <v>1085</v>
      </c>
      <c r="C265" s="223" t="s">
        <v>1227</v>
      </c>
      <c r="D265" s="223" t="s">
        <v>1221</v>
      </c>
      <c r="E265" s="223" t="s">
        <v>21</v>
      </c>
      <c r="F265" s="223" t="s">
        <v>1090</v>
      </c>
      <c r="G265" s="223" t="s">
        <v>1219</v>
      </c>
    </row>
    <row r="266" spans="1:7" x14ac:dyDescent="0.3">
      <c r="A266" s="223">
        <v>265</v>
      </c>
      <c r="B266" s="223" t="s">
        <v>1085</v>
      </c>
      <c r="C266" s="223" t="s">
        <v>1227</v>
      </c>
      <c r="D266" s="223" t="s">
        <v>1222</v>
      </c>
      <c r="E266" s="223" t="s">
        <v>1087</v>
      </c>
      <c r="F266" s="223" t="s">
        <v>1093</v>
      </c>
      <c r="G266" s="223" t="s">
        <v>1107</v>
      </c>
    </row>
    <row r="267" spans="1:7" x14ac:dyDescent="0.3">
      <c r="A267" s="223">
        <v>266</v>
      </c>
      <c r="B267" s="223" t="s">
        <v>1085</v>
      </c>
      <c r="C267" s="223" t="s">
        <v>1227</v>
      </c>
      <c r="D267" s="223" t="s">
        <v>1222</v>
      </c>
      <c r="E267" s="223" t="s">
        <v>1087</v>
      </c>
      <c r="F267" s="223" t="s">
        <v>27</v>
      </c>
      <c r="G267" s="223" t="s">
        <v>1084</v>
      </c>
    </row>
    <row r="268" spans="1:7" x14ac:dyDescent="0.3">
      <c r="A268" s="223">
        <v>267</v>
      </c>
      <c r="B268" s="223" t="s">
        <v>1085</v>
      </c>
      <c r="C268" s="223" t="s">
        <v>1227</v>
      </c>
      <c r="D268" s="223" t="s">
        <v>1222</v>
      </c>
      <c r="E268" s="223" t="s">
        <v>1087</v>
      </c>
      <c r="F268" s="223" t="s">
        <v>1096</v>
      </c>
      <c r="G268" s="223" t="s">
        <v>1099</v>
      </c>
    </row>
    <row r="269" spans="1:7" x14ac:dyDescent="0.3">
      <c r="A269" s="223">
        <v>268</v>
      </c>
      <c r="B269" s="223" t="s">
        <v>1085</v>
      </c>
      <c r="C269" s="223" t="s">
        <v>1227</v>
      </c>
      <c r="D269" s="223" t="s">
        <v>1222</v>
      </c>
      <c r="E269" s="223" t="s">
        <v>1087</v>
      </c>
      <c r="F269" s="223" t="s">
        <v>1090</v>
      </c>
      <c r="G269" s="223" t="s">
        <v>1219</v>
      </c>
    </row>
    <row r="270" spans="1:7" x14ac:dyDescent="0.3">
      <c r="A270" s="223">
        <v>269</v>
      </c>
      <c r="B270" s="223" t="s">
        <v>1085</v>
      </c>
      <c r="C270" s="223" t="s">
        <v>1227</v>
      </c>
      <c r="D270" s="223" t="s">
        <v>1222</v>
      </c>
      <c r="E270" s="223" t="s">
        <v>21</v>
      </c>
      <c r="F270" s="223" t="s">
        <v>1093</v>
      </c>
      <c r="G270" s="223" t="s">
        <v>1219</v>
      </c>
    </row>
    <row r="271" spans="1:7" x14ac:dyDescent="0.3">
      <c r="A271" s="223">
        <v>270</v>
      </c>
      <c r="B271" s="223" t="s">
        <v>1085</v>
      </c>
      <c r="C271" s="223" t="s">
        <v>1227</v>
      </c>
      <c r="D271" s="223" t="s">
        <v>1222</v>
      </c>
      <c r="E271" s="223" t="s">
        <v>21</v>
      </c>
      <c r="F271" s="223" t="s">
        <v>27</v>
      </c>
      <c r="G271" s="223" t="s">
        <v>1106</v>
      </c>
    </row>
    <row r="272" spans="1:7" x14ac:dyDescent="0.3">
      <c r="A272" s="223">
        <v>271</v>
      </c>
      <c r="B272" s="223" t="s">
        <v>1085</v>
      </c>
      <c r="C272" s="223" t="s">
        <v>1227</v>
      </c>
      <c r="D272" s="223" t="s">
        <v>1222</v>
      </c>
      <c r="E272" s="223" t="s">
        <v>21</v>
      </c>
      <c r="F272" s="223" t="s">
        <v>1096</v>
      </c>
      <c r="G272" s="223" t="s">
        <v>1100</v>
      </c>
    </row>
    <row r="273" spans="1:7" x14ac:dyDescent="0.3">
      <c r="A273" s="223">
        <v>272</v>
      </c>
      <c r="B273" s="223" t="s">
        <v>1085</v>
      </c>
      <c r="C273" s="223" t="s">
        <v>1227</v>
      </c>
      <c r="D273" s="223" t="s">
        <v>1222</v>
      </c>
      <c r="E273" s="223" t="s">
        <v>21</v>
      </c>
      <c r="F273" s="223" t="s">
        <v>1090</v>
      </c>
      <c r="G273" s="223" t="s">
        <v>1219</v>
      </c>
    </row>
    <row r="274" spans="1:7" x14ac:dyDescent="0.3">
      <c r="A274" s="223">
        <v>273</v>
      </c>
      <c r="B274" s="223" t="s">
        <v>1085</v>
      </c>
      <c r="C274" s="223" t="s">
        <v>1227</v>
      </c>
      <c r="D274" s="223" t="s">
        <v>1223</v>
      </c>
      <c r="E274" s="223" t="s">
        <v>1087</v>
      </c>
      <c r="F274" s="223" t="s">
        <v>1093</v>
      </c>
      <c r="G274" s="223" t="s">
        <v>1219</v>
      </c>
    </row>
    <row r="275" spans="1:7" x14ac:dyDescent="0.3">
      <c r="A275" s="223">
        <v>274</v>
      </c>
      <c r="B275" s="223" t="s">
        <v>1085</v>
      </c>
      <c r="C275" s="223" t="s">
        <v>1227</v>
      </c>
      <c r="D275" s="223" t="s">
        <v>1223</v>
      </c>
      <c r="E275" s="223" t="s">
        <v>1087</v>
      </c>
      <c r="F275" s="223" t="s">
        <v>27</v>
      </c>
      <c r="G275" s="223" t="s">
        <v>1219</v>
      </c>
    </row>
    <row r="276" spans="1:7" x14ac:dyDescent="0.3">
      <c r="A276" s="223">
        <v>275</v>
      </c>
      <c r="B276" s="223" t="s">
        <v>1085</v>
      </c>
      <c r="C276" s="223" t="s">
        <v>1227</v>
      </c>
      <c r="D276" s="223" t="s">
        <v>1223</v>
      </c>
      <c r="E276" s="223" t="s">
        <v>1087</v>
      </c>
      <c r="F276" s="223" t="s">
        <v>1096</v>
      </c>
      <c r="G276" s="223" t="s">
        <v>1101</v>
      </c>
    </row>
    <row r="277" spans="1:7" x14ac:dyDescent="0.3">
      <c r="A277" s="223">
        <v>276</v>
      </c>
      <c r="B277" s="223" t="s">
        <v>1085</v>
      </c>
      <c r="C277" s="223" t="s">
        <v>1227</v>
      </c>
      <c r="D277" s="223" t="s">
        <v>1223</v>
      </c>
      <c r="E277" s="223" t="s">
        <v>1087</v>
      </c>
      <c r="F277" s="223" t="s">
        <v>1090</v>
      </c>
      <c r="G277" s="223" t="s">
        <v>1102</v>
      </c>
    </row>
    <row r="278" spans="1:7" x14ac:dyDescent="0.3">
      <c r="A278" s="223">
        <v>277</v>
      </c>
      <c r="B278" s="223" t="s">
        <v>1085</v>
      </c>
      <c r="C278" s="223" t="s">
        <v>1227</v>
      </c>
      <c r="D278" s="223" t="s">
        <v>1223</v>
      </c>
      <c r="E278" s="223" t="s">
        <v>21</v>
      </c>
      <c r="F278" s="223" t="s">
        <v>1093</v>
      </c>
      <c r="G278" s="223" t="s">
        <v>1219</v>
      </c>
    </row>
    <row r="279" spans="1:7" x14ac:dyDescent="0.3">
      <c r="A279" s="223">
        <v>278</v>
      </c>
      <c r="B279" s="223" t="s">
        <v>1085</v>
      </c>
      <c r="C279" s="223" t="s">
        <v>1227</v>
      </c>
      <c r="D279" s="223" t="s">
        <v>1223</v>
      </c>
      <c r="E279" s="223" t="s">
        <v>21</v>
      </c>
      <c r="F279" s="223" t="s">
        <v>27</v>
      </c>
      <c r="G279" s="223" t="s">
        <v>1219</v>
      </c>
    </row>
    <row r="280" spans="1:7" x14ac:dyDescent="0.3">
      <c r="A280" s="223">
        <v>279</v>
      </c>
      <c r="B280" s="223" t="s">
        <v>1085</v>
      </c>
      <c r="C280" s="223" t="s">
        <v>1227</v>
      </c>
      <c r="D280" s="223" t="s">
        <v>1223</v>
      </c>
      <c r="E280" s="223" t="s">
        <v>21</v>
      </c>
      <c r="F280" s="223" t="s">
        <v>1096</v>
      </c>
      <c r="G280" s="223" t="s">
        <v>1097</v>
      </c>
    </row>
    <row r="281" spans="1:7" x14ac:dyDescent="0.3">
      <c r="A281" s="223">
        <v>280</v>
      </c>
      <c r="B281" s="223" t="s">
        <v>1085</v>
      </c>
      <c r="C281" s="223" t="s">
        <v>1227</v>
      </c>
      <c r="D281" s="223" t="s">
        <v>1223</v>
      </c>
      <c r="E281" s="223" t="s">
        <v>21</v>
      </c>
      <c r="F281" s="223" t="s">
        <v>1090</v>
      </c>
      <c r="G281" s="223" t="s">
        <v>1088</v>
      </c>
    </row>
    <row r="282" spans="1:7" x14ac:dyDescent="0.3">
      <c r="A282" s="223">
        <v>281</v>
      </c>
      <c r="B282" s="223" t="s">
        <v>1085</v>
      </c>
      <c r="C282" s="223" t="s">
        <v>1227</v>
      </c>
      <c r="D282" s="223" t="s">
        <v>12</v>
      </c>
      <c r="E282" s="223" t="s">
        <v>1087</v>
      </c>
      <c r="F282" s="223" t="s">
        <v>1093</v>
      </c>
      <c r="G282" s="223" t="s">
        <v>1219</v>
      </c>
    </row>
    <row r="283" spans="1:7" x14ac:dyDescent="0.3">
      <c r="A283" s="223">
        <v>282</v>
      </c>
      <c r="B283" s="223" t="s">
        <v>1085</v>
      </c>
      <c r="C283" s="223" t="s">
        <v>1227</v>
      </c>
      <c r="D283" s="223" t="s">
        <v>12</v>
      </c>
      <c r="E283" s="223" t="s">
        <v>1087</v>
      </c>
      <c r="F283" s="223" t="s">
        <v>27</v>
      </c>
      <c r="G283" s="223" t="s">
        <v>1219</v>
      </c>
    </row>
    <row r="284" spans="1:7" x14ac:dyDescent="0.3">
      <c r="A284" s="223">
        <v>283</v>
      </c>
      <c r="B284" s="223" t="s">
        <v>1085</v>
      </c>
      <c r="C284" s="223" t="s">
        <v>1227</v>
      </c>
      <c r="D284" s="223" t="s">
        <v>12</v>
      </c>
      <c r="E284" s="223" t="s">
        <v>1087</v>
      </c>
      <c r="F284" s="223" t="s">
        <v>1096</v>
      </c>
      <c r="G284" s="223" t="s">
        <v>1101</v>
      </c>
    </row>
    <row r="285" spans="1:7" x14ac:dyDescent="0.3">
      <c r="A285" s="223">
        <v>284</v>
      </c>
      <c r="B285" s="223" t="s">
        <v>1085</v>
      </c>
      <c r="C285" s="223" t="s">
        <v>1227</v>
      </c>
      <c r="D285" s="223" t="s">
        <v>12</v>
      </c>
      <c r="E285" s="223" t="s">
        <v>1087</v>
      </c>
      <c r="F285" s="223" t="s">
        <v>1090</v>
      </c>
      <c r="G285" s="223" t="s">
        <v>1102</v>
      </c>
    </row>
    <row r="286" spans="1:7" x14ac:dyDescent="0.3">
      <c r="A286" s="223">
        <v>285</v>
      </c>
      <c r="B286" s="223" t="s">
        <v>1085</v>
      </c>
      <c r="C286" s="223" t="s">
        <v>1227</v>
      </c>
      <c r="D286" s="223" t="s">
        <v>12</v>
      </c>
      <c r="E286" s="223" t="s">
        <v>21</v>
      </c>
      <c r="F286" s="223" t="s">
        <v>1093</v>
      </c>
      <c r="G286" s="223" t="s">
        <v>1219</v>
      </c>
    </row>
    <row r="287" spans="1:7" x14ac:dyDescent="0.3">
      <c r="A287" s="223">
        <v>286</v>
      </c>
      <c r="B287" s="223" t="s">
        <v>1085</v>
      </c>
      <c r="C287" s="223" t="s">
        <v>1227</v>
      </c>
      <c r="D287" s="223" t="s">
        <v>12</v>
      </c>
      <c r="E287" s="223" t="s">
        <v>21</v>
      </c>
      <c r="F287" s="223" t="s">
        <v>27</v>
      </c>
      <c r="G287" s="223" t="s">
        <v>1219</v>
      </c>
    </row>
    <row r="288" spans="1:7" x14ac:dyDescent="0.3">
      <c r="A288" s="223">
        <v>287</v>
      </c>
      <c r="B288" s="223" t="s">
        <v>1085</v>
      </c>
      <c r="C288" s="223" t="s">
        <v>1227</v>
      </c>
      <c r="D288" s="223" t="s">
        <v>12</v>
      </c>
      <c r="E288" s="223" t="s">
        <v>21</v>
      </c>
      <c r="F288" s="223" t="s">
        <v>1096</v>
      </c>
      <c r="G288" s="223" t="s">
        <v>1097</v>
      </c>
    </row>
    <row r="289" spans="1:7" x14ac:dyDescent="0.3">
      <c r="A289" s="223">
        <v>288</v>
      </c>
      <c r="B289" s="223" t="s">
        <v>1085</v>
      </c>
      <c r="C289" s="223" t="s">
        <v>1227</v>
      </c>
      <c r="D289" s="223" t="s">
        <v>12</v>
      </c>
      <c r="E289" s="223" t="s">
        <v>21</v>
      </c>
      <c r="F289" s="223" t="s">
        <v>1090</v>
      </c>
      <c r="G289" s="223" t="s">
        <v>1088</v>
      </c>
    </row>
    <row r="290" spans="1:7" x14ac:dyDescent="0.3">
      <c r="A290" s="223">
        <v>289</v>
      </c>
      <c r="B290" s="223" t="s">
        <v>1085</v>
      </c>
      <c r="C290" s="223" t="s">
        <v>1228</v>
      </c>
      <c r="D290" s="223" t="s">
        <v>1218</v>
      </c>
      <c r="E290" s="223" t="s">
        <v>1087</v>
      </c>
      <c r="F290" s="223" t="s">
        <v>1093</v>
      </c>
      <c r="G290" s="223" t="s">
        <v>1107</v>
      </c>
    </row>
    <row r="291" spans="1:7" x14ac:dyDescent="0.3">
      <c r="A291" s="223">
        <v>290</v>
      </c>
      <c r="B291" s="223" t="s">
        <v>1085</v>
      </c>
      <c r="C291" s="223" t="s">
        <v>1228</v>
      </c>
      <c r="D291" s="223" t="s">
        <v>1218</v>
      </c>
      <c r="E291" s="223" t="s">
        <v>1087</v>
      </c>
      <c r="F291" s="223" t="s">
        <v>27</v>
      </c>
      <c r="G291" s="223" t="s">
        <v>1084</v>
      </c>
    </row>
    <row r="292" spans="1:7" x14ac:dyDescent="0.3">
      <c r="A292" s="223">
        <v>291</v>
      </c>
      <c r="B292" s="223" t="s">
        <v>1085</v>
      </c>
      <c r="C292" s="223" t="s">
        <v>1228</v>
      </c>
      <c r="D292" s="223" t="s">
        <v>1218</v>
      </c>
      <c r="E292" s="223" t="s">
        <v>1087</v>
      </c>
      <c r="F292" s="223" t="s">
        <v>1096</v>
      </c>
      <c r="G292" s="223" t="s">
        <v>1099</v>
      </c>
    </row>
    <row r="293" spans="1:7" x14ac:dyDescent="0.3">
      <c r="A293" s="223">
        <v>292</v>
      </c>
      <c r="B293" s="223" t="s">
        <v>1085</v>
      </c>
      <c r="C293" s="223" t="s">
        <v>1228</v>
      </c>
      <c r="D293" s="223" t="s">
        <v>1218</v>
      </c>
      <c r="E293" s="223" t="s">
        <v>1087</v>
      </c>
      <c r="F293" s="223" t="s">
        <v>1090</v>
      </c>
      <c r="G293" s="223" t="s">
        <v>1219</v>
      </c>
    </row>
    <row r="294" spans="1:7" x14ac:dyDescent="0.3">
      <c r="A294" s="223">
        <v>293</v>
      </c>
      <c r="B294" s="223" t="s">
        <v>1085</v>
      </c>
      <c r="C294" s="223" t="s">
        <v>1228</v>
      </c>
      <c r="D294" s="223" t="s">
        <v>1218</v>
      </c>
      <c r="E294" s="223" t="s">
        <v>21</v>
      </c>
      <c r="F294" s="223" t="s">
        <v>1093</v>
      </c>
      <c r="G294" s="223" t="s">
        <v>1219</v>
      </c>
    </row>
    <row r="295" spans="1:7" x14ac:dyDescent="0.3">
      <c r="A295" s="223">
        <v>294</v>
      </c>
      <c r="B295" s="223" t="s">
        <v>1085</v>
      </c>
      <c r="C295" s="223" t="s">
        <v>1228</v>
      </c>
      <c r="D295" s="223" t="s">
        <v>1218</v>
      </c>
      <c r="E295" s="223" t="s">
        <v>21</v>
      </c>
      <c r="F295" s="223" t="s">
        <v>27</v>
      </c>
      <c r="G295" s="223" t="s">
        <v>1106</v>
      </c>
    </row>
    <row r="296" spans="1:7" x14ac:dyDescent="0.3">
      <c r="A296" s="223">
        <v>295</v>
      </c>
      <c r="B296" s="223" t="s">
        <v>1085</v>
      </c>
      <c r="C296" s="223" t="s">
        <v>1228</v>
      </c>
      <c r="D296" s="223" t="s">
        <v>1218</v>
      </c>
      <c r="E296" s="223" t="s">
        <v>21</v>
      </c>
      <c r="F296" s="223" t="s">
        <v>1096</v>
      </c>
      <c r="G296" s="223" t="s">
        <v>1100</v>
      </c>
    </row>
    <row r="297" spans="1:7" x14ac:dyDescent="0.3">
      <c r="A297" s="223">
        <v>296</v>
      </c>
      <c r="B297" s="223" t="s">
        <v>1085</v>
      </c>
      <c r="C297" s="223" t="s">
        <v>1228</v>
      </c>
      <c r="D297" s="223" t="s">
        <v>1218</v>
      </c>
      <c r="E297" s="223" t="s">
        <v>21</v>
      </c>
      <c r="F297" s="223" t="s">
        <v>1090</v>
      </c>
      <c r="G297" s="223" t="s">
        <v>1219</v>
      </c>
    </row>
    <row r="298" spans="1:7" x14ac:dyDescent="0.3">
      <c r="A298" s="223">
        <v>297</v>
      </c>
      <c r="B298" s="223" t="s">
        <v>1085</v>
      </c>
      <c r="C298" s="223" t="s">
        <v>1228</v>
      </c>
      <c r="D298" s="223" t="s">
        <v>1220</v>
      </c>
      <c r="E298" s="223" t="s">
        <v>1087</v>
      </c>
      <c r="F298" s="223" t="s">
        <v>1093</v>
      </c>
      <c r="G298" s="223" t="s">
        <v>1107</v>
      </c>
    </row>
    <row r="299" spans="1:7" x14ac:dyDescent="0.3">
      <c r="A299" s="223">
        <v>298</v>
      </c>
      <c r="B299" s="223" t="s">
        <v>1085</v>
      </c>
      <c r="C299" s="223" t="s">
        <v>1228</v>
      </c>
      <c r="D299" s="223" t="s">
        <v>1220</v>
      </c>
      <c r="E299" s="223" t="s">
        <v>1087</v>
      </c>
      <c r="F299" s="223" t="s">
        <v>27</v>
      </c>
      <c r="G299" s="223" t="s">
        <v>1084</v>
      </c>
    </row>
    <row r="300" spans="1:7" x14ac:dyDescent="0.3">
      <c r="A300" s="223">
        <v>299</v>
      </c>
      <c r="B300" s="223" t="s">
        <v>1085</v>
      </c>
      <c r="C300" s="223" t="s">
        <v>1228</v>
      </c>
      <c r="D300" s="223" t="s">
        <v>1220</v>
      </c>
      <c r="E300" s="223" t="s">
        <v>1087</v>
      </c>
      <c r="F300" s="223" t="s">
        <v>1096</v>
      </c>
      <c r="G300" s="223" t="s">
        <v>1099</v>
      </c>
    </row>
    <row r="301" spans="1:7" x14ac:dyDescent="0.3">
      <c r="A301" s="223">
        <v>300</v>
      </c>
      <c r="B301" s="223" t="s">
        <v>1085</v>
      </c>
      <c r="C301" s="223" t="s">
        <v>1228</v>
      </c>
      <c r="D301" s="223" t="s">
        <v>1220</v>
      </c>
      <c r="E301" s="223" t="s">
        <v>1087</v>
      </c>
      <c r="F301" s="223" t="s">
        <v>1090</v>
      </c>
      <c r="G301" s="223" t="s">
        <v>1219</v>
      </c>
    </row>
    <row r="302" spans="1:7" x14ac:dyDescent="0.3">
      <c r="A302" s="223">
        <v>301</v>
      </c>
      <c r="B302" s="223" t="s">
        <v>1085</v>
      </c>
      <c r="C302" s="223" t="s">
        <v>1228</v>
      </c>
      <c r="D302" s="223" t="s">
        <v>1220</v>
      </c>
      <c r="E302" s="223" t="s">
        <v>21</v>
      </c>
      <c r="F302" s="223" t="s">
        <v>1093</v>
      </c>
      <c r="G302" s="223" t="s">
        <v>1219</v>
      </c>
    </row>
    <row r="303" spans="1:7" x14ac:dyDescent="0.3">
      <c r="A303" s="223">
        <v>302</v>
      </c>
      <c r="B303" s="223" t="s">
        <v>1085</v>
      </c>
      <c r="C303" s="223" t="s">
        <v>1228</v>
      </c>
      <c r="D303" s="223" t="s">
        <v>1220</v>
      </c>
      <c r="E303" s="223" t="s">
        <v>21</v>
      </c>
      <c r="F303" s="223" t="s">
        <v>27</v>
      </c>
      <c r="G303" s="223" t="s">
        <v>1106</v>
      </c>
    </row>
    <row r="304" spans="1:7" x14ac:dyDescent="0.3">
      <c r="A304" s="223">
        <v>303</v>
      </c>
      <c r="B304" s="223" t="s">
        <v>1085</v>
      </c>
      <c r="C304" s="223" t="s">
        <v>1228</v>
      </c>
      <c r="D304" s="223" t="s">
        <v>1220</v>
      </c>
      <c r="E304" s="223" t="s">
        <v>21</v>
      </c>
      <c r="F304" s="223" t="s">
        <v>1096</v>
      </c>
      <c r="G304" s="223" t="s">
        <v>1100</v>
      </c>
    </row>
    <row r="305" spans="1:7" x14ac:dyDescent="0.3">
      <c r="A305" s="223">
        <v>304</v>
      </c>
      <c r="B305" s="223" t="s">
        <v>1085</v>
      </c>
      <c r="C305" s="223" t="s">
        <v>1228</v>
      </c>
      <c r="D305" s="223" t="s">
        <v>1220</v>
      </c>
      <c r="E305" s="223" t="s">
        <v>21</v>
      </c>
      <c r="F305" s="223" t="s">
        <v>1090</v>
      </c>
      <c r="G305" s="223" t="s">
        <v>1219</v>
      </c>
    </row>
    <row r="306" spans="1:7" x14ac:dyDescent="0.3">
      <c r="A306" s="223">
        <v>305</v>
      </c>
      <c r="B306" s="223" t="s">
        <v>1085</v>
      </c>
      <c r="C306" s="223" t="s">
        <v>1228</v>
      </c>
      <c r="D306" s="223" t="s">
        <v>1221</v>
      </c>
      <c r="E306" s="223" t="s">
        <v>1087</v>
      </c>
      <c r="F306" s="223" t="s">
        <v>1093</v>
      </c>
      <c r="G306" s="223" t="s">
        <v>1107</v>
      </c>
    </row>
    <row r="307" spans="1:7" x14ac:dyDescent="0.3">
      <c r="A307" s="223">
        <v>306</v>
      </c>
      <c r="B307" s="223" t="s">
        <v>1085</v>
      </c>
      <c r="C307" s="223" t="s">
        <v>1228</v>
      </c>
      <c r="D307" s="223" t="s">
        <v>1221</v>
      </c>
      <c r="E307" s="223" t="s">
        <v>1087</v>
      </c>
      <c r="F307" s="223" t="s">
        <v>27</v>
      </c>
      <c r="G307" s="223" t="s">
        <v>1084</v>
      </c>
    </row>
    <row r="308" spans="1:7" x14ac:dyDescent="0.3">
      <c r="A308" s="223">
        <v>307</v>
      </c>
      <c r="B308" s="223" t="s">
        <v>1085</v>
      </c>
      <c r="C308" s="223" t="s">
        <v>1228</v>
      </c>
      <c r="D308" s="223" t="s">
        <v>1221</v>
      </c>
      <c r="E308" s="223" t="s">
        <v>1087</v>
      </c>
      <c r="F308" s="223" t="s">
        <v>1096</v>
      </c>
      <c r="G308" s="223" t="s">
        <v>1099</v>
      </c>
    </row>
    <row r="309" spans="1:7" x14ac:dyDescent="0.3">
      <c r="A309" s="223">
        <v>308</v>
      </c>
      <c r="B309" s="223" t="s">
        <v>1085</v>
      </c>
      <c r="C309" s="223" t="s">
        <v>1228</v>
      </c>
      <c r="D309" s="223" t="s">
        <v>1221</v>
      </c>
      <c r="E309" s="223" t="s">
        <v>1087</v>
      </c>
      <c r="F309" s="223" t="s">
        <v>1090</v>
      </c>
      <c r="G309" s="223" t="s">
        <v>1219</v>
      </c>
    </row>
    <row r="310" spans="1:7" x14ac:dyDescent="0.3">
      <c r="A310" s="223">
        <v>309</v>
      </c>
      <c r="B310" s="223" t="s">
        <v>1085</v>
      </c>
      <c r="C310" s="223" t="s">
        <v>1228</v>
      </c>
      <c r="D310" s="223" t="s">
        <v>1221</v>
      </c>
      <c r="E310" s="223" t="s">
        <v>21</v>
      </c>
      <c r="F310" s="223" t="s">
        <v>1093</v>
      </c>
      <c r="G310" s="223" t="s">
        <v>1219</v>
      </c>
    </row>
    <row r="311" spans="1:7" x14ac:dyDescent="0.3">
      <c r="A311" s="223">
        <v>310</v>
      </c>
      <c r="B311" s="223" t="s">
        <v>1085</v>
      </c>
      <c r="C311" s="223" t="s">
        <v>1228</v>
      </c>
      <c r="D311" s="223" t="s">
        <v>1221</v>
      </c>
      <c r="E311" s="223" t="s">
        <v>21</v>
      </c>
      <c r="F311" s="223" t="s">
        <v>27</v>
      </c>
      <c r="G311" s="223" t="s">
        <v>1106</v>
      </c>
    </row>
    <row r="312" spans="1:7" x14ac:dyDescent="0.3">
      <c r="A312" s="223">
        <v>311</v>
      </c>
      <c r="B312" s="223" t="s">
        <v>1085</v>
      </c>
      <c r="C312" s="223" t="s">
        <v>1228</v>
      </c>
      <c r="D312" s="223" t="s">
        <v>1221</v>
      </c>
      <c r="E312" s="223" t="s">
        <v>21</v>
      </c>
      <c r="F312" s="223" t="s">
        <v>1096</v>
      </c>
      <c r="G312" s="223" t="s">
        <v>1100</v>
      </c>
    </row>
    <row r="313" spans="1:7" x14ac:dyDescent="0.3">
      <c r="A313" s="223">
        <v>312</v>
      </c>
      <c r="B313" s="223" t="s">
        <v>1085</v>
      </c>
      <c r="C313" s="223" t="s">
        <v>1228</v>
      </c>
      <c r="D313" s="223" t="s">
        <v>1221</v>
      </c>
      <c r="E313" s="223" t="s">
        <v>21</v>
      </c>
      <c r="F313" s="223" t="s">
        <v>1090</v>
      </c>
      <c r="G313" s="223" t="s">
        <v>1219</v>
      </c>
    </row>
    <row r="314" spans="1:7" x14ac:dyDescent="0.3">
      <c r="A314" s="223">
        <v>313</v>
      </c>
      <c r="B314" s="223" t="s">
        <v>1085</v>
      </c>
      <c r="C314" s="223" t="s">
        <v>1228</v>
      </c>
      <c r="D314" s="223" t="s">
        <v>1222</v>
      </c>
      <c r="E314" s="223" t="s">
        <v>1087</v>
      </c>
      <c r="F314" s="223" t="s">
        <v>1093</v>
      </c>
      <c r="G314" s="223" t="s">
        <v>1107</v>
      </c>
    </row>
    <row r="315" spans="1:7" x14ac:dyDescent="0.3">
      <c r="A315" s="223">
        <v>314</v>
      </c>
      <c r="B315" s="223" t="s">
        <v>1085</v>
      </c>
      <c r="C315" s="223" t="s">
        <v>1228</v>
      </c>
      <c r="D315" s="223" t="s">
        <v>1222</v>
      </c>
      <c r="E315" s="223" t="s">
        <v>1087</v>
      </c>
      <c r="F315" s="223" t="s">
        <v>27</v>
      </c>
      <c r="G315" s="223" t="s">
        <v>1084</v>
      </c>
    </row>
    <row r="316" spans="1:7" x14ac:dyDescent="0.3">
      <c r="A316" s="223">
        <v>315</v>
      </c>
      <c r="B316" s="223" t="s">
        <v>1085</v>
      </c>
      <c r="C316" s="223" t="s">
        <v>1228</v>
      </c>
      <c r="D316" s="223" t="s">
        <v>1222</v>
      </c>
      <c r="E316" s="223" t="s">
        <v>1087</v>
      </c>
      <c r="F316" s="223" t="s">
        <v>1096</v>
      </c>
      <c r="G316" s="223" t="s">
        <v>1099</v>
      </c>
    </row>
    <row r="317" spans="1:7" x14ac:dyDescent="0.3">
      <c r="A317" s="223">
        <v>316</v>
      </c>
      <c r="B317" s="223" t="s">
        <v>1085</v>
      </c>
      <c r="C317" s="223" t="s">
        <v>1228</v>
      </c>
      <c r="D317" s="223" t="s">
        <v>1222</v>
      </c>
      <c r="E317" s="223" t="s">
        <v>1087</v>
      </c>
      <c r="F317" s="223" t="s">
        <v>1090</v>
      </c>
      <c r="G317" s="223" t="s">
        <v>1219</v>
      </c>
    </row>
    <row r="318" spans="1:7" x14ac:dyDescent="0.3">
      <c r="A318" s="223">
        <v>317</v>
      </c>
      <c r="B318" s="223" t="s">
        <v>1085</v>
      </c>
      <c r="C318" s="223" t="s">
        <v>1228</v>
      </c>
      <c r="D318" s="223" t="s">
        <v>1222</v>
      </c>
      <c r="E318" s="223" t="s">
        <v>21</v>
      </c>
      <c r="F318" s="223" t="s">
        <v>1093</v>
      </c>
      <c r="G318" s="223" t="s">
        <v>1219</v>
      </c>
    </row>
    <row r="319" spans="1:7" x14ac:dyDescent="0.3">
      <c r="A319" s="223">
        <v>318</v>
      </c>
      <c r="B319" s="223" t="s">
        <v>1085</v>
      </c>
      <c r="C319" s="223" t="s">
        <v>1228</v>
      </c>
      <c r="D319" s="223" t="s">
        <v>1222</v>
      </c>
      <c r="E319" s="223" t="s">
        <v>21</v>
      </c>
      <c r="F319" s="223" t="s">
        <v>27</v>
      </c>
      <c r="G319" s="223" t="s">
        <v>1106</v>
      </c>
    </row>
    <row r="320" spans="1:7" x14ac:dyDescent="0.3">
      <c r="A320" s="223">
        <v>319</v>
      </c>
      <c r="B320" s="223" t="s">
        <v>1085</v>
      </c>
      <c r="C320" s="223" t="s">
        <v>1228</v>
      </c>
      <c r="D320" s="223" t="s">
        <v>1222</v>
      </c>
      <c r="E320" s="223" t="s">
        <v>21</v>
      </c>
      <c r="F320" s="223" t="s">
        <v>1096</v>
      </c>
      <c r="G320" s="223" t="s">
        <v>1100</v>
      </c>
    </row>
    <row r="321" spans="1:7" x14ac:dyDescent="0.3">
      <c r="A321" s="223">
        <v>320</v>
      </c>
      <c r="B321" s="223" t="s">
        <v>1085</v>
      </c>
      <c r="C321" s="223" t="s">
        <v>1228</v>
      </c>
      <c r="D321" s="223" t="s">
        <v>1222</v>
      </c>
      <c r="E321" s="223" t="s">
        <v>21</v>
      </c>
      <c r="F321" s="223" t="s">
        <v>1090</v>
      </c>
      <c r="G321" s="223" t="s">
        <v>1219</v>
      </c>
    </row>
    <row r="322" spans="1:7" x14ac:dyDescent="0.3">
      <c r="A322" s="223">
        <v>321</v>
      </c>
      <c r="B322" s="223" t="s">
        <v>1085</v>
      </c>
      <c r="C322" s="223" t="s">
        <v>1228</v>
      </c>
      <c r="D322" s="223" t="s">
        <v>1223</v>
      </c>
      <c r="E322" s="223" t="s">
        <v>1087</v>
      </c>
      <c r="F322" s="223" t="s">
        <v>1093</v>
      </c>
      <c r="G322" s="223" t="s">
        <v>1219</v>
      </c>
    </row>
    <row r="323" spans="1:7" x14ac:dyDescent="0.3">
      <c r="A323" s="223">
        <v>322</v>
      </c>
      <c r="B323" s="223" t="s">
        <v>1085</v>
      </c>
      <c r="C323" s="223" t="s">
        <v>1228</v>
      </c>
      <c r="D323" s="223" t="s">
        <v>1223</v>
      </c>
      <c r="E323" s="223" t="s">
        <v>1087</v>
      </c>
      <c r="F323" s="223" t="s">
        <v>27</v>
      </c>
      <c r="G323" s="223" t="s">
        <v>1219</v>
      </c>
    </row>
    <row r="324" spans="1:7" x14ac:dyDescent="0.3">
      <c r="A324" s="223">
        <v>323</v>
      </c>
      <c r="B324" s="223" t="s">
        <v>1085</v>
      </c>
      <c r="C324" s="223" t="s">
        <v>1228</v>
      </c>
      <c r="D324" s="223" t="s">
        <v>1223</v>
      </c>
      <c r="E324" s="223" t="s">
        <v>1087</v>
      </c>
      <c r="F324" s="223" t="s">
        <v>1096</v>
      </c>
      <c r="G324" s="223" t="s">
        <v>1101</v>
      </c>
    </row>
    <row r="325" spans="1:7" x14ac:dyDescent="0.3">
      <c r="A325" s="223">
        <v>324</v>
      </c>
      <c r="B325" s="223" t="s">
        <v>1085</v>
      </c>
      <c r="C325" s="223" t="s">
        <v>1228</v>
      </c>
      <c r="D325" s="223" t="s">
        <v>1223</v>
      </c>
      <c r="E325" s="223" t="s">
        <v>1087</v>
      </c>
      <c r="F325" s="223" t="s">
        <v>1090</v>
      </c>
      <c r="G325" s="223" t="s">
        <v>1102</v>
      </c>
    </row>
    <row r="326" spans="1:7" x14ac:dyDescent="0.3">
      <c r="A326" s="223">
        <v>325</v>
      </c>
      <c r="B326" s="223" t="s">
        <v>1085</v>
      </c>
      <c r="C326" s="223" t="s">
        <v>1228</v>
      </c>
      <c r="D326" s="223" t="s">
        <v>1223</v>
      </c>
      <c r="E326" s="223" t="s">
        <v>21</v>
      </c>
      <c r="F326" s="223" t="s">
        <v>1093</v>
      </c>
      <c r="G326" s="223" t="s">
        <v>1219</v>
      </c>
    </row>
    <row r="327" spans="1:7" x14ac:dyDescent="0.3">
      <c r="A327" s="223">
        <v>326</v>
      </c>
      <c r="B327" s="223" t="s">
        <v>1085</v>
      </c>
      <c r="C327" s="223" t="s">
        <v>1228</v>
      </c>
      <c r="D327" s="223" t="s">
        <v>1223</v>
      </c>
      <c r="E327" s="223" t="s">
        <v>21</v>
      </c>
      <c r="F327" s="223" t="s">
        <v>27</v>
      </c>
      <c r="G327" s="223" t="s">
        <v>1219</v>
      </c>
    </row>
    <row r="328" spans="1:7" x14ac:dyDescent="0.3">
      <c r="A328" s="223">
        <v>327</v>
      </c>
      <c r="B328" s="223" t="s">
        <v>1085</v>
      </c>
      <c r="C328" s="223" t="s">
        <v>1228</v>
      </c>
      <c r="D328" s="223" t="s">
        <v>1223</v>
      </c>
      <c r="E328" s="223" t="s">
        <v>21</v>
      </c>
      <c r="F328" s="223" t="s">
        <v>1096</v>
      </c>
      <c r="G328" s="223" t="s">
        <v>1097</v>
      </c>
    </row>
    <row r="329" spans="1:7" x14ac:dyDescent="0.3">
      <c r="A329" s="223">
        <v>328</v>
      </c>
      <c r="B329" s="223" t="s">
        <v>1085</v>
      </c>
      <c r="C329" s="223" t="s">
        <v>1228</v>
      </c>
      <c r="D329" s="223" t="s">
        <v>1223</v>
      </c>
      <c r="E329" s="223" t="s">
        <v>21</v>
      </c>
      <c r="F329" s="223" t="s">
        <v>1090</v>
      </c>
      <c r="G329" s="223" t="s">
        <v>1088</v>
      </c>
    </row>
    <row r="330" spans="1:7" x14ac:dyDescent="0.3">
      <c r="A330" s="223">
        <v>329</v>
      </c>
      <c r="B330" s="223" t="s">
        <v>1085</v>
      </c>
      <c r="C330" s="223" t="s">
        <v>1228</v>
      </c>
      <c r="D330" s="223" t="s">
        <v>12</v>
      </c>
      <c r="E330" s="223" t="s">
        <v>1087</v>
      </c>
      <c r="F330" s="223" t="s">
        <v>1093</v>
      </c>
      <c r="G330" s="223" t="s">
        <v>1219</v>
      </c>
    </row>
    <row r="331" spans="1:7" x14ac:dyDescent="0.3">
      <c r="A331" s="223">
        <v>330</v>
      </c>
      <c r="B331" s="223" t="s">
        <v>1085</v>
      </c>
      <c r="C331" s="223" t="s">
        <v>1228</v>
      </c>
      <c r="D331" s="223" t="s">
        <v>12</v>
      </c>
      <c r="E331" s="223" t="s">
        <v>1087</v>
      </c>
      <c r="F331" s="223" t="s">
        <v>27</v>
      </c>
      <c r="G331" s="223" t="s">
        <v>1219</v>
      </c>
    </row>
    <row r="332" spans="1:7" x14ac:dyDescent="0.3">
      <c r="A332" s="223">
        <v>331</v>
      </c>
      <c r="B332" s="223" t="s">
        <v>1085</v>
      </c>
      <c r="C332" s="223" t="s">
        <v>1228</v>
      </c>
      <c r="D332" s="223" t="s">
        <v>12</v>
      </c>
      <c r="E332" s="223" t="s">
        <v>1087</v>
      </c>
      <c r="F332" s="223" t="s">
        <v>1096</v>
      </c>
      <c r="G332" s="223" t="s">
        <v>1101</v>
      </c>
    </row>
    <row r="333" spans="1:7" x14ac:dyDescent="0.3">
      <c r="A333" s="223">
        <v>332</v>
      </c>
      <c r="B333" s="223" t="s">
        <v>1085</v>
      </c>
      <c r="C333" s="223" t="s">
        <v>1228</v>
      </c>
      <c r="D333" s="223" t="s">
        <v>12</v>
      </c>
      <c r="E333" s="223" t="s">
        <v>1087</v>
      </c>
      <c r="F333" s="223" t="s">
        <v>1090</v>
      </c>
      <c r="G333" s="223" t="s">
        <v>1102</v>
      </c>
    </row>
    <row r="334" spans="1:7" x14ac:dyDescent="0.3">
      <c r="A334" s="223">
        <v>333</v>
      </c>
      <c r="B334" s="223" t="s">
        <v>1085</v>
      </c>
      <c r="C334" s="223" t="s">
        <v>1228</v>
      </c>
      <c r="D334" s="223" t="s">
        <v>12</v>
      </c>
      <c r="E334" s="223" t="s">
        <v>21</v>
      </c>
      <c r="F334" s="223" t="s">
        <v>1093</v>
      </c>
      <c r="G334" s="223" t="s">
        <v>1219</v>
      </c>
    </row>
    <row r="335" spans="1:7" x14ac:dyDescent="0.3">
      <c r="A335" s="223">
        <v>334</v>
      </c>
      <c r="B335" s="223" t="s">
        <v>1085</v>
      </c>
      <c r="C335" s="223" t="s">
        <v>1228</v>
      </c>
      <c r="D335" s="223" t="s">
        <v>12</v>
      </c>
      <c r="E335" s="223" t="s">
        <v>21</v>
      </c>
      <c r="F335" s="223" t="s">
        <v>27</v>
      </c>
      <c r="G335" s="223" t="s">
        <v>1219</v>
      </c>
    </row>
    <row r="336" spans="1:7" x14ac:dyDescent="0.3">
      <c r="A336" s="223">
        <v>335</v>
      </c>
      <c r="B336" s="223" t="s">
        <v>1085</v>
      </c>
      <c r="C336" s="223" t="s">
        <v>1228</v>
      </c>
      <c r="D336" s="223" t="s">
        <v>12</v>
      </c>
      <c r="E336" s="223" t="s">
        <v>21</v>
      </c>
      <c r="F336" s="223" t="s">
        <v>1096</v>
      </c>
      <c r="G336" s="223" t="s">
        <v>1097</v>
      </c>
    </row>
    <row r="337" spans="1:7" x14ac:dyDescent="0.3">
      <c r="A337" s="223">
        <v>336</v>
      </c>
      <c r="B337" s="223" t="s">
        <v>1085</v>
      </c>
      <c r="C337" s="223" t="s">
        <v>1228</v>
      </c>
      <c r="D337" s="223" t="s">
        <v>12</v>
      </c>
      <c r="E337" s="223" t="s">
        <v>21</v>
      </c>
      <c r="F337" s="223" t="s">
        <v>1090</v>
      </c>
      <c r="G337" s="223" t="s">
        <v>1088</v>
      </c>
    </row>
    <row r="338" spans="1:7" x14ac:dyDescent="0.3">
      <c r="A338" s="223">
        <v>337</v>
      </c>
      <c r="B338" s="223" t="s">
        <v>1110</v>
      </c>
      <c r="C338" s="223" t="s">
        <v>1217</v>
      </c>
      <c r="D338" s="223" t="s">
        <v>1218</v>
      </c>
      <c r="E338" s="223" t="s">
        <v>1087</v>
      </c>
      <c r="F338" s="223" t="s">
        <v>1093</v>
      </c>
      <c r="G338" s="223" t="s">
        <v>1121</v>
      </c>
    </row>
    <row r="339" spans="1:7" x14ac:dyDescent="0.3">
      <c r="A339" s="223">
        <v>338</v>
      </c>
      <c r="B339" s="223" t="s">
        <v>1110</v>
      </c>
      <c r="C339" s="223" t="s">
        <v>1217</v>
      </c>
      <c r="D339" s="223" t="s">
        <v>1218</v>
      </c>
      <c r="E339" s="223" t="s">
        <v>1087</v>
      </c>
      <c r="F339" s="223" t="s">
        <v>27</v>
      </c>
      <c r="G339" s="223" t="s">
        <v>1109</v>
      </c>
    </row>
    <row r="340" spans="1:7" x14ac:dyDescent="0.3">
      <c r="A340" s="223">
        <v>339</v>
      </c>
      <c r="B340" s="223" t="s">
        <v>1110</v>
      </c>
      <c r="C340" s="223" t="s">
        <v>1217</v>
      </c>
      <c r="D340" s="223" t="s">
        <v>1218</v>
      </c>
      <c r="E340" s="223" t="s">
        <v>1087</v>
      </c>
      <c r="F340" s="223" t="s">
        <v>1096</v>
      </c>
      <c r="G340" s="223" t="s">
        <v>1207</v>
      </c>
    </row>
    <row r="341" spans="1:7" x14ac:dyDescent="0.3">
      <c r="A341" s="223">
        <v>340</v>
      </c>
      <c r="B341" s="223" t="s">
        <v>1110</v>
      </c>
      <c r="C341" s="223" t="s">
        <v>1217</v>
      </c>
      <c r="D341" s="223" t="s">
        <v>1218</v>
      </c>
      <c r="E341" s="223" t="s">
        <v>1087</v>
      </c>
      <c r="F341" s="223" t="s">
        <v>1090</v>
      </c>
      <c r="G341" s="223" t="s">
        <v>1219</v>
      </c>
    </row>
    <row r="342" spans="1:7" x14ac:dyDescent="0.3">
      <c r="A342" s="223">
        <v>341</v>
      </c>
      <c r="B342" s="223" t="s">
        <v>1110</v>
      </c>
      <c r="C342" s="223" t="s">
        <v>1217</v>
      </c>
      <c r="D342" s="223" t="s">
        <v>1218</v>
      </c>
      <c r="E342" s="223" t="s">
        <v>21</v>
      </c>
      <c r="F342" s="223" t="s">
        <v>1093</v>
      </c>
      <c r="G342" s="223" t="s">
        <v>1219</v>
      </c>
    </row>
    <row r="343" spans="1:7" x14ac:dyDescent="0.3">
      <c r="A343" s="223">
        <v>342</v>
      </c>
      <c r="B343" s="223" t="s">
        <v>1110</v>
      </c>
      <c r="C343" s="223" t="s">
        <v>1217</v>
      </c>
      <c r="D343" s="223" t="s">
        <v>1218</v>
      </c>
      <c r="E343" s="223" t="s">
        <v>21</v>
      </c>
      <c r="F343" s="223" t="s">
        <v>27</v>
      </c>
      <c r="G343" s="223" t="s">
        <v>1206</v>
      </c>
    </row>
    <row r="344" spans="1:7" x14ac:dyDescent="0.3">
      <c r="A344" s="223">
        <v>343</v>
      </c>
      <c r="B344" s="223" t="s">
        <v>1110</v>
      </c>
      <c r="C344" s="223" t="s">
        <v>1217</v>
      </c>
      <c r="D344" s="223" t="s">
        <v>1218</v>
      </c>
      <c r="E344" s="223" t="s">
        <v>21</v>
      </c>
      <c r="F344" s="223" t="s">
        <v>1096</v>
      </c>
      <c r="G344" s="223" t="s">
        <v>1194</v>
      </c>
    </row>
    <row r="345" spans="1:7" x14ac:dyDescent="0.3">
      <c r="A345" s="223">
        <v>344</v>
      </c>
      <c r="B345" s="223" t="s">
        <v>1110</v>
      </c>
      <c r="C345" s="223" t="s">
        <v>1217</v>
      </c>
      <c r="D345" s="223" t="s">
        <v>1218</v>
      </c>
      <c r="E345" s="223" t="s">
        <v>21</v>
      </c>
      <c r="F345" s="223" t="s">
        <v>1090</v>
      </c>
      <c r="G345" s="223" t="s">
        <v>1219</v>
      </c>
    </row>
    <row r="346" spans="1:7" x14ac:dyDescent="0.3">
      <c r="A346" s="223">
        <v>345</v>
      </c>
      <c r="B346" s="223" t="s">
        <v>1110</v>
      </c>
      <c r="C346" s="223" t="s">
        <v>1217</v>
      </c>
      <c r="D346" s="223" t="s">
        <v>1220</v>
      </c>
      <c r="E346" s="223" t="s">
        <v>1087</v>
      </c>
      <c r="F346" s="223" t="s">
        <v>1093</v>
      </c>
      <c r="G346" s="223" t="s">
        <v>1121</v>
      </c>
    </row>
    <row r="347" spans="1:7" x14ac:dyDescent="0.3">
      <c r="A347" s="223">
        <v>346</v>
      </c>
      <c r="B347" s="223" t="s">
        <v>1110</v>
      </c>
      <c r="C347" s="223" t="s">
        <v>1217</v>
      </c>
      <c r="D347" s="223" t="s">
        <v>1220</v>
      </c>
      <c r="E347" s="223" t="s">
        <v>1087</v>
      </c>
      <c r="F347" s="223" t="s">
        <v>27</v>
      </c>
      <c r="G347" s="223" t="s">
        <v>1109</v>
      </c>
    </row>
    <row r="348" spans="1:7" x14ac:dyDescent="0.3">
      <c r="A348" s="223">
        <v>347</v>
      </c>
      <c r="B348" s="223" t="s">
        <v>1110</v>
      </c>
      <c r="C348" s="223" t="s">
        <v>1217</v>
      </c>
      <c r="D348" s="223" t="s">
        <v>1220</v>
      </c>
      <c r="E348" s="223" t="s">
        <v>1087</v>
      </c>
      <c r="F348" s="223" t="s">
        <v>1096</v>
      </c>
      <c r="G348" s="223" t="s">
        <v>1207</v>
      </c>
    </row>
    <row r="349" spans="1:7" x14ac:dyDescent="0.3">
      <c r="A349" s="223">
        <v>348</v>
      </c>
      <c r="B349" s="223" t="s">
        <v>1110</v>
      </c>
      <c r="C349" s="223" t="s">
        <v>1217</v>
      </c>
      <c r="D349" s="223" t="s">
        <v>1220</v>
      </c>
      <c r="E349" s="223" t="s">
        <v>1087</v>
      </c>
      <c r="F349" s="223" t="s">
        <v>1090</v>
      </c>
      <c r="G349" s="223" t="s">
        <v>1219</v>
      </c>
    </row>
    <row r="350" spans="1:7" x14ac:dyDescent="0.3">
      <c r="A350" s="223">
        <v>349</v>
      </c>
      <c r="B350" s="223" t="s">
        <v>1110</v>
      </c>
      <c r="C350" s="223" t="s">
        <v>1217</v>
      </c>
      <c r="D350" s="223" t="s">
        <v>1220</v>
      </c>
      <c r="E350" s="223" t="s">
        <v>21</v>
      </c>
      <c r="F350" s="223" t="s">
        <v>1093</v>
      </c>
      <c r="G350" s="223" t="s">
        <v>1219</v>
      </c>
    </row>
    <row r="351" spans="1:7" x14ac:dyDescent="0.3">
      <c r="A351" s="223">
        <v>350</v>
      </c>
      <c r="B351" s="223" t="s">
        <v>1110</v>
      </c>
      <c r="C351" s="223" t="s">
        <v>1217</v>
      </c>
      <c r="D351" s="223" t="s">
        <v>1220</v>
      </c>
      <c r="E351" s="223" t="s">
        <v>21</v>
      </c>
      <c r="F351" s="223" t="s">
        <v>27</v>
      </c>
      <c r="G351" s="223" t="s">
        <v>1206</v>
      </c>
    </row>
    <row r="352" spans="1:7" x14ac:dyDescent="0.3">
      <c r="A352" s="223">
        <v>351</v>
      </c>
      <c r="B352" s="223" t="s">
        <v>1110</v>
      </c>
      <c r="C352" s="223" t="s">
        <v>1217</v>
      </c>
      <c r="D352" s="223" t="s">
        <v>1220</v>
      </c>
      <c r="E352" s="223" t="s">
        <v>21</v>
      </c>
      <c r="F352" s="223" t="s">
        <v>1096</v>
      </c>
      <c r="G352" s="223" t="s">
        <v>1194</v>
      </c>
    </row>
    <row r="353" spans="1:7" x14ac:dyDescent="0.3">
      <c r="A353" s="223">
        <v>352</v>
      </c>
      <c r="B353" s="223" t="s">
        <v>1110</v>
      </c>
      <c r="C353" s="223" t="s">
        <v>1217</v>
      </c>
      <c r="D353" s="223" t="s">
        <v>1220</v>
      </c>
      <c r="E353" s="223" t="s">
        <v>21</v>
      </c>
      <c r="F353" s="223" t="s">
        <v>1090</v>
      </c>
      <c r="G353" s="223" t="s">
        <v>1219</v>
      </c>
    </row>
    <row r="354" spans="1:7" x14ac:dyDescent="0.3">
      <c r="A354" s="223">
        <v>353</v>
      </c>
      <c r="B354" s="223" t="s">
        <v>1110</v>
      </c>
      <c r="C354" s="223" t="s">
        <v>1217</v>
      </c>
      <c r="D354" s="223" t="s">
        <v>1221</v>
      </c>
      <c r="E354" s="223" t="s">
        <v>1087</v>
      </c>
      <c r="F354" s="223" t="s">
        <v>1093</v>
      </c>
      <c r="G354" s="223" t="s">
        <v>1121</v>
      </c>
    </row>
    <row r="355" spans="1:7" x14ac:dyDescent="0.3">
      <c r="A355" s="223">
        <v>354</v>
      </c>
      <c r="B355" s="223" t="s">
        <v>1110</v>
      </c>
      <c r="C355" s="223" t="s">
        <v>1217</v>
      </c>
      <c r="D355" s="223" t="s">
        <v>1221</v>
      </c>
      <c r="E355" s="223" t="s">
        <v>1087</v>
      </c>
      <c r="F355" s="223" t="s">
        <v>27</v>
      </c>
      <c r="G355" s="223" t="s">
        <v>1109</v>
      </c>
    </row>
    <row r="356" spans="1:7" x14ac:dyDescent="0.3">
      <c r="A356" s="223">
        <v>355</v>
      </c>
      <c r="B356" s="223" t="s">
        <v>1110</v>
      </c>
      <c r="C356" s="223" t="s">
        <v>1217</v>
      </c>
      <c r="D356" s="223" t="s">
        <v>1221</v>
      </c>
      <c r="E356" s="223" t="s">
        <v>1087</v>
      </c>
      <c r="F356" s="223" t="s">
        <v>1096</v>
      </c>
      <c r="G356" s="223" t="s">
        <v>1207</v>
      </c>
    </row>
    <row r="357" spans="1:7" x14ac:dyDescent="0.3">
      <c r="A357" s="223">
        <v>356</v>
      </c>
      <c r="B357" s="223" t="s">
        <v>1110</v>
      </c>
      <c r="C357" s="223" t="s">
        <v>1217</v>
      </c>
      <c r="D357" s="223" t="s">
        <v>1221</v>
      </c>
      <c r="E357" s="223" t="s">
        <v>1087</v>
      </c>
      <c r="F357" s="223" t="s">
        <v>1090</v>
      </c>
      <c r="G357" s="223" t="s">
        <v>1219</v>
      </c>
    </row>
    <row r="358" spans="1:7" x14ac:dyDescent="0.3">
      <c r="A358" s="223">
        <v>357</v>
      </c>
      <c r="B358" s="223" t="s">
        <v>1110</v>
      </c>
      <c r="C358" s="223" t="s">
        <v>1217</v>
      </c>
      <c r="D358" s="223" t="s">
        <v>1221</v>
      </c>
      <c r="E358" s="223" t="s">
        <v>21</v>
      </c>
      <c r="F358" s="223" t="s">
        <v>1093</v>
      </c>
      <c r="G358" s="223" t="s">
        <v>1219</v>
      </c>
    </row>
    <row r="359" spans="1:7" x14ac:dyDescent="0.3">
      <c r="A359" s="223">
        <v>358</v>
      </c>
      <c r="B359" s="223" t="s">
        <v>1110</v>
      </c>
      <c r="C359" s="223" t="s">
        <v>1217</v>
      </c>
      <c r="D359" s="223" t="s">
        <v>1221</v>
      </c>
      <c r="E359" s="223" t="s">
        <v>21</v>
      </c>
      <c r="F359" s="223" t="s">
        <v>27</v>
      </c>
      <c r="G359" s="223" t="s">
        <v>1206</v>
      </c>
    </row>
    <row r="360" spans="1:7" x14ac:dyDescent="0.3">
      <c r="A360" s="223">
        <v>359</v>
      </c>
      <c r="B360" s="223" t="s">
        <v>1110</v>
      </c>
      <c r="C360" s="223" t="s">
        <v>1217</v>
      </c>
      <c r="D360" s="223" t="s">
        <v>1221</v>
      </c>
      <c r="E360" s="223" t="s">
        <v>21</v>
      </c>
      <c r="F360" s="223" t="s">
        <v>1096</v>
      </c>
      <c r="G360" s="223" t="s">
        <v>1194</v>
      </c>
    </row>
    <row r="361" spans="1:7" x14ac:dyDescent="0.3">
      <c r="A361" s="223">
        <v>360</v>
      </c>
      <c r="B361" s="223" t="s">
        <v>1110</v>
      </c>
      <c r="C361" s="223" t="s">
        <v>1217</v>
      </c>
      <c r="D361" s="223" t="s">
        <v>1221</v>
      </c>
      <c r="E361" s="223" t="s">
        <v>21</v>
      </c>
      <c r="F361" s="223" t="s">
        <v>1090</v>
      </c>
      <c r="G361" s="223" t="s">
        <v>1219</v>
      </c>
    </row>
    <row r="362" spans="1:7" x14ac:dyDescent="0.3">
      <c r="A362" s="223">
        <v>361</v>
      </c>
      <c r="B362" s="223" t="s">
        <v>1110</v>
      </c>
      <c r="C362" s="223" t="s">
        <v>1217</v>
      </c>
      <c r="D362" s="223" t="s">
        <v>1222</v>
      </c>
      <c r="E362" s="223" t="s">
        <v>1087</v>
      </c>
      <c r="F362" s="223" t="s">
        <v>1093</v>
      </c>
      <c r="G362" s="223" t="s">
        <v>1121</v>
      </c>
    </row>
    <row r="363" spans="1:7" x14ac:dyDescent="0.3">
      <c r="A363" s="223">
        <v>362</v>
      </c>
      <c r="B363" s="223" t="s">
        <v>1110</v>
      </c>
      <c r="C363" s="223" t="s">
        <v>1217</v>
      </c>
      <c r="D363" s="223" t="s">
        <v>1222</v>
      </c>
      <c r="E363" s="223" t="s">
        <v>1087</v>
      </c>
      <c r="F363" s="223" t="s">
        <v>27</v>
      </c>
      <c r="G363" s="223" t="s">
        <v>1109</v>
      </c>
    </row>
    <row r="364" spans="1:7" x14ac:dyDescent="0.3">
      <c r="A364" s="223">
        <v>363</v>
      </c>
      <c r="B364" s="223" t="s">
        <v>1110</v>
      </c>
      <c r="C364" s="223" t="s">
        <v>1217</v>
      </c>
      <c r="D364" s="223" t="s">
        <v>1222</v>
      </c>
      <c r="E364" s="223" t="s">
        <v>1087</v>
      </c>
      <c r="F364" s="223" t="s">
        <v>1096</v>
      </c>
      <c r="G364" s="223" t="s">
        <v>1207</v>
      </c>
    </row>
    <row r="365" spans="1:7" x14ac:dyDescent="0.3">
      <c r="A365" s="223">
        <v>364</v>
      </c>
      <c r="B365" s="223" t="s">
        <v>1110</v>
      </c>
      <c r="C365" s="223" t="s">
        <v>1217</v>
      </c>
      <c r="D365" s="223" t="s">
        <v>1222</v>
      </c>
      <c r="E365" s="223" t="s">
        <v>1087</v>
      </c>
      <c r="F365" s="223" t="s">
        <v>1090</v>
      </c>
      <c r="G365" s="223" t="s">
        <v>1219</v>
      </c>
    </row>
    <row r="366" spans="1:7" x14ac:dyDescent="0.3">
      <c r="A366" s="223">
        <v>365</v>
      </c>
      <c r="B366" s="223" t="s">
        <v>1110</v>
      </c>
      <c r="C366" s="223" t="s">
        <v>1217</v>
      </c>
      <c r="D366" s="223" t="s">
        <v>1222</v>
      </c>
      <c r="E366" s="223" t="s">
        <v>21</v>
      </c>
      <c r="F366" s="223" t="s">
        <v>1093</v>
      </c>
      <c r="G366" s="223" t="s">
        <v>1219</v>
      </c>
    </row>
    <row r="367" spans="1:7" x14ac:dyDescent="0.3">
      <c r="A367" s="223">
        <v>366</v>
      </c>
      <c r="B367" s="223" t="s">
        <v>1110</v>
      </c>
      <c r="C367" s="223" t="s">
        <v>1217</v>
      </c>
      <c r="D367" s="223" t="s">
        <v>1222</v>
      </c>
      <c r="E367" s="223" t="s">
        <v>21</v>
      </c>
      <c r="F367" s="223" t="s">
        <v>27</v>
      </c>
      <c r="G367" s="223" t="s">
        <v>1206</v>
      </c>
    </row>
    <row r="368" spans="1:7" x14ac:dyDescent="0.3">
      <c r="A368" s="223">
        <v>367</v>
      </c>
      <c r="B368" s="223" t="s">
        <v>1110</v>
      </c>
      <c r="C368" s="223" t="s">
        <v>1217</v>
      </c>
      <c r="D368" s="223" t="s">
        <v>1222</v>
      </c>
      <c r="E368" s="223" t="s">
        <v>21</v>
      </c>
      <c r="F368" s="223" t="s">
        <v>1096</v>
      </c>
      <c r="G368" s="223" t="s">
        <v>1194</v>
      </c>
    </row>
    <row r="369" spans="1:7" x14ac:dyDescent="0.3">
      <c r="A369" s="223">
        <v>368</v>
      </c>
      <c r="B369" s="223" t="s">
        <v>1110</v>
      </c>
      <c r="C369" s="223" t="s">
        <v>1217</v>
      </c>
      <c r="D369" s="223" t="s">
        <v>1222</v>
      </c>
      <c r="E369" s="223" t="s">
        <v>21</v>
      </c>
      <c r="F369" s="223" t="s">
        <v>1090</v>
      </c>
      <c r="G369" s="223" t="s">
        <v>1219</v>
      </c>
    </row>
    <row r="370" spans="1:7" x14ac:dyDescent="0.3">
      <c r="A370" s="223">
        <v>369</v>
      </c>
      <c r="B370" s="223" t="s">
        <v>1110</v>
      </c>
      <c r="C370" s="223" t="s">
        <v>1217</v>
      </c>
      <c r="D370" s="223" t="s">
        <v>1223</v>
      </c>
      <c r="E370" s="223" t="s">
        <v>1087</v>
      </c>
      <c r="F370" s="223" t="s">
        <v>1093</v>
      </c>
      <c r="G370" s="223" t="s">
        <v>1219</v>
      </c>
    </row>
    <row r="371" spans="1:7" x14ac:dyDescent="0.3">
      <c r="A371" s="223">
        <v>370</v>
      </c>
      <c r="B371" s="223" t="s">
        <v>1110</v>
      </c>
      <c r="C371" s="223" t="s">
        <v>1217</v>
      </c>
      <c r="D371" s="223" t="s">
        <v>1223</v>
      </c>
      <c r="E371" s="223" t="s">
        <v>1087</v>
      </c>
      <c r="F371" s="223" t="s">
        <v>27</v>
      </c>
      <c r="G371" s="223" t="s">
        <v>1219</v>
      </c>
    </row>
    <row r="372" spans="1:7" x14ac:dyDescent="0.3">
      <c r="A372" s="223">
        <v>371</v>
      </c>
      <c r="B372" s="223" t="s">
        <v>1110</v>
      </c>
      <c r="C372" s="223" t="s">
        <v>1217</v>
      </c>
      <c r="D372" s="223" t="s">
        <v>1223</v>
      </c>
      <c r="E372" s="223" t="s">
        <v>1087</v>
      </c>
      <c r="F372" s="223" t="s">
        <v>1096</v>
      </c>
      <c r="G372" s="223" t="s">
        <v>1116</v>
      </c>
    </row>
    <row r="373" spans="1:7" x14ac:dyDescent="0.3">
      <c r="A373" s="223">
        <v>372</v>
      </c>
      <c r="B373" s="223" t="s">
        <v>1110</v>
      </c>
      <c r="C373" s="223" t="s">
        <v>1217</v>
      </c>
      <c r="D373" s="223" t="s">
        <v>1223</v>
      </c>
      <c r="E373" s="223" t="s">
        <v>1087</v>
      </c>
      <c r="F373" s="223" t="s">
        <v>1090</v>
      </c>
      <c r="G373" s="223" t="s">
        <v>1111</v>
      </c>
    </row>
    <row r="374" spans="1:7" x14ac:dyDescent="0.3">
      <c r="A374" s="223">
        <v>373</v>
      </c>
      <c r="B374" s="223" t="s">
        <v>1110</v>
      </c>
      <c r="C374" s="223" t="s">
        <v>1217</v>
      </c>
      <c r="D374" s="223" t="s">
        <v>1223</v>
      </c>
      <c r="E374" s="223" t="s">
        <v>21</v>
      </c>
      <c r="F374" s="223" t="s">
        <v>1093</v>
      </c>
      <c r="G374" s="223" t="s">
        <v>1219</v>
      </c>
    </row>
    <row r="375" spans="1:7" x14ac:dyDescent="0.3">
      <c r="A375" s="223">
        <v>374</v>
      </c>
      <c r="B375" s="223" t="s">
        <v>1110</v>
      </c>
      <c r="C375" s="223" t="s">
        <v>1217</v>
      </c>
      <c r="D375" s="223" t="s">
        <v>1223</v>
      </c>
      <c r="E375" s="223" t="s">
        <v>21</v>
      </c>
      <c r="F375" s="223" t="s">
        <v>27</v>
      </c>
      <c r="G375" s="223" t="s">
        <v>1204</v>
      </c>
    </row>
    <row r="376" spans="1:7" x14ac:dyDescent="0.3">
      <c r="A376" s="223">
        <v>375</v>
      </c>
      <c r="B376" s="223" t="s">
        <v>1110</v>
      </c>
      <c r="C376" s="223" t="s">
        <v>1217</v>
      </c>
      <c r="D376" s="223" t="s">
        <v>1223</v>
      </c>
      <c r="E376" s="223" t="s">
        <v>21</v>
      </c>
      <c r="F376" s="223" t="s">
        <v>1096</v>
      </c>
      <c r="G376" s="223" t="s">
        <v>1112</v>
      </c>
    </row>
    <row r="377" spans="1:7" x14ac:dyDescent="0.3">
      <c r="A377" s="223">
        <v>376</v>
      </c>
      <c r="B377" s="223" t="s">
        <v>1110</v>
      </c>
      <c r="C377" s="223" t="s">
        <v>1217</v>
      </c>
      <c r="D377" s="223" t="s">
        <v>1223</v>
      </c>
      <c r="E377" s="223" t="s">
        <v>21</v>
      </c>
      <c r="F377" s="223" t="s">
        <v>1090</v>
      </c>
      <c r="G377" s="223" t="s">
        <v>1120</v>
      </c>
    </row>
    <row r="378" spans="1:7" x14ac:dyDescent="0.3">
      <c r="A378" s="223">
        <v>377</v>
      </c>
      <c r="B378" s="223" t="s">
        <v>1110</v>
      </c>
      <c r="C378" s="223" t="s">
        <v>1217</v>
      </c>
      <c r="D378" s="223" t="s">
        <v>12</v>
      </c>
      <c r="E378" s="223" t="s">
        <v>1087</v>
      </c>
      <c r="F378" s="223" t="s">
        <v>1093</v>
      </c>
      <c r="G378" s="223" t="s">
        <v>1219</v>
      </c>
    </row>
    <row r="379" spans="1:7" x14ac:dyDescent="0.3">
      <c r="A379" s="223">
        <v>378</v>
      </c>
      <c r="B379" s="223" t="s">
        <v>1110</v>
      </c>
      <c r="C379" s="223" t="s">
        <v>1217</v>
      </c>
      <c r="D379" s="223" t="s">
        <v>12</v>
      </c>
      <c r="E379" s="223" t="s">
        <v>1087</v>
      </c>
      <c r="F379" s="223" t="s">
        <v>27</v>
      </c>
      <c r="G379" s="223" t="s">
        <v>1219</v>
      </c>
    </row>
    <row r="380" spans="1:7" x14ac:dyDescent="0.3">
      <c r="A380" s="223">
        <v>379</v>
      </c>
      <c r="B380" s="223" t="s">
        <v>1110</v>
      </c>
      <c r="C380" s="223" t="s">
        <v>1217</v>
      </c>
      <c r="D380" s="223" t="s">
        <v>12</v>
      </c>
      <c r="E380" s="223" t="s">
        <v>1087</v>
      </c>
      <c r="F380" s="223" t="s">
        <v>1096</v>
      </c>
      <c r="G380" s="223" t="s">
        <v>1116</v>
      </c>
    </row>
    <row r="381" spans="1:7" x14ac:dyDescent="0.3">
      <c r="A381" s="223">
        <v>380</v>
      </c>
      <c r="B381" s="223" t="s">
        <v>1110</v>
      </c>
      <c r="C381" s="223" t="s">
        <v>1217</v>
      </c>
      <c r="D381" s="223" t="s">
        <v>12</v>
      </c>
      <c r="E381" s="223" t="s">
        <v>1087</v>
      </c>
      <c r="F381" s="223" t="s">
        <v>1090</v>
      </c>
      <c r="G381" s="223" t="s">
        <v>1111</v>
      </c>
    </row>
    <row r="382" spans="1:7" x14ac:dyDescent="0.3">
      <c r="A382" s="223">
        <v>381</v>
      </c>
      <c r="B382" s="223" t="s">
        <v>1110</v>
      </c>
      <c r="C382" s="223" t="s">
        <v>1217</v>
      </c>
      <c r="D382" s="223" t="s">
        <v>12</v>
      </c>
      <c r="E382" s="223" t="s">
        <v>21</v>
      </c>
      <c r="F382" s="223" t="s">
        <v>1093</v>
      </c>
      <c r="G382" s="223" t="s">
        <v>1219</v>
      </c>
    </row>
    <row r="383" spans="1:7" x14ac:dyDescent="0.3">
      <c r="A383" s="223">
        <v>382</v>
      </c>
      <c r="B383" s="223" t="s">
        <v>1110</v>
      </c>
      <c r="C383" s="223" t="s">
        <v>1217</v>
      </c>
      <c r="D383" s="223" t="s">
        <v>12</v>
      </c>
      <c r="E383" s="223" t="s">
        <v>21</v>
      </c>
      <c r="F383" s="223" t="s">
        <v>27</v>
      </c>
      <c r="G383" s="223" t="s">
        <v>1204</v>
      </c>
    </row>
    <row r="384" spans="1:7" x14ac:dyDescent="0.3">
      <c r="A384" s="223">
        <v>383</v>
      </c>
      <c r="B384" s="223" t="s">
        <v>1110</v>
      </c>
      <c r="C384" s="223" t="s">
        <v>1217</v>
      </c>
      <c r="D384" s="223" t="s">
        <v>12</v>
      </c>
      <c r="E384" s="223" t="s">
        <v>21</v>
      </c>
      <c r="F384" s="223" t="s">
        <v>1096</v>
      </c>
      <c r="G384" s="223" t="s">
        <v>1112</v>
      </c>
    </row>
    <row r="385" spans="1:7" x14ac:dyDescent="0.3">
      <c r="A385" s="223">
        <v>384</v>
      </c>
      <c r="B385" s="223" t="s">
        <v>1110</v>
      </c>
      <c r="C385" s="223" t="s">
        <v>1217</v>
      </c>
      <c r="D385" s="223" t="s">
        <v>12</v>
      </c>
      <c r="E385" s="223" t="s">
        <v>21</v>
      </c>
      <c r="F385" s="223" t="s">
        <v>1090</v>
      </c>
      <c r="G385" s="223" t="s">
        <v>1120</v>
      </c>
    </row>
    <row r="386" spans="1:7" x14ac:dyDescent="0.3">
      <c r="A386" s="223">
        <v>385</v>
      </c>
      <c r="B386" s="223" t="s">
        <v>1110</v>
      </c>
      <c r="C386" s="223" t="s">
        <v>1224</v>
      </c>
      <c r="D386" s="223" t="s">
        <v>1218</v>
      </c>
      <c r="E386" s="223" t="s">
        <v>1087</v>
      </c>
      <c r="F386" s="223" t="s">
        <v>1093</v>
      </c>
      <c r="G386" s="223" t="s">
        <v>1121</v>
      </c>
    </row>
    <row r="387" spans="1:7" x14ac:dyDescent="0.3">
      <c r="A387" s="223">
        <v>386</v>
      </c>
      <c r="B387" s="223" t="s">
        <v>1110</v>
      </c>
      <c r="C387" s="223" t="s">
        <v>1224</v>
      </c>
      <c r="D387" s="223" t="s">
        <v>1218</v>
      </c>
      <c r="E387" s="223" t="s">
        <v>1087</v>
      </c>
      <c r="F387" s="223" t="s">
        <v>27</v>
      </c>
      <c r="G387" s="223" t="s">
        <v>1109</v>
      </c>
    </row>
    <row r="388" spans="1:7" x14ac:dyDescent="0.3">
      <c r="A388" s="223">
        <v>387</v>
      </c>
      <c r="B388" s="223" t="s">
        <v>1110</v>
      </c>
      <c r="C388" s="223" t="s">
        <v>1224</v>
      </c>
      <c r="D388" s="223" t="s">
        <v>1218</v>
      </c>
      <c r="E388" s="223" t="s">
        <v>1087</v>
      </c>
      <c r="F388" s="223" t="s">
        <v>1096</v>
      </c>
      <c r="G388" s="223" t="s">
        <v>1207</v>
      </c>
    </row>
    <row r="389" spans="1:7" x14ac:dyDescent="0.3">
      <c r="A389" s="223">
        <v>388</v>
      </c>
      <c r="B389" s="223" t="s">
        <v>1110</v>
      </c>
      <c r="C389" s="223" t="s">
        <v>1224</v>
      </c>
      <c r="D389" s="223" t="s">
        <v>1218</v>
      </c>
      <c r="E389" s="223" t="s">
        <v>1087</v>
      </c>
      <c r="F389" s="223" t="s">
        <v>1090</v>
      </c>
      <c r="G389" s="223" t="s">
        <v>1219</v>
      </c>
    </row>
    <row r="390" spans="1:7" x14ac:dyDescent="0.3">
      <c r="A390" s="223">
        <v>389</v>
      </c>
      <c r="B390" s="223" t="s">
        <v>1110</v>
      </c>
      <c r="C390" s="223" t="s">
        <v>1224</v>
      </c>
      <c r="D390" s="223" t="s">
        <v>1218</v>
      </c>
      <c r="E390" s="223" t="s">
        <v>21</v>
      </c>
      <c r="F390" s="223" t="s">
        <v>1093</v>
      </c>
      <c r="G390" s="223" t="s">
        <v>1219</v>
      </c>
    </row>
    <row r="391" spans="1:7" x14ac:dyDescent="0.3">
      <c r="A391" s="223">
        <v>390</v>
      </c>
      <c r="B391" s="223" t="s">
        <v>1110</v>
      </c>
      <c r="C391" s="223" t="s">
        <v>1224</v>
      </c>
      <c r="D391" s="223" t="s">
        <v>1218</v>
      </c>
      <c r="E391" s="223" t="s">
        <v>21</v>
      </c>
      <c r="F391" s="223" t="s">
        <v>27</v>
      </c>
      <c r="G391" s="223" t="s">
        <v>1206</v>
      </c>
    </row>
    <row r="392" spans="1:7" x14ac:dyDescent="0.3">
      <c r="A392" s="223">
        <v>391</v>
      </c>
      <c r="B392" s="223" t="s">
        <v>1110</v>
      </c>
      <c r="C392" s="223" t="s">
        <v>1224</v>
      </c>
      <c r="D392" s="223" t="s">
        <v>1218</v>
      </c>
      <c r="E392" s="223" t="s">
        <v>21</v>
      </c>
      <c r="F392" s="223" t="s">
        <v>1096</v>
      </c>
      <c r="G392" s="223" t="s">
        <v>1194</v>
      </c>
    </row>
    <row r="393" spans="1:7" x14ac:dyDescent="0.3">
      <c r="A393" s="223">
        <v>392</v>
      </c>
      <c r="B393" s="223" t="s">
        <v>1110</v>
      </c>
      <c r="C393" s="223" t="s">
        <v>1224</v>
      </c>
      <c r="D393" s="223" t="s">
        <v>1218</v>
      </c>
      <c r="E393" s="223" t="s">
        <v>21</v>
      </c>
      <c r="F393" s="223" t="s">
        <v>1090</v>
      </c>
      <c r="G393" s="223" t="s">
        <v>1219</v>
      </c>
    </row>
    <row r="394" spans="1:7" x14ac:dyDescent="0.3">
      <c r="A394" s="223">
        <v>393</v>
      </c>
      <c r="B394" s="223" t="s">
        <v>1110</v>
      </c>
      <c r="C394" s="223" t="s">
        <v>1224</v>
      </c>
      <c r="D394" s="223" t="s">
        <v>1220</v>
      </c>
      <c r="E394" s="223" t="s">
        <v>1087</v>
      </c>
      <c r="F394" s="223" t="s">
        <v>1093</v>
      </c>
      <c r="G394" s="223" t="s">
        <v>1121</v>
      </c>
    </row>
    <row r="395" spans="1:7" x14ac:dyDescent="0.3">
      <c r="A395" s="223">
        <v>394</v>
      </c>
      <c r="B395" s="223" t="s">
        <v>1110</v>
      </c>
      <c r="C395" s="223" t="s">
        <v>1224</v>
      </c>
      <c r="D395" s="223" t="s">
        <v>1220</v>
      </c>
      <c r="E395" s="223" t="s">
        <v>1087</v>
      </c>
      <c r="F395" s="223" t="s">
        <v>27</v>
      </c>
      <c r="G395" s="223" t="s">
        <v>1109</v>
      </c>
    </row>
    <row r="396" spans="1:7" x14ac:dyDescent="0.3">
      <c r="A396" s="223">
        <v>395</v>
      </c>
      <c r="B396" s="223" t="s">
        <v>1110</v>
      </c>
      <c r="C396" s="223" t="s">
        <v>1224</v>
      </c>
      <c r="D396" s="223" t="s">
        <v>1220</v>
      </c>
      <c r="E396" s="223" t="s">
        <v>1087</v>
      </c>
      <c r="F396" s="223" t="s">
        <v>1096</v>
      </c>
      <c r="G396" s="223" t="s">
        <v>1207</v>
      </c>
    </row>
    <row r="397" spans="1:7" x14ac:dyDescent="0.3">
      <c r="A397" s="223">
        <v>396</v>
      </c>
      <c r="B397" s="223" t="s">
        <v>1110</v>
      </c>
      <c r="C397" s="223" t="s">
        <v>1224</v>
      </c>
      <c r="D397" s="223" t="s">
        <v>1220</v>
      </c>
      <c r="E397" s="223" t="s">
        <v>1087</v>
      </c>
      <c r="F397" s="223" t="s">
        <v>1090</v>
      </c>
      <c r="G397" s="223" t="s">
        <v>1219</v>
      </c>
    </row>
    <row r="398" spans="1:7" x14ac:dyDescent="0.3">
      <c r="A398" s="223">
        <v>397</v>
      </c>
      <c r="B398" s="223" t="s">
        <v>1110</v>
      </c>
      <c r="C398" s="223" t="s">
        <v>1224</v>
      </c>
      <c r="D398" s="223" t="s">
        <v>1220</v>
      </c>
      <c r="E398" s="223" t="s">
        <v>21</v>
      </c>
      <c r="F398" s="223" t="s">
        <v>1093</v>
      </c>
      <c r="G398" s="223" t="s">
        <v>1219</v>
      </c>
    </row>
    <row r="399" spans="1:7" x14ac:dyDescent="0.3">
      <c r="A399" s="223">
        <v>398</v>
      </c>
      <c r="B399" s="223" t="s">
        <v>1110</v>
      </c>
      <c r="C399" s="223" t="s">
        <v>1224</v>
      </c>
      <c r="D399" s="223" t="s">
        <v>1220</v>
      </c>
      <c r="E399" s="223" t="s">
        <v>21</v>
      </c>
      <c r="F399" s="223" t="s">
        <v>27</v>
      </c>
      <c r="G399" s="223" t="s">
        <v>1206</v>
      </c>
    </row>
    <row r="400" spans="1:7" x14ac:dyDescent="0.3">
      <c r="A400" s="223">
        <v>399</v>
      </c>
      <c r="B400" s="223" t="s">
        <v>1110</v>
      </c>
      <c r="C400" s="223" t="s">
        <v>1224</v>
      </c>
      <c r="D400" s="223" t="s">
        <v>1220</v>
      </c>
      <c r="E400" s="223" t="s">
        <v>21</v>
      </c>
      <c r="F400" s="223" t="s">
        <v>1096</v>
      </c>
      <c r="G400" s="223" t="s">
        <v>1194</v>
      </c>
    </row>
    <row r="401" spans="1:7" x14ac:dyDescent="0.3">
      <c r="A401" s="223">
        <v>400</v>
      </c>
      <c r="B401" s="223" t="s">
        <v>1110</v>
      </c>
      <c r="C401" s="223" t="s">
        <v>1224</v>
      </c>
      <c r="D401" s="223" t="s">
        <v>1220</v>
      </c>
      <c r="E401" s="223" t="s">
        <v>21</v>
      </c>
      <c r="F401" s="223" t="s">
        <v>1090</v>
      </c>
      <c r="G401" s="223" t="s">
        <v>1219</v>
      </c>
    </row>
    <row r="402" spans="1:7" x14ac:dyDescent="0.3">
      <c r="A402" s="223">
        <v>401</v>
      </c>
      <c r="B402" s="223" t="s">
        <v>1110</v>
      </c>
      <c r="C402" s="223" t="s">
        <v>1224</v>
      </c>
      <c r="D402" s="223" t="s">
        <v>1221</v>
      </c>
      <c r="E402" s="223" t="s">
        <v>1087</v>
      </c>
      <c r="F402" s="223" t="s">
        <v>1093</v>
      </c>
      <c r="G402" s="223" t="s">
        <v>1121</v>
      </c>
    </row>
    <row r="403" spans="1:7" x14ac:dyDescent="0.3">
      <c r="A403" s="223">
        <v>402</v>
      </c>
      <c r="B403" s="223" t="s">
        <v>1110</v>
      </c>
      <c r="C403" s="223" t="s">
        <v>1224</v>
      </c>
      <c r="D403" s="223" t="s">
        <v>1221</v>
      </c>
      <c r="E403" s="223" t="s">
        <v>1087</v>
      </c>
      <c r="F403" s="223" t="s">
        <v>27</v>
      </c>
      <c r="G403" s="223" t="s">
        <v>1109</v>
      </c>
    </row>
    <row r="404" spans="1:7" x14ac:dyDescent="0.3">
      <c r="A404" s="223">
        <v>403</v>
      </c>
      <c r="B404" s="223" t="s">
        <v>1110</v>
      </c>
      <c r="C404" s="223" t="s">
        <v>1224</v>
      </c>
      <c r="D404" s="223" t="s">
        <v>1221</v>
      </c>
      <c r="E404" s="223" t="s">
        <v>1087</v>
      </c>
      <c r="F404" s="223" t="s">
        <v>1096</v>
      </c>
      <c r="G404" s="223" t="s">
        <v>1207</v>
      </c>
    </row>
    <row r="405" spans="1:7" x14ac:dyDescent="0.3">
      <c r="A405" s="223">
        <v>404</v>
      </c>
      <c r="B405" s="223" t="s">
        <v>1110</v>
      </c>
      <c r="C405" s="223" t="s">
        <v>1224</v>
      </c>
      <c r="D405" s="223" t="s">
        <v>1221</v>
      </c>
      <c r="E405" s="223" t="s">
        <v>1087</v>
      </c>
      <c r="F405" s="223" t="s">
        <v>1090</v>
      </c>
      <c r="G405" s="223" t="s">
        <v>1219</v>
      </c>
    </row>
    <row r="406" spans="1:7" x14ac:dyDescent="0.3">
      <c r="A406" s="223">
        <v>405</v>
      </c>
      <c r="B406" s="223" t="s">
        <v>1110</v>
      </c>
      <c r="C406" s="223" t="s">
        <v>1224</v>
      </c>
      <c r="D406" s="223" t="s">
        <v>1221</v>
      </c>
      <c r="E406" s="223" t="s">
        <v>21</v>
      </c>
      <c r="F406" s="223" t="s">
        <v>1093</v>
      </c>
      <c r="G406" s="223" t="s">
        <v>1219</v>
      </c>
    </row>
    <row r="407" spans="1:7" x14ac:dyDescent="0.3">
      <c r="A407" s="223">
        <v>406</v>
      </c>
      <c r="B407" s="223" t="s">
        <v>1110</v>
      </c>
      <c r="C407" s="223" t="s">
        <v>1224</v>
      </c>
      <c r="D407" s="223" t="s">
        <v>1221</v>
      </c>
      <c r="E407" s="223" t="s">
        <v>21</v>
      </c>
      <c r="F407" s="223" t="s">
        <v>27</v>
      </c>
      <c r="G407" s="223" t="s">
        <v>1206</v>
      </c>
    </row>
    <row r="408" spans="1:7" x14ac:dyDescent="0.3">
      <c r="A408" s="223">
        <v>407</v>
      </c>
      <c r="B408" s="223" t="s">
        <v>1110</v>
      </c>
      <c r="C408" s="223" t="s">
        <v>1224</v>
      </c>
      <c r="D408" s="223" t="s">
        <v>1221</v>
      </c>
      <c r="E408" s="223" t="s">
        <v>21</v>
      </c>
      <c r="F408" s="223" t="s">
        <v>1096</v>
      </c>
      <c r="G408" s="223" t="s">
        <v>1194</v>
      </c>
    </row>
    <row r="409" spans="1:7" x14ac:dyDescent="0.3">
      <c r="A409" s="223">
        <v>408</v>
      </c>
      <c r="B409" s="223" t="s">
        <v>1110</v>
      </c>
      <c r="C409" s="223" t="s">
        <v>1224</v>
      </c>
      <c r="D409" s="223" t="s">
        <v>1221</v>
      </c>
      <c r="E409" s="223" t="s">
        <v>21</v>
      </c>
      <c r="F409" s="223" t="s">
        <v>1090</v>
      </c>
      <c r="G409" s="223" t="s">
        <v>1219</v>
      </c>
    </row>
    <row r="410" spans="1:7" x14ac:dyDescent="0.3">
      <c r="A410" s="223">
        <v>409</v>
      </c>
      <c r="B410" s="223" t="s">
        <v>1110</v>
      </c>
      <c r="C410" s="223" t="s">
        <v>1224</v>
      </c>
      <c r="D410" s="223" t="s">
        <v>1222</v>
      </c>
      <c r="E410" s="223" t="s">
        <v>1087</v>
      </c>
      <c r="F410" s="223" t="s">
        <v>1093</v>
      </c>
      <c r="G410" s="223" t="s">
        <v>1121</v>
      </c>
    </row>
    <row r="411" spans="1:7" x14ac:dyDescent="0.3">
      <c r="A411" s="223">
        <v>410</v>
      </c>
      <c r="B411" s="223" t="s">
        <v>1110</v>
      </c>
      <c r="C411" s="223" t="s">
        <v>1224</v>
      </c>
      <c r="D411" s="223" t="s">
        <v>1222</v>
      </c>
      <c r="E411" s="223" t="s">
        <v>1087</v>
      </c>
      <c r="F411" s="223" t="s">
        <v>27</v>
      </c>
      <c r="G411" s="223" t="s">
        <v>1109</v>
      </c>
    </row>
    <row r="412" spans="1:7" x14ac:dyDescent="0.3">
      <c r="A412" s="223">
        <v>411</v>
      </c>
      <c r="B412" s="223" t="s">
        <v>1110</v>
      </c>
      <c r="C412" s="223" t="s">
        <v>1224</v>
      </c>
      <c r="D412" s="223" t="s">
        <v>1222</v>
      </c>
      <c r="E412" s="223" t="s">
        <v>1087</v>
      </c>
      <c r="F412" s="223" t="s">
        <v>1096</v>
      </c>
      <c r="G412" s="223" t="s">
        <v>1207</v>
      </c>
    </row>
    <row r="413" spans="1:7" x14ac:dyDescent="0.3">
      <c r="A413" s="223">
        <v>412</v>
      </c>
      <c r="B413" s="223" t="s">
        <v>1110</v>
      </c>
      <c r="C413" s="223" t="s">
        <v>1224</v>
      </c>
      <c r="D413" s="223" t="s">
        <v>1222</v>
      </c>
      <c r="E413" s="223" t="s">
        <v>1087</v>
      </c>
      <c r="F413" s="223" t="s">
        <v>1090</v>
      </c>
      <c r="G413" s="223" t="s">
        <v>1219</v>
      </c>
    </row>
    <row r="414" spans="1:7" x14ac:dyDescent="0.3">
      <c r="A414" s="223">
        <v>413</v>
      </c>
      <c r="B414" s="223" t="s">
        <v>1110</v>
      </c>
      <c r="C414" s="223" t="s">
        <v>1224</v>
      </c>
      <c r="D414" s="223" t="s">
        <v>1222</v>
      </c>
      <c r="E414" s="223" t="s">
        <v>21</v>
      </c>
      <c r="F414" s="223" t="s">
        <v>1093</v>
      </c>
      <c r="G414" s="223" t="s">
        <v>1219</v>
      </c>
    </row>
    <row r="415" spans="1:7" x14ac:dyDescent="0.3">
      <c r="A415" s="223">
        <v>414</v>
      </c>
      <c r="B415" s="223" t="s">
        <v>1110</v>
      </c>
      <c r="C415" s="223" t="s">
        <v>1224</v>
      </c>
      <c r="D415" s="223" t="s">
        <v>1222</v>
      </c>
      <c r="E415" s="223" t="s">
        <v>21</v>
      </c>
      <c r="F415" s="223" t="s">
        <v>27</v>
      </c>
      <c r="G415" s="223" t="s">
        <v>1206</v>
      </c>
    </row>
    <row r="416" spans="1:7" x14ac:dyDescent="0.3">
      <c r="A416" s="223">
        <v>415</v>
      </c>
      <c r="B416" s="223" t="s">
        <v>1110</v>
      </c>
      <c r="C416" s="223" t="s">
        <v>1224</v>
      </c>
      <c r="D416" s="223" t="s">
        <v>1222</v>
      </c>
      <c r="E416" s="223" t="s">
        <v>21</v>
      </c>
      <c r="F416" s="223" t="s">
        <v>1096</v>
      </c>
      <c r="G416" s="223" t="s">
        <v>1194</v>
      </c>
    </row>
    <row r="417" spans="1:7" x14ac:dyDescent="0.3">
      <c r="A417" s="223">
        <v>416</v>
      </c>
      <c r="B417" s="223" t="s">
        <v>1110</v>
      </c>
      <c r="C417" s="223" t="s">
        <v>1224</v>
      </c>
      <c r="D417" s="223" t="s">
        <v>1222</v>
      </c>
      <c r="E417" s="223" t="s">
        <v>21</v>
      </c>
      <c r="F417" s="223" t="s">
        <v>1090</v>
      </c>
      <c r="G417" s="223" t="s">
        <v>1219</v>
      </c>
    </row>
    <row r="418" spans="1:7" x14ac:dyDescent="0.3">
      <c r="A418" s="223">
        <v>417</v>
      </c>
      <c r="B418" s="223" t="s">
        <v>1110</v>
      </c>
      <c r="C418" s="223" t="s">
        <v>1224</v>
      </c>
      <c r="D418" s="223" t="s">
        <v>1223</v>
      </c>
      <c r="E418" s="223" t="s">
        <v>1087</v>
      </c>
      <c r="F418" s="223" t="s">
        <v>1093</v>
      </c>
      <c r="G418" s="223" t="s">
        <v>1219</v>
      </c>
    </row>
    <row r="419" spans="1:7" x14ac:dyDescent="0.3">
      <c r="A419" s="223">
        <v>418</v>
      </c>
      <c r="B419" s="223" t="s">
        <v>1110</v>
      </c>
      <c r="C419" s="223" t="s">
        <v>1224</v>
      </c>
      <c r="D419" s="223" t="s">
        <v>1223</v>
      </c>
      <c r="E419" s="223" t="s">
        <v>1087</v>
      </c>
      <c r="F419" s="223" t="s">
        <v>27</v>
      </c>
      <c r="G419" s="223" t="s">
        <v>1219</v>
      </c>
    </row>
    <row r="420" spans="1:7" x14ac:dyDescent="0.3">
      <c r="A420" s="223">
        <v>419</v>
      </c>
      <c r="B420" s="223" t="s">
        <v>1110</v>
      </c>
      <c r="C420" s="223" t="s">
        <v>1224</v>
      </c>
      <c r="D420" s="223" t="s">
        <v>1223</v>
      </c>
      <c r="E420" s="223" t="s">
        <v>1087</v>
      </c>
      <c r="F420" s="223" t="s">
        <v>1096</v>
      </c>
      <c r="G420" s="223" t="s">
        <v>1116</v>
      </c>
    </row>
    <row r="421" spans="1:7" x14ac:dyDescent="0.3">
      <c r="A421" s="223">
        <v>420</v>
      </c>
      <c r="B421" s="223" t="s">
        <v>1110</v>
      </c>
      <c r="C421" s="223" t="s">
        <v>1224</v>
      </c>
      <c r="D421" s="223" t="s">
        <v>1223</v>
      </c>
      <c r="E421" s="223" t="s">
        <v>1087</v>
      </c>
      <c r="F421" s="223" t="s">
        <v>1090</v>
      </c>
      <c r="G421" s="223" t="s">
        <v>1111</v>
      </c>
    </row>
    <row r="422" spans="1:7" x14ac:dyDescent="0.3">
      <c r="A422" s="223">
        <v>421</v>
      </c>
      <c r="B422" s="223" t="s">
        <v>1110</v>
      </c>
      <c r="C422" s="223" t="s">
        <v>1224</v>
      </c>
      <c r="D422" s="223" t="s">
        <v>1223</v>
      </c>
      <c r="E422" s="223" t="s">
        <v>21</v>
      </c>
      <c r="F422" s="223" t="s">
        <v>1093</v>
      </c>
      <c r="G422" s="223" t="s">
        <v>1219</v>
      </c>
    </row>
    <row r="423" spans="1:7" x14ac:dyDescent="0.3">
      <c r="A423" s="223">
        <v>422</v>
      </c>
      <c r="B423" s="223" t="s">
        <v>1110</v>
      </c>
      <c r="C423" s="223" t="s">
        <v>1224</v>
      </c>
      <c r="D423" s="223" t="s">
        <v>1223</v>
      </c>
      <c r="E423" s="223" t="s">
        <v>21</v>
      </c>
      <c r="F423" s="223" t="s">
        <v>27</v>
      </c>
      <c r="G423" s="223" t="s">
        <v>1204</v>
      </c>
    </row>
    <row r="424" spans="1:7" x14ac:dyDescent="0.3">
      <c r="A424" s="223">
        <v>423</v>
      </c>
      <c r="B424" s="223" t="s">
        <v>1110</v>
      </c>
      <c r="C424" s="223" t="s">
        <v>1224</v>
      </c>
      <c r="D424" s="223" t="s">
        <v>1223</v>
      </c>
      <c r="E424" s="223" t="s">
        <v>21</v>
      </c>
      <c r="F424" s="223" t="s">
        <v>1096</v>
      </c>
      <c r="G424" s="223" t="s">
        <v>1112</v>
      </c>
    </row>
    <row r="425" spans="1:7" x14ac:dyDescent="0.3">
      <c r="A425" s="223">
        <v>424</v>
      </c>
      <c r="B425" s="223" t="s">
        <v>1110</v>
      </c>
      <c r="C425" s="223" t="s">
        <v>1224</v>
      </c>
      <c r="D425" s="223" t="s">
        <v>1223</v>
      </c>
      <c r="E425" s="223" t="s">
        <v>21</v>
      </c>
      <c r="F425" s="223" t="s">
        <v>1090</v>
      </c>
      <c r="G425" s="223" t="s">
        <v>1120</v>
      </c>
    </row>
    <row r="426" spans="1:7" x14ac:dyDescent="0.3">
      <c r="A426" s="223">
        <v>425</v>
      </c>
      <c r="B426" s="223" t="s">
        <v>1110</v>
      </c>
      <c r="C426" s="223" t="s">
        <v>1224</v>
      </c>
      <c r="D426" s="223" t="s">
        <v>12</v>
      </c>
      <c r="E426" s="223" t="s">
        <v>1087</v>
      </c>
      <c r="F426" s="223" t="s">
        <v>1093</v>
      </c>
      <c r="G426" s="223" t="s">
        <v>1219</v>
      </c>
    </row>
    <row r="427" spans="1:7" x14ac:dyDescent="0.3">
      <c r="A427" s="223">
        <v>426</v>
      </c>
      <c r="B427" s="223" t="s">
        <v>1110</v>
      </c>
      <c r="C427" s="223" t="s">
        <v>1224</v>
      </c>
      <c r="D427" s="223" t="s">
        <v>12</v>
      </c>
      <c r="E427" s="223" t="s">
        <v>1087</v>
      </c>
      <c r="F427" s="223" t="s">
        <v>27</v>
      </c>
      <c r="G427" s="223" t="s">
        <v>1219</v>
      </c>
    </row>
    <row r="428" spans="1:7" x14ac:dyDescent="0.3">
      <c r="A428" s="223">
        <v>427</v>
      </c>
      <c r="B428" s="223" t="s">
        <v>1110</v>
      </c>
      <c r="C428" s="223" t="s">
        <v>1224</v>
      </c>
      <c r="D428" s="223" t="s">
        <v>12</v>
      </c>
      <c r="E428" s="223" t="s">
        <v>1087</v>
      </c>
      <c r="F428" s="223" t="s">
        <v>1096</v>
      </c>
      <c r="G428" s="223" t="s">
        <v>1116</v>
      </c>
    </row>
    <row r="429" spans="1:7" x14ac:dyDescent="0.3">
      <c r="A429" s="223">
        <v>428</v>
      </c>
      <c r="B429" s="223" t="s">
        <v>1110</v>
      </c>
      <c r="C429" s="223" t="s">
        <v>1224</v>
      </c>
      <c r="D429" s="223" t="s">
        <v>12</v>
      </c>
      <c r="E429" s="223" t="s">
        <v>1087</v>
      </c>
      <c r="F429" s="223" t="s">
        <v>1090</v>
      </c>
      <c r="G429" s="223" t="s">
        <v>1111</v>
      </c>
    </row>
    <row r="430" spans="1:7" x14ac:dyDescent="0.3">
      <c r="A430" s="223">
        <v>429</v>
      </c>
      <c r="B430" s="223" t="s">
        <v>1110</v>
      </c>
      <c r="C430" s="223" t="s">
        <v>1224</v>
      </c>
      <c r="D430" s="223" t="s">
        <v>12</v>
      </c>
      <c r="E430" s="223" t="s">
        <v>21</v>
      </c>
      <c r="F430" s="223" t="s">
        <v>1093</v>
      </c>
      <c r="G430" s="223" t="s">
        <v>1219</v>
      </c>
    </row>
    <row r="431" spans="1:7" x14ac:dyDescent="0.3">
      <c r="A431" s="223">
        <v>430</v>
      </c>
      <c r="B431" s="223" t="s">
        <v>1110</v>
      </c>
      <c r="C431" s="223" t="s">
        <v>1224</v>
      </c>
      <c r="D431" s="223" t="s">
        <v>12</v>
      </c>
      <c r="E431" s="223" t="s">
        <v>21</v>
      </c>
      <c r="F431" s="223" t="s">
        <v>27</v>
      </c>
      <c r="G431" s="223" t="s">
        <v>1204</v>
      </c>
    </row>
    <row r="432" spans="1:7" x14ac:dyDescent="0.3">
      <c r="A432" s="223">
        <v>431</v>
      </c>
      <c r="B432" s="223" t="s">
        <v>1110</v>
      </c>
      <c r="C432" s="223" t="s">
        <v>1224</v>
      </c>
      <c r="D432" s="223" t="s">
        <v>12</v>
      </c>
      <c r="E432" s="223" t="s">
        <v>21</v>
      </c>
      <c r="F432" s="223" t="s">
        <v>1096</v>
      </c>
      <c r="G432" s="223" t="s">
        <v>1112</v>
      </c>
    </row>
    <row r="433" spans="1:7" x14ac:dyDescent="0.3">
      <c r="A433" s="223">
        <v>432</v>
      </c>
      <c r="B433" s="223" t="s">
        <v>1110</v>
      </c>
      <c r="C433" s="223" t="s">
        <v>1224</v>
      </c>
      <c r="D433" s="223" t="s">
        <v>12</v>
      </c>
      <c r="E433" s="223" t="s">
        <v>21</v>
      </c>
      <c r="F433" s="223" t="s">
        <v>1090</v>
      </c>
      <c r="G433" s="223" t="s">
        <v>1120</v>
      </c>
    </row>
    <row r="434" spans="1:7" x14ac:dyDescent="0.3">
      <c r="A434" s="223">
        <v>433</v>
      </c>
      <c r="B434" s="223" t="s">
        <v>1110</v>
      </c>
      <c r="C434" s="223" t="s">
        <v>1225</v>
      </c>
      <c r="D434" s="223" t="s">
        <v>1218</v>
      </c>
      <c r="E434" s="223" t="s">
        <v>1087</v>
      </c>
      <c r="F434" s="223" t="s">
        <v>1093</v>
      </c>
      <c r="G434" s="223" t="s">
        <v>1121</v>
      </c>
    </row>
    <row r="435" spans="1:7" x14ac:dyDescent="0.3">
      <c r="A435" s="223">
        <v>434</v>
      </c>
      <c r="B435" s="223" t="s">
        <v>1110</v>
      </c>
      <c r="C435" s="223" t="s">
        <v>1225</v>
      </c>
      <c r="D435" s="223" t="s">
        <v>1218</v>
      </c>
      <c r="E435" s="223" t="s">
        <v>1087</v>
      </c>
      <c r="F435" s="223" t="s">
        <v>27</v>
      </c>
      <c r="G435" s="223" t="s">
        <v>1109</v>
      </c>
    </row>
    <row r="436" spans="1:7" x14ac:dyDescent="0.3">
      <c r="A436" s="223">
        <v>435</v>
      </c>
      <c r="B436" s="223" t="s">
        <v>1110</v>
      </c>
      <c r="C436" s="223" t="s">
        <v>1225</v>
      </c>
      <c r="D436" s="223" t="s">
        <v>1218</v>
      </c>
      <c r="E436" s="223" t="s">
        <v>1087</v>
      </c>
      <c r="F436" s="223" t="s">
        <v>1096</v>
      </c>
      <c r="G436" s="223" t="s">
        <v>1207</v>
      </c>
    </row>
    <row r="437" spans="1:7" x14ac:dyDescent="0.3">
      <c r="A437" s="223">
        <v>436</v>
      </c>
      <c r="B437" s="223" t="s">
        <v>1110</v>
      </c>
      <c r="C437" s="223" t="s">
        <v>1225</v>
      </c>
      <c r="D437" s="223" t="s">
        <v>1218</v>
      </c>
      <c r="E437" s="223" t="s">
        <v>1087</v>
      </c>
      <c r="F437" s="223" t="s">
        <v>1090</v>
      </c>
      <c r="G437" s="223" t="s">
        <v>1219</v>
      </c>
    </row>
    <row r="438" spans="1:7" x14ac:dyDescent="0.3">
      <c r="A438" s="223">
        <v>437</v>
      </c>
      <c r="B438" s="223" t="s">
        <v>1110</v>
      </c>
      <c r="C438" s="223" t="s">
        <v>1225</v>
      </c>
      <c r="D438" s="223" t="s">
        <v>1218</v>
      </c>
      <c r="E438" s="223" t="s">
        <v>21</v>
      </c>
      <c r="F438" s="223" t="s">
        <v>1093</v>
      </c>
      <c r="G438" s="223" t="s">
        <v>1219</v>
      </c>
    </row>
    <row r="439" spans="1:7" x14ac:dyDescent="0.3">
      <c r="A439" s="223">
        <v>438</v>
      </c>
      <c r="B439" s="223" t="s">
        <v>1110</v>
      </c>
      <c r="C439" s="223" t="s">
        <v>1225</v>
      </c>
      <c r="D439" s="223" t="s">
        <v>1218</v>
      </c>
      <c r="E439" s="223" t="s">
        <v>21</v>
      </c>
      <c r="F439" s="223" t="s">
        <v>27</v>
      </c>
      <c r="G439" s="223" t="s">
        <v>1206</v>
      </c>
    </row>
    <row r="440" spans="1:7" x14ac:dyDescent="0.3">
      <c r="A440" s="223">
        <v>439</v>
      </c>
      <c r="B440" s="223" t="s">
        <v>1110</v>
      </c>
      <c r="C440" s="223" t="s">
        <v>1225</v>
      </c>
      <c r="D440" s="223" t="s">
        <v>1218</v>
      </c>
      <c r="E440" s="223" t="s">
        <v>21</v>
      </c>
      <c r="F440" s="223" t="s">
        <v>1096</v>
      </c>
      <c r="G440" s="223" t="s">
        <v>1194</v>
      </c>
    </row>
    <row r="441" spans="1:7" x14ac:dyDescent="0.3">
      <c r="A441" s="223">
        <v>440</v>
      </c>
      <c r="B441" s="223" t="s">
        <v>1110</v>
      </c>
      <c r="C441" s="223" t="s">
        <v>1225</v>
      </c>
      <c r="D441" s="223" t="s">
        <v>1218</v>
      </c>
      <c r="E441" s="223" t="s">
        <v>21</v>
      </c>
      <c r="F441" s="223" t="s">
        <v>1090</v>
      </c>
      <c r="G441" s="223" t="s">
        <v>1219</v>
      </c>
    </row>
    <row r="442" spans="1:7" x14ac:dyDescent="0.3">
      <c r="A442" s="223">
        <v>441</v>
      </c>
      <c r="B442" s="223" t="s">
        <v>1110</v>
      </c>
      <c r="C442" s="223" t="s">
        <v>1225</v>
      </c>
      <c r="D442" s="223" t="s">
        <v>1220</v>
      </c>
      <c r="E442" s="223" t="s">
        <v>1087</v>
      </c>
      <c r="F442" s="223" t="s">
        <v>1093</v>
      </c>
      <c r="G442" s="223" t="s">
        <v>1121</v>
      </c>
    </row>
    <row r="443" spans="1:7" x14ac:dyDescent="0.3">
      <c r="A443" s="223">
        <v>442</v>
      </c>
      <c r="B443" s="223" t="s">
        <v>1110</v>
      </c>
      <c r="C443" s="223" t="s">
        <v>1225</v>
      </c>
      <c r="D443" s="223" t="s">
        <v>1220</v>
      </c>
      <c r="E443" s="223" t="s">
        <v>1087</v>
      </c>
      <c r="F443" s="223" t="s">
        <v>27</v>
      </c>
      <c r="G443" s="223" t="s">
        <v>1109</v>
      </c>
    </row>
    <row r="444" spans="1:7" x14ac:dyDescent="0.3">
      <c r="A444" s="223">
        <v>443</v>
      </c>
      <c r="B444" s="223" t="s">
        <v>1110</v>
      </c>
      <c r="C444" s="223" t="s">
        <v>1225</v>
      </c>
      <c r="D444" s="223" t="s">
        <v>1220</v>
      </c>
      <c r="E444" s="223" t="s">
        <v>1087</v>
      </c>
      <c r="F444" s="223" t="s">
        <v>1096</v>
      </c>
      <c r="G444" s="223" t="s">
        <v>1207</v>
      </c>
    </row>
    <row r="445" spans="1:7" x14ac:dyDescent="0.3">
      <c r="A445" s="223">
        <v>444</v>
      </c>
      <c r="B445" s="223" t="s">
        <v>1110</v>
      </c>
      <c r="C445" s="223" t="s">
        <v>1225</v>
      </c>
      <c r="D445" s="223" t="s">
        <v>1220</v>
      </c>
      <c r="E445" s="223" t="s">
        <v>1087</v>
      </c>
      <c r="F445" s="223" t="s">
        <v>1090</v>
      </c>
      <c r="G445" s="223" t="s">
        <v>1219</v>
      </c>
    </row>
    <row r="446" spans="1:7" x14ac:dyDescent="0.3">
      <c r="A446" s="223">
        <v>445</v>
      </c>
      <c r="B446" s="223" t="s">
        <v>1110</v>
      </c>
      <c r="C446" s="223" t="s">
        <v>1225</v>
      </c>
      <c r="D446" s="223" t="s">
        <v>1220</v>
      </c>
      <c r="E446" s="223" t="s">
        <v>21</v>
      </c>
      <c r="F446" s="223" t="s">
        <v>1093</v>
      </c>
      <c r="G446" s="223" t="s">
        <v>1219</v>
      </c>
    </row>
    <row r="447" spans="1:7" x14ac:dyDescent="0.3">
      <c r="A447" s="223">
        <v>446</v>
      </c>
      <c r="B447" s="223" t="s">
        <v>1110</v>
      </c>
      <c r="C447" s="223" t="s">
        <v>1225</v>
      </c>
      <c r="D447" s="223" t="s">
        <v>1220</v>
      </c>
      <c r="E447" s="223" t="s">
        <v>21</v>
      </c>
      <c r="F447" s="223" t="s">
        <v>27</v>
      </c>
      <c r="G447" s="223" t="s">
        <v>1206</v>
      </c>
    </row>
    <row r="448" spans="1:7" x14ac:dyDescent="0.3">
      <c r="A448" s="223">
        <v>447</v>
      </c>
      <c r="B448" s="223" t="s">
        <v>1110</v>
      </c>
      <c r="C448" s="223" t="s">
        <v>1225</v>
      </c>
      <c r="D448" s="223" t="s">
        <v>1220</v>
      </c>
      <c r="E448" s="223" t="s">
        <v>21</v>
      </c>
      <c r="F448" s="223" t="s">
        <v>1096</v>
      </c>
      <c r="G448" s="223" t="s">
        <v>1194</v>
      </c>
    </row>
    <row r="449" spans="1:7" x14ac:dyDescent="0.3">
      <c r="A449" s="223">
        <v>448</v>
      </c>
      <c r="B449" s="223" t="s">
        <v>1110</v>
      </c>
      <c r="C449" s="223" t="s">
        <v>1225</v>
      </c>
      <c r="D449" s="223" t="s">
        <v>1220</v>
      </c>
      <c r="E449" s="223" t="s">
        <v>21</v>
      </c>
      <c r="F449" s="223" t="s">
        <v>1090</v>
      </c>
      <c r="G449" s="223" t="s">
        <v>1219</v>
      </c>
    </row>
    <row r="450" spans="1:7" x14ac:dyDescent="0.3">
      <c r="A450" s="223">
        <v>449</v>
      </c>
      <c r="B450" s="223" t="s">
        <v>1110</v>
      </c>
      <c r="C450" s="223" t="s">
        <v>1225</v>
      </c>
      <c r="D450" s="223" t="s">
        <v>1221</v>
      </c>
      <c r="E450" s="223" t="s">
        <v>1087</v>
      </c>
      <c r="F450" s="223" t="s">
        <v>1093</v>
      </c>
      <c r="G450" s="223" t="s">
        <v>1121</v>
      </c>
    </row>
    <row r="451" spans="1:7" x14ac:dyDescent="0.3">
      <c r="A451" s="223">
        <v>450</v>
      </c>
      <c r="B451" s="223" t="s">
        <v>1110</v>
      </c>
      <c r="C451" s="223" t="s">
        <v>1225</v>
      </c>
      <c r="D451" s="223" t="s">
        <v>1221</v>
      </c>
      <c r="E451" s="223" t="s">
        <v>1087</v>
      </c>
      <c r="F451" s="223" t="s">
        <v>27</v>
      </c>
      <c r="G451" s="223" t="s">
        <v>1109</v>
      </c>
    </row>
    <row r="452" spans="1:7" x14ac:dyDescent="0.3">
      <c r="A452" s="223">
        <v>451</v>
      </c>
      <c r="B452" s="223" t="s">
        <v>1110</v>
      </c>
      <c r="C452" s="223" t="s">
        <v>1225</v>
      </c>
      <c r="D452" s="223" t="s">
        <v>1221</v>
      </c>
      <c r="E452" s="223" t="s">
        <v>1087</v>
      </c>
      <c r="F452" s="223" t="s">
        <v>1096</v>
      </c>
      <c r="G452" s="223" t="s">
        <v>1207</v>
      </c>
    </row>
    <row r="453" spans="1:7" x14ac:dyDescent="0.3">
      <c r="A453" s="223">
        <v>452</v>
      </c>
      <c r="B453" s="223" t="s">
        <v>1110</v>
      </c>
      <c r="C453" s="223" t="s">
        <v>1225</v>
      </c>
      <c r="D453" s="223" t="s">
        <v>1221</v>
      </c>
      <c r="E453" s="223" t="s">
        <v>1087</v>
      </c>
      <c r="F453" s="223" t="s">
        <v>1090</v>
      </c>
      <c r="G453" s="223" t="s">
        <v>1219</v>
      </c>
    </row>
    <row r="454" spans="1:7" x14ac:dyDescent="0.3">
      <c r="A454" s="223">
        <v>453</v>
      </c>
      <c r="B454" s="223" t="s">
        <v>1110</v>
      </c>
      <c r="C454" s="223" t="s">
        <v>1225</v>
      </c>
      <c r="D454" s="223" t="s">
        <v>1221</v>
      </c>
      <c r="E454" s="223" t="s">
        <v>21</v>
      </c>
      <c r="F454" s="223" t="s">
        <v>1093</v>
      </c>
      <c r="G454" s="223" t="s">
        <v>1219</v>
      </c>
    </row>
    <row r="455" spans="1:7" x14ac:dyDescent="0.3">
      <c r="A455" s="223">
        <v>454</v>
      </c>
      <c r="B455" s="223" t="s">
        <v>1110</v>
      </c>
      <c r="C455" s="223" t="s">
        <v>1225</v>
      </c>
      <c r="D455" s="223" t="s">
        <v>1221</v>
      </c>
      <c r="E455" s="223" t="s">
        <v>21</v>
      </c>
      <c r="F455" s="223" t="s">
        <v>27</v>
      </c>
      <c r="G455" s="223" t="s">
        <v>1206</v>
      </c>
    </row>
    <row r="456" spans="1:7" x14ac:dyDescent="0.3">
      <c r="A456" s="223">
        <v>455</v>
      </c>
      <c r="B456" s="223" t="s">
        <v>1110</v>
      </c>
      <c r="C456" s="223" t="s">
        <v>1225</v>
      </c>
      <c r="D456" s="223" t="s">
        <v>1221</v>
      </c>
      <c r="E456" s="223" t="s">
        <v>21</v>
      </c>
      <c r="F456" s="223" t="s">
        <v>1096</v>
      </c>
      <c r="G456" s="223" t="s">
        <v>1194</v>
      </c>
    </row>
    <row r="457" spans="1:7" x14ac:dyDescent="0.3">
      <c r="A457" s="223">
        <v>456</v>
      </c>
      <c r="B457" s="223" t="s">
        <v>1110</v>
      </c>
      <c r="C457" s="223" t="s">
        <v>1225</v>
      </c>
      <c r="D457" s="223" t="s">
        <v>1221</v>
      </c>
      <c r="E457" s="223" t="s">
        <v>21</v>
      </c>
      <c r="F457" s="223" t="s">
        <v>1090</v>
      </c>
      <c r="G457" s="223" t="s">
        <v>1219</v>
      </c>
    </row>
    <row r="458" spans="1:7" x14ac:dyDescent="0.3">
      <c r="A458" s="223">
        <v>457</v>
      </c>
      <c r="B458" s="223" t="s">
        <v>1110</v>
      </c>
      <c r="C458" s="223" t="s">
        <v>1225</v>
      </c>
      <c r="D458" s="223" t="s">
        <v>1222</v>
      </c>
      <c r="E458" s="223" t="s">
        <v>1087</v>
      </c>
      <c r="F458" s="223" t="s">
        <v>1093</v>
      </c>
      <c r="G458" s="223" t="s">
        <v>1121</v>
      </c>
    </row>
    <row r="459" spans="1:7" x14ac:dyDescent="0.3">
      <c r="A459" s="223">
        <v>458</v>
      </c>
      <c r="B459" s="223" t="s">
        <v>1110</v>
      </c>
      <c r="C459" s="223" t="s">
        <v>1225</v>
      </c>
      <c r="D459" s="223" t="s">
        <v>1222</v>
      </c>
      <c r="E459" s="223" t="s">
        <v>1087</v>
      </c>
      <c r="F459" s="223" t="s">
        <v>27</v>
      </c>
      <c r="G459" s="223" t="s">
        <v>1109</v>
      </c>
    </row>
    <row r="460" spans="1:7" x14ac:dyDescent="0.3">
      <c r="A460" s="223">
        <v>459</v>
      </c>
      <c r="B460" s="223" t="s">
        <v>1110</v>
      </c>
      <c r="C460" s="223" t="s">
        <v>1225</v>
      </c>
      <c r="D460" s="223" t="s">
        <v>1222</v>
      </c>
      <c r="E460" s="223" t="s">
        <v>1087</v>
      </c>
      <c r="F460" s="223" t="s">
        <v>1096</v>
      </c>
      <c r="G460" s="223" t="s">
        <v>1207</v>
      </c>
    </row>
    <row r="461" spans="1:7" x14ac:dyDescent="0.3">
      <c r="A461" s="223">
        <v>460</v>
      </c>
      <c r="B461" s="223" t="s">
        <v>1110</v>
      </c>
      <c r="C461" s="223" t="s">
        <v>1225</v>
      </c>
      <c r="D461" s="223" t="s">
        <v>1222</v>
      </c>
      <c r="E461" s="223" t="s">
        <v>1087</v>
      </c>
      <c r="F461" s="223" t="s">
        <v>1090</v>
      </c>
      <c r="G461" s="223" t="s">
        <v>1219</v>
      </c>
    </row>
    <row r="462" spans="1:7" x14ac:dyDescent="0.3">
      <c r="A462" s="223">
        <v>461</v>
      </c>
      <c r="B462" s="223" t="s">
        <v>1110</v>
      </c>
      <c r="C462" s="223" t="s">
        <v>1225</v>
      </c>
      <c r="D462" s="223" t="s">
        <v>1222</v>
      </c>
      <c r="E462" s="223" t="s">
        <v>21</v>
      </c>
      <c r="F462" s="223" t="s">
        <v>1093</v>
      </c>
      <c r="G462" s="223" t="s">
        <v>1219</v>
      </c>
    </row>
    <row r="463" spans="1:7" x14ac:dyDescent="0.3">
      <c r="A463" s="223">
        <v>462</v>
      </c>
      <c r="B463" s="223" t="s">
        <v>1110</v>
      </c>
      <c r="C463" s="223" t="s">
        <v>1225</v>
      </c>
      <c r="D463" s="223" t="s">
        <v>1222</v>
      </c>
      <c r="E463" s="223" t="s">
        <v>21</v>
      </c>
      <c r="F463" s="223" t="s">
        <v>27</v>
      </c>
      <c r="G463" s="223" t="s">
        <v>1206</v>
      </c>
    </row>
    <row r="464" spans="1:7" x14ac:dyDescent="0.3">
      <c r="A464" s="223">
        <v>463</v>
      </c>
      <c r="B464" s="223" t="s">
        <v>1110</v>
      </c>
      <c r="C464" s="223" t="s">
        <v>1225</v>
      </c>
      <c r="D464" s="223" t="s">
        <v>1222</v>
      </c>
      <c r="E464" s="223" t="s">
        <v>21</v>
      </c>
      <c r="F464" s="223" t="s">
        <v>1096</v>
      </c>
      <c r="G464" s="223" t="s">
        <v>1194</v>
      </c>
    </row>
    <row r="465" spans="1:7" x14ac:dyDescent="0.3">
      <c r="A465" s="223">
        <v>464</v>
      </c>
      <c r="B465" s="223" t="s">
        <v>1110</v>
      </c>
      <c r="C465" s="223" t="s">
        <v>1225</v>
      </c>
      <c r="D465" s="223" t="s">
        <v>1222</v>
      </c>
      <c r="E465" s="223" t="s">
        <v>21</v>
      </c>
      <c r="F465" s="223" t="s">
        <v>1090</v>
      </c>
      <c r="G465" s="223" t="s">
        <v>1219</v>
      </c>
    </row>
    <row r="466" spans="1:7" x14ac:dyDescent="0.3">
      <c r="A466" s="223">
        <v>465</v>
      </c>
      <c r="B466" s="223" t="s">
        <v>1110</v>
      </c>
      <c r="C466" s="223" t="s">
        <v>1225</v>
      </c>
      <c r="D466" s="223" t="s">
        <v>1223</v>
      </c>
      <c r="E466" s="223" t="s">
        <v>1087</v>
      </c>
      <c r="F466" s="223" t="s">
        <v>1093</v>
      </c>
      <c r="G466" s="223" t="s">
        <v>1219</v>
      </c>
    </row>
    <row r="467" spans="1:7" x14ac:dyDescent="0.3">
      <c r="A467" s="223">
        <v>466</v>
      </c>
      <c r="B467" s="223" t="s">
        <v>1110</v>
      </c>
      <c r="C467" s="223" t="s">
        <v>1225</v>
      </c>
      <c r="D467" s="223" t="s">
        <v>1223</v>
      </c>
      <c r="E467" s="223" t="s">
        <v>1087</v>
      </c>
      <c r="F467" s="223" t="s">
        <v>27</v>
      </c>
      <c r="G467" s="223" t="s">
        <v>1219</v>
      </c>
    </row>
    <row r="468" spans="1:7" x14ac:dyDescent="0.3">
      <c r="A468" s="223">
        <v>467</v>
      </c>
      <c r="B468" s="223" t="s">
        <v>1110</v>
      </c>
      <c r="C468" s="223" t="s">
        <v>1225</v>
      </c>
      <c r="D468" s="223" t="s">
        <v>1223</v>
      </c>
      <c r="E468" s="223" t="s">
        <v>1087</v>
      </c>
      <c r="F468" s="223" t="s">
        <v>1096</v>
      </c>
      <c r="G468" s="223" t="s">
        <v>1116</v>
      </c>
    </row>
    <row r="469" spans="1:7" x14ac:dyDescent="0.3">
      <c r="A469" s="223">
        <v>468</v>
      </c>
      <c r="B469" s="223" t="s">
        <v>1110</v>
      </c>
      <c r="C469" s="223" t="s">
        <v>1225</v>
      </c>
      <c r="D469" s="223" t="s">
        <v>1223</v>
      </c>
      <c r="E469" s="223" t="s">
        <v>1087</v>
      </c>
      <c r="F469" s="223" t="s">
        <v>1090</v>
      </c>
      <c r="G469" s="223" t="s">
        <v>1111</v>
      </c>
    </row>
    <row r="470" spans="1:7" x14ac:dyDescent="0.3">
      <c r="A470" s="223">
        <v>469</v>
      </c>
      <c r="B470" s="223" t="s">
        <v>1110</v>
      </c>
      <c r="C470" s="223" t="s">
        <v>1225</v>
      </c>
      <c r="D470" s="223" t="s">
        <v>1223</v>
      </c>
      <c r="E470" s="223" t="s">
        <v>21</v>
      </c>
      <c r="F470" s="223" t="s">
        <v>1093</v>
      </c>
      <c r="G470" s="223" t="s">
        <v>1219</v>
      </c>
    </row>
    <row r="471" spans="1:7" x14ac:dyDescent="0.3">
      <c r="A471" s="223">
        <v>470</v>
      </c>
      <c r="B471" s="223" t="s">
        <v>1110</v>
      </c>
      <c r="C471" s="223" t="s">
        <v>1225</v>
      </c>
      <c r="D471" s="223" t="s">
        <v>1223</v>
      </c>
      <c r="E471" s="223" t="s">
        <v>21</v>
      </c>
      <c r="F471" s="223" t="s">
        <v>27</v>
      </c>
      <c r="G471" s="223" t="s">
        <v>1204</v>
      </c>
    </row>
    <row r="472" spans="1:7" x14ac:dyDescent="0.3">
      <c r="A472" s="223">
        <v>471</v>
      </c>
      <c r="B472" s="223" t="s">
        <v>1110</v>
      </c>
      <c r="C472" s="223" t="s">
        <v>1225</v>
      </c>
      <c r="D472" s="223" t="s">
        <v>1223</v>
      </c>
      <c r="E472" s="223" t="s">
        <v>21</v>
      </c>
      <c r="F472" s="223" t="s">
        <v>1096</v>
      </c>
      <c r="G472" s="223" t="s">
        <v>1112</v>
      </c>
    </row>
    <row r="473" spans="1:7" x14ac:dyDescent="0.3">
      <c r="A473" s="223">
        <v>472</v>
      </c>
      <c r="B473" s="223" t="s">
        <v>1110</v>
      </c>
      <c r="C473" s="223" t="s">
        <v>1225</v>
      </c>
      <c r="D473" s="223" t="s">
        <v>1223</v>
      </c>
      <c r="E473" s="223" t="s">
        <v>21</v>
      </c>
      <c r="F473" s="223" t="s">
        <v>1090</v>
      </c>
      <c r="G473" s="223" t="s">
        <v>1120</v>
      </c>
    </row>
    <row r="474" spans="1:7" x14ac:dyDescent="0.3">
      <c r="A474" s="223">
        <v>473</v>
      </c>
      <c r="B474" s="223" t="s">
        <v>1110</v>
      </c>
      <c r="C474" s="223" t="s">
        <v>1225</v>
      </c>
      <c r="D474" s="223" t="s">
        <v>12</v>
      </c>
      <c r="E474" s="223" t="s">
        <v>1087</v>
      </c>
      <c r="F474" s="223" t="s">
        <v>1093</v>
      </c>
      <c r="G474" s="223" t="s">
        <v>1219</v>
      </c>
    </row>
    <row r="475" spans="1:7" x14ac:dyDescent="0.3">
      <c r="A475" s="223">
        <v>474</v>
      </c>
      <c r="B475" s="223" t="s">
        <v>1110</v>
      </c>
      <c r="C475" s="223" t="s">
        <v>1225</v>
      </c>
      <c r="D475" s="223" t="s">
        <v>12</v>
      </c>
      <c r="E475" s="223" t="s">
        <v>1087</v>
      </c>
      <c r="F475" s="223" t="s">
        <v>27</v>
      </c>
      <c r="G475" s="223" t="s">
        <v>1219</v>
      </c>
    </row>
    <row r="476" spans="1:7" x14ac:dyDescent="0.3">
      <c r="A476" s="223">
        <v>475</v>
      </c>
      <c r="B476" s="223" t="s">
        <v>1110</v>
      </c>
      <c r="C476" s="223" t="s">
        <v>1225</v>
      </c>
      <c r="D476" s="223" t="s">
        <v>12</v>
      </c>
      <c r="E476" s="223" t="s">
        <v>1087</v>
      </c>
      <c r="F476" s="223" t="s">
        <v>1096</v>
      </c>
      <c r="G476" s="223" t="s">
        <v>1116</v>
      </c>
    </row>
    <row r="477" spans="1:7" x14ac:dyDescent="0.3">
      <c r="A477" s="223">
        <v>476</v>
      </c>
      <c r="B477" s="223" t="s">
        <v>1110</v>
      </c>
      <c r="C477" s="223" t="s">
        <v>1225</v>
      </c>
      <c r="D477" s="223" t="s">
        <v>12</v>
      </c>
      <c r="E477" s="223" t="s">
        <v>1087</v>
      </c>
      <c r="F477" s="223" t="s">
        <v>1090</v>
      </c>
      <c r="G477" s="223" t="s">
        <v>1111</v>
      </c>
    </row>
    <row r="478" spans="1:7" x14ac:dyDescent="0.3">
      <c r="A478" s="223">
        <v>477</v>
      </c>
      <c r="B478" s="223" t="s">
        <v>1110</v>
      </c>
      <c r="C478" s="223" t="s">
        <v>1225</v>
      </c>
      <c r="D478" s="223" t="s">
        <v>12</v>
      </c>
      <c r="E478" s="223" t="s">
        <v>21</v>
      </c>
      <c r="F478" s="223" t="s">
        <v>1093</v>
      </c>
      <c r="G478" s="223" t="s">
        <v>1219</v>
      </c>
    </row>
    <row r="479" spans="1:7" x14ac:dyDescent="0.3">
      <c r="A479" s="223">
        <v>478</v>
      </c>
      <c r="B479" s="223" t="s">
        <v>1110</v>
      </c>
      <c r="C479" s="223" t="s">
        <v>1225</v>
      </c>
      <c r="D479" s="223" t="s">
        <v>12</v>
      </c>
      <c r="E479" s="223" t="s">
        <v>21</v>
      </c>
      <c r="F479" s="223" t="s">
        <v>27</v>
      </c>
      <c r="G479" s="223" t="s">
        <v>1204</v>
      </c>
    </row>
    <row r="480" spans="1:7" x14ac:dyDescent="0.3">
      <c r="A480" s="223">
        <v>479</v>
      </c>
      <c r="B480" s="223" t="s">
        <v>1110</v>
      </c>
      <c r="C480" s="223" t="s">
        <v>1225</v>
      </c>
      <c r="D480" s="223" t="s">
        <v>12</v>
      </c>
      <c r="E480" s="223" t="s">
        <v>21</v>
      </c>
      <c r="F480" s="223" t="s">
        <v>1096</v>
      </c>
      <c r="G480" s="223" t="s">
        <v>1112</v>
      </c>
    </row>
    <row r="481" spans="1:7" x14ac:dyDescent="0.3">
      <c r="A481" s="223">
        <v>480</v>
      </c>
      <c r="B481" s="223" t="s">
        <v>1110</v>
      </c>
      <c r="C481" s="223" t="s">
        <v>1225</v>
      </c>
      <c r="D481" s="223" t="s">
        <v>12</v>
      </c>
      <c r="E481" s="223" t="s">
        <v>21</v>
      </c>
      <c r="F481" s="223" t="s">
        <v>1090</v>
      </c>
      <c r="G481" s="223" t="s">
        <v>1120</v>
      </c>
    </row>
    <row r="482" spans="1:7" x14ac:dyDescent="0.3">
      <c r="A482" s="223">
        <v>481</v>
      </c>
      <c r="B482" s="223" t="s">
        <v>1110</v>
      </c>
      <c r="C482" s="223" t="s">
        <v>1226</v>
      </c>
      <c r="D482" s="223" t="s">
        <v>1218</v>
      </c>
      <c r="E482" s="223" t="s">
        <v>1087</v>
      </c>
      <c r="F482" s="223" t="s">
        <v>1093</v>
      </c>
      <c r="G482" s="223" t="s">
        <v>1205</v>
      </c>
    </row>
    <row r="483" spans="1:7" x14ac:dyDescent="0.3">
      <c r="A483" s="223">
        <v>482</v>
      </c>
      <c r="B483" s="223" t="s">
        <v>1110</v>
      </c>
      <c r="C483" s="223" t="s">
        <v>1226</v>
      </c>
      <c r="D483" s="223" t="s">
        <v>1218</v>
      </c>
      <c r="E483" s="223" t="s">
        <v>1087</v>
      </c>
      <c r="F483" s="223" t="s">
        <v>27</v>
      </c>
      <c r="G483" s="223" t="s">
        <v>1115</v>
      </c>
    </row>
    <row r="484" spans="1:7" x14ac:dyDescent="0.3">
      <c r="A484" s="223">
        <v>483</v>
      </c>
      <c r="B484" s="223" t="s">
        <v>1110</v>
      </c>
      <c r="C484" s="223" t="s">
        <v>1226</v>
      </c>
      <c r="D484" s="223" t="s">
        <v>1218</v>
      </c>
      <c r="E484" s="223" t="s">
        <v>1087</v>
      </c>
      <c r="F484" s="223" t="s">
        <v>1096</v>
      </c>
      <c r="G484" s="223" t="s">
        <v>1118</v>
      </c>
    </row>
    <row r="485" spans="1:7" x14ac:dyDescent="0.3">
      <c r="A485" s="223">
        <v>484</v>
      </c>
      <c r="B485" s="223" t="s">
        <v>1110</v>
      </c>
      <c r="C485" s="223" t="s">
        <v>1226</v>
      </c>
      <c r="D485" s="223" t="s">
        <v>1218</v>
      </c>
      <c r="E485" s="223" t="s">
        <v>1087</v>
      </c>
      <c r="F485" s="223" t="s">
        <v>1090</v>
      </c>
      <c r="G485" s="223" t="s">
        <v>1219</v>
      </c>
    </row>
    <row r="486" spans="1:7" x14ac:dyDescent="0.3">
      <c r="A486" s="223">
        <v>485</v>
      </c>
      <c r="B486" s="223" t="s">
        <v>1110</v>
      </c>
      <c r="C486" s="223" t="s">
        <v>1226</v>
      </c>
      <c r="D486" s="223" t="s">
        <v>1218</v>
      </c>
      <c r="E486" s="223" t="s">
        <v>21</v>
      </c>
      <c r="F486" s="223" t="s">
        <v>1093</v>
      </c>
      <c r="G486" s="223" t="s">
        <v>1219</v>
      </c>
    </row>
    <row r="487" spans="1:7" x14ac:dyDescent="0.3">
      <c r="A487" s="223">
        <v>486</v>
      </c>
      <c r="B487" s="223" t="s">
        <v>1110</v>
      </c>
      <c r="C487" s="223" t="s">
        <v>1226</v>
      </c>
      <c r="D487" s="223" t="s">
        <v>1218</v>
      </c>
      <c r="E487" s="223" t="s">
        <v>21</v>
      </c>
      <c r="F487" s="223" t="s">
        <v>27</v>
      </c>
      <c r="G487" s="223" t="s">
        <v>1117</v>
      </c>
    </row>
    <row r="488" spans="1:7" x14ac:dyDescent="0.3">
      <c r="A488" s="223">
        <v>487</v>
      </c>
      <c r="B488" s="223" t="s">
        <v>1110</v>
      </c>
      <c r="C488" s="223" t="s">
        <v>1226</v>
      </c>
      <c r="D488" s="223" t="s">
        <v>1218</v>
      </c>
      <c r="E488" s="223" t="s">
        <v>21</v>
      </c>
      <c r="F488" s="223" t="s">
        <v>1096</v>
      </c>
      <c r="G488" s="223" t="s">
        <v>1200</v>
      </c>
    </row>
    <row r="489" spans="1:7" x14ac:dyDescent="0.3">
      <c r="A489" s="223">
        <v>488</v>
      </c>
      <c r="B489" s="223" t="s">
        <v>1110</v>
      </c>
      <c r="C489" s="223" t="s">
        <v>1226</v>
      </c>
      <c r="D489" s="223" t="s">
        <v>1218</v>
      </c>
      <c r="E489" s="223" t="s">
        <v>21</v>
      </c>
      <c r="F489" s="223" t="s">
        <v>1090</v>
      </c>
      <c r="G489" s="223" t="s">
        <v>1219</v>
      </c>
    </row>
    <row r="490" spans="1:7" x14ac:dyDescent="0.3">
      <c r="A490" s="223">
        <v>489</v>
      </c>
      <c r="B490" s="223" t="s">
        <v>1110</v>
      </c>
      <c r="C490" s="223" t="s">
        <v>1226</v>
      </c>
      <c r="D490" s="223" t="s">
        <v>1220</v>
      </c>
      <c r="E490" s="223" t="s">
        <v>1087</v>
      </c>
      <c r="F490" s="223" t="s">
        <v>1093</v>
      </c>
      <c r="G490" s="223" t="s">
        <v>1205</v>
      </c>
    </row>
    <row r="491" spans="1:7" x14ac:dyDescent="0.3">
      <c r="A491" s="223">
        <v>490</v>
      </c>
      <c r="B491" s="223" t="s">
        <v>1110</v>
      </c>
      <c r="C491" s="223" t="s">
        <v>1226</v>
      </c>
      <c r="D491" s="223" t="s">
        <v>1220</v>
      </c>
      <c r="E491" s="223" t="s">
        <v>1087</v>
      </c>
      <c r="F491" s="223" t="s">
        <v>27</v>
      </c>
      <c r="G491" s="223" t="s">
        <v>1115</v>
      </c>
    </row>
    <row r="492" spans="1:7" x14ac:dyDescent="0.3">
      <c r="A492" s="223">
        <v>491</v>
      </c>
      <c r="B492" s="223" t="s">
        <v>1110</v>
      </c>
      <c r="C492" s="223" t="s">
        <v>1226</v>
      </c>
      <c r="D492" s="223" t="s">
        <v>1220</v>
      </c>
      <c r="E492" s="223" t="s">
        <v>1087</v>
      </c>
      <c r="F492" s="223" t="s">
        <v>1096</v>
      </c>
      <c r="G492" s="223" t="s">
        <v>1118</v>
      </c>
    </row>
    <row r="493" spans="1:7" x14ac:dyDescent="0.3">
      <c r="A493" s="223">
        <v>492</v>
      </c>
      <c r="B493" s="223" t="s">
        <v>1110</v>
      </c>
      <c r="C493" s="223" t="s">
        <v>1226</v>
      </c>
      <c r="D493" s="223" t="s">
        <v>1220</v>
      </c>
      <c r="E493" s="223" t="s">
        <v>1087</v>
      </c>
      <c r="F493" s="223" t="s">
        <v>1090</v>
      </c>
      <c r="G493" s="223" t="s">
        <v>1219</v>
      </c>
    </row>
    <row r="494" spans="1:7" x14ac:dyDescent="0.3">
      <c r="A494" s="223">
        <v>493</v>
      </c>
      <c r="B494" s="223" t="s">
        <v>1110</v>
      </c>
      <c r="C494" s="223" t="s">
        <v>1226</v>
      </c>
      <c r="D494" s="223" t="s">
        <v>1220</v>
      </c>
      <c r="E494" s="223" t="s">
        <v>21</v>
      </c>
      <c r="F494" s="223" t="s">
        <v>1093</v>
      </c>
      <c r="G494" s="223" t="s">
        <v>1219</v>
      </c>
    </row>
    <row r="495" spans="1:7" x14ac:dyDescent="0.3">
      <c r="A495" s="223">
        <v>494</v>
      </c>
      <c r="B495" s="223" t="s">
        <v>1110</v>
      </c>
      <c r="C495" s="223" t="s">
        <v>1226</v>
      </c>
      <c r="D495" s="223" t="s">
        <v>1220</v>
      </c>
      <c r="E495" s="223" t="s">
        <v>21</v>
      </c>
      <c r="F495" s="223" t="s">
        <v>27</v>
      </c>
      <c r="G495" s="223" t="s">
        <v>1117</v>
      </c>
    </row>
    <row r="496" spans="1:7" x14ac:dyDescent="0.3">
      <c r="A496" s="223">
        <v>495</v>
      </c>
      <c r="B496" s="223" t="s">
        <v>1110</v>
      </c>
      <c r="C496" s="223" t="s">
        <v>1226</v>
      </c>
      <c r="D496" s="223" t="s">
        <v>1220</v>
      </c>
      <c r="E496" s="223" t="s">
        <v>21</v>
      </c>
      <c r="F496" s="223" t="s">
        <v>1096</v>
      </c>
      <c r="G496" s="223" t="s">
        <v>1200</v>
      </c>
    </row>
    <row r="497" spans="1:7" x14ac:dyDescent="0.3">
      <c r="A497" s="223">
        <v>496</v>
      </c>
      <c r="B497" s="223" t="s">
        <v>1110</v>
      </c>
      <c r="C497" s="223" t="s">
        <v>1226</v>
      </c>
      <c r="D497" s="223" t="s">
        <v>1220</v>
      </c>
      <c r="E497" s="223" t="s">
        <v>21</v>
      </c>
      <c r="F497" s="223" t="s">
        <v>1090</v>
      </c>
      <c r="G497" s="223" t="s">
        <v>1219</v>
      </c>
    </row>
    <row r="498" spans="1:7" x14ac:dyDescent="0.3">
      <c r="A498" s="223">
        <v>497</v>
      </c>
      <c r="B498" s="223" t="s">
        <v>1110</v>
      </c>
      <c r="C498" s="223" t="s">
        <v>1226</v>
      </c>
      <c r="D498" s="223" t="s">
        <v>1221</v>
      </c>
      <c r="E498" s="223" t="s">
        <v>1087</v>
      </c>
      <c r="F498" s="223" t="s">
        <v>1093</v>
      </c>
      <c r="G498" s="223" t="s">
        <v>1205</v>
      </c>
    </row>
    <row r="499" spans="1:7" x14ac:dyDescent="0.3">
      <c r="A499" s="223">
        <v>498</v>
      </c>
      <c r="B499" s="223" t="s">
        <v>1110</v>
      </c>
      <c r="C499" s="223" t="s">
        <v>1226</v>
      </c>
      <c r="D499" s="223" t="s">
        <v>1221</v>
      </c>
      <c r="E499" s="223" t="s">
        <v>1087</v>
      </c>
      <c r="F499" s="223" t="s">
        <v>27</v>
      </c>
      <c r="G499" s="223" t="s">
        <v>1115</v>
      </c>
    </row>
    <row r="500" spans="1:7" x14ac:dyDescent="0.3">
      <c r="A500" s="223">
        <v>499</v>
      </c>
      <c r="B500" s="223" t="s">
        <v>1110</v>
      </c>
      <c r="C500" s="223" t="s">
        <v>1226</v>
      </c>
      <c r="D500" s="223" t="s">
        <v>1221</v>
      </c>
      <c r="E500" s="223" t="s">
        <v>1087</v>
      </c>
      <c r="F500" s="223" t="s">
        <v>1096</v>
      </c>
      <c r="G500" s="223" t="s">
        <v>1118</v>
      </c>
    </row>
    <row r="501" spans="1:7" x14ac:dyDescent="0.3">
      <c r="A501" s="223">
        <v>500</v>
      </c>
      <c r="B501" s="223" t="s">
        <v>1110</v>
      </c>
      <c r="C501" s="223" t="s">
        <v>1226</v>
      </c>
      <c r="D501" s="223" t="s">
        <v>1221</v>
      </c>
      <c r="E501" s="223" t="s">
        <v>1087</v>
      </c>
      <c r="F501" s="223" t="s">
        <v>1090</v>
      </c>
      <c r="G501" s="223" t="s">
        <v>1219</v>
      </c>
    </row>
    <row r="502" spans="1:7" x14ac:dyDescent="0.3">
      <c r="A502" s="223">
        <v>501</v>
      </c>
      <c r="B502" s="223" t="s">
        <v>1110</v>
      </c>
      <c r="C502" s="223" t="s">
        <v>1226</v>
      </c>
      <c r="D502" s="223" t="s">
        <v>1221</v>
      </c>
      <c r="E502" s="223" t="s">
        <v>21</v>
      </c>
      <c r="F502" s="223" t="s">
        <v>1093</v>
      </c>
      <c r="G502" s="223" t="s">
        <v>1219</v>
      </c>
    </row>
    <row r="503" spans="1:7" x14ac:dyDescent="0.3">
      <c r="A503" s="223">
        <v>502</v>
      </c>
      <c r="B503" s="223" t="s">
        <v>1110</v>
      </c>
      <c r="C503" s="223" t="s">
        <v>1226</v>
      </c>
      <c r="D503" s="223" t="s">
        <v>1221</v>
      </c>
      <c r="E503" s="223" t="s">
        <v>21</v>
      </c>
      <c r="F503" s="223" t="s">
        <v>27</v>
      </c>
      <c r="G503" s="223" t="s">
        <v>1117</v>
      </c>
    </row>
    <row r="504" spans="1:7" x14ac:dyDescent="0.3">
      <c r="A504" s="223">
        <v>503</v>
      </c>
      <c r="B504" s="223" t="s">
        <v>1110</v>
      </c>
      <c r="C504" s="223" t="s">
        <v>1226</v>
      </c>
      <c r="D504" s="223" t="s">
        <v>1221</v>
      </c>
      <c r="E504" s="223" t="s">
        <v>21</v>
      </c>
      <c r="F504" s="223" t="s">
        <v>1096</v>
      </c>
      <c r="G504" s="223" t="s">
        <v>1200</v>
      </c>
    </row>
    <row r="505" spans="1:7" x14ac:dyDescent="0.3">
      <c r="A505" s="223">
        <v>504</v>
      </c>
      <c r="B505" s="223" t="s">
        <v>1110</v>
      </c>
      <c r="C505" s="223" t="s">
        <v>1226</v>
      </c>
      <c r="D505" s="223" t="s">
        <v>1221</v>
      </c>
      <c r="E505" s="223" t="s">
        <v>21</v>
      </c>
      <c r="F505" s="223" t="s">
        <v>1090</v>
      </c>
      <c r="G505" s="223" t="s">
        <v>1219</v>
      </c>
    </row>
    <row r="506" spans="1:7" x14ac:dyDescent="0.3">
      <c r="A506" s="223">
        <v>505</v>
      </c>
      <c r="B506" s="223" t="s">
        <v>1110</v>
      </c>
      <c r="C506" s="223" t="s">
        <v>1226</v>
      </c>
      <c r="D506" s="223" t="s">
        <v>1222</v>
      </c>
      <c r="E506" s="223" t="s">
        <v>1087</v>
      </c>
      <c r="F506" s="223" t="s">
        <v>1093</v>
      </c>
      <c r="G506" s="223" t="s">
        <v>1205</v>
      </c>
    </row>
    <row r="507" spans="1:7" x14ac:dyDescent="0.3">
      <c r="A507" s="223">
        <v>506</v>
      </c>
      <c r="B507" s="223" t="s">
        <v>1110</v>
      </c>
      <c r="C507" s="223" t="s">
        <v>1226</v>
      </c>
      <c r="D507" s="223" t="s">
        <v>1222</v>
      </c>
      <c r="E507" s="223" t="s">
        <v>1087</v>
      </c>
      <c r="F507" s="223" t="s">
        <v>27</v>
      </c>
      <c r="G507" s="223" t="s">
        <v>1115</v>
      </c>
    </row>
    <row r="508" spans="1:7" x14ac:dyDescent="0.3">
      <c r="A508" s="223">
        <v>507</v>
      </c>
      <c r="B508" s="223" t="s">
        <v>1110</v>
      </c>
      <c r="C508" s="223" t="s">
        <v>1226</v>
      </c>
      <c r="D508" s="223" t="s">
        <v>1222</v>
      </c>
      <c r="E508" s="223" t="s">
        <v>1087</v>
      </c>
      <c r="F508" s="223" t="s">
        <v>1096</v>
      </c>
      <c r="G508" s="223" t="s">
        <v>1118</v>
      </c>
    </row>
    <row r="509" spans="1:7" x14ac:dyDescent="0.3">
      <c r="A509" s="223">
        <v>508</v>
      </c>
      <c r="B509" s="223" t="s">
        <v>1110</v>
      </c>
      <c r="C509" s="223" t="s">
        <v>1226</v>
      </c>
      <c r="D509" s="223" t="s">
        <v>1222</v>
      </c>
      <c r="E509" s="223" t="s">
        <v>1087</v>
      </c>
      <c r="F509" s="223" t="s">
        <v>1090</v>
      </c>
      <c r="G509" s="223" t="s">
        <v>1219</v>
      </c>
    </row>
    <row r="510" spans="1:7" x14ac:dyDescent="0.3">
      <c r="A510" s="223">
        <v>509</v>
      </c>
      <c r="B510" s="223" t="s">
        <v>1110</v>
      </c>
      <c r="C510" s="223" t="s">
        <v>1226</v>
      </c>
      <c r="D510" s="223" t="s">
        <v>1222</v>
      </c>
      <c r="E510" s="223" t="s">
        <v>21</v>
      </c>
      <c r="F510" s="223" t="s">
        <v>1093</v>
      </c>
      <c r="G510" s="223" t="s">
        <v>1219</v>
      </c>
    </row>
    <row r="511" spans="1:7" x14ac:dyDescent="0.3">
      <c r="A511" s="223">
        <v>510</v>
      </c>
      <c r="B511" s="223" t="s">
        <v>1110</v>
      </c>
      <c r="C511" s="223" t="s">
        <v>1226</v>
      </c>
      <c r="D511" s="223" t="s">
        <v>1222</v>
      </c>
      <c r="E511" s="223" t="s">
        <v>21</v>
      </c>
      <c r="F511" s="223" t="s">
        <v>27</v>
      </c>
      <c r="G511" s="223" t="s">
        <v>1117</v>
      </c>
    </row>
    <row r="512" spans="1:7" x14ac:dyDescent="0.3">
      <c r="A512" s="223">
        <v>511</v>
      </c>
      <c r="B512" s="223" t="s">
        <v>1110</v>
      </c>
      <c r="C512" s="223" t="s">
        <v>1226</v>
      </c>
      <c r="D512" s="223" t="s">
        <v>1222</v>
      </c>
      <c r="E512" s="223" t="s">
        <v>21</v>
      </c>
      <c r="F512" s="223" t="s">
        <v>1096</v>
      </c>
      <c r="G512" s="223" t="s">
        <v>1200</v>
      </c>
    </row>
    <row r="513" spans="1:7" x14ac:dyDescent="0.3">
      <c r="A513" s="223">
        <v>512</v>
      </c>
      <c r="B513" s="223" t="s">
        <v>1110</v>
      </c>
      <c r="C513" s="223" t="s">
        <v>1226</v>
      </c>
      <c r="D513" s="223" t="s">
        <v>1222</v>
      </c>
      <c r="E513" s="223" t="s">
        <v>21</v>
      </c>
      <c r="F513" s="223" t="s">
        <v>1090</v>
      </c>
      <c r="G513" s="223" t="s">
        <v>1219</v>
      </c>
    </row>
    <row r="514" spans="1:7" x14ac:dyDescent="0.3">
      <c r="A514" s="223">
        <v>513</v>
      </c>
      <c r="B514" s="223" t="s">
        <v>1110</v>
      </c>
      <c r="C514" s="223" t="s">
        <v>1226</v>
      </c>
      <c r="D514" s="223" t="s">
        <v>1223</v>
      </c>
      <c r="E514" s="223" t="s">
        <v>1087</v>
      </c>
      <c r="F514" s="223" t="s">
        <v>1093</v>
      </c>
      <c r="G514" s="223" t="s">
        <v>1219</v>
      </c>
    </row>
    <row r="515" spans="1:7" x14ac:dyDescent="0.3">
      <c r="A515" s="223">
        <v>514</v>
      </c>
      <c r="B515" s="223" t="s">
        <v>1110</v>
      </c>
      <c r="C515" s="223" t="s">
        <v>1226</v>
      </c>
      <c r="D515" s="223" t="s">
        <v>1223</v>
      </c>
      <c r="E515" s="223" t="s">
        <v>1087</v>
      </c>
      <c r="F515" s="223" t="s">
        <v>27</v>
      </c>
      <c r="G515" s="223" t="s">
        <v>1219</v>
      </c>
    </row>
    <row r="516" spans="1:7" x14ac:dyDescent="0.3">
      <c r="A516" s="223">
        <v>515</v>
      </c>
      <c r="B516" s="223" t="s">
        <v>1110</v>
      </c>
      <c r="C516" s="223" t="s">
        <v>1226</v>
      </c>
      <c r="D516" s="223" t="s">
        <v>1223</v>
      </c>
      <c r="E516" s="223" t="s">
        <v>1087</v>
      </c>
      <c r="F516" s="223" t="s">
        <v>1096</v>
      </c>
      <c r="G516" s="223" t="s">
        <v>1122</v>
      </c>
    </row>
    <row r="517" spans="1:7" x14ac:dyDescent="0.3">
      <c r="A517" s="223">
        <v>516</v>
      </c>
      <c r="B517" s="223" t="s">
        <v>1110</v>
      </c>
      <c r="C517" s="223" t="s">
        <v>1226</v>
      </c>
      <c r="D517" s="223" t="s">
        <v>1223</v>
      </c>
      <c r="E517" s="223" t="s">
        <v>1087</v>
      </c>
      <c r="F517" s="223" t="s">
        <v>1090</v>
      </c>
      <c r="G517" s="223" t="s">
        <v>1114</v>
      </c>
    </row>
    <row r="518" spans="1:7" x14ac:dyDescent="0.3">
      <c r="A518" s="223">
        <v>517</v>
      </c>
      <c r="B518" s="223" t="s">
        <v>1110</v>
      </c>
      <c r="C518" s="223" t="s">
        <v>1226</v>
      </c>
      <c r="D518" s="223" t="s">
        <v>1223</v>
      </c>
      <c r="E518" s="223" t="s">
        <v>21</v>
      </c>
      <c r="F518" s="223" t="s">
        <v>1093</v>
      </c>
      <c r="G518" s="223" t="s">
        <v>1219</v>
      </c>
    </row>
    <row r="519" spans="1:7" x14ac:dyDescent="0.3">
      <c r="A519" s="223">
        <v>518</v>
      </c>
      <c r="B519" s="223" t="s">
        <v>1110</v>
      </c>
      <c r="C519" s="223" t="s">
        <v>1226</v>
      </c>
      <c r="D519" s="223" t="s">
        <v>1223</v>
      </c>
      <c r="E519" s="223" t="s">
        <v>21</v>
      </c>
      <c r="F519" s="223" t="s">
        <v>27</v>
      </c>
      <c r="G519" s="223" t="s">
        <v>1219</v>
      </c>
    </row>
    <row r="520" spans="1:7" x14ac:dyDescent="0.3">
      <c r="A520" s="223">
        <v>519</v>
      </c>
      <c r="B520" s="223" t="s">
        <v>1110</v>
      </c>
      <c r="C520" s="223" t="s">
        <v>1226</v>
      </c>
      <c r="D520" s="223" t="s">
        <v>1223</v>
      </c>
      <c r="E520" s="223" t="s">
        <v>21</v>
      </c>
      <c r="F520" s="223" t="s">
        <v>1096</v>
      </c>
      <c r="G520" s="223" t="s">
        <v>1119</v>
      </c>
    </row>
    <row r="521" spans="1:7" x14ac:dyDescent="0.3">
      <c r="A521" s="223">
        <v>520</v>
      </c>
      <c r="B521" s="223" t="s">
        <v>1110</v>
      </c>
      <c r="C521" s="223" t="s">
        <v>1226</v>
      </c>
      <c r="D521" s="223" t="s">
        <v>1223</v>
      </c>
      <c r="E521" s="223" t="s">
        <v>21</v>
      </c>
      <c r="F521" s="223" t="s">
        <v>1090</v>
      </c>
      <c r="G521" s="223" t="s">
        <v>1113</v>
      </c>
    </row>
    <row r="522" spans="1:7" x14ac:dyDescent="0.3">
      <c r="A522" s="223">
        <v>521</v>
      </c>
      <c r="B522" s="223" t="s">
        <v>1110</v>
      </c>
      <c r="C522" s="223" t="s">
        <v>1226</v>
      </c>
      <c r="D522" s="223" t="s">
        <v>12</v>
      </c>
      <c r="E522" s="223" t="s">
        <v>1087</v>
      </c>
      <c r="F522" s="223" t="s">
        <v>1093</v>
      </c>
      <c r="G522" s="223" t="s">
        <v>1219</v>
      </c>
    </row>
    <row r="523" spans="1:7" x14ac:dyDescent="0.3">
      <c r="A523" s="223">
        <v>522</v>
      </c>
      <c r="B523" s="223" t="s">
        <v>1110</v>
      </c>
      <c r="C523" s="223" t="s">
        <v>1226</v>
      </c>
      <c r="D523" s="223" t="s">
        <v>12</v>
      </c>
      <c r="E523" s="223" t="s">
        <v>1087</v>
      </c>
      <c r="F523" s="223" t="s">
        <v>27</v>
      </c>
      <c r="G523" s="223" t="s">
        <v>1219</v>
      </c>
    </row>
    <row r="524" spans="1:7" x14ac:dyDescent="0.3">
      <c r="A524" s="223">
        <v>523</v>
      </c>
      <c r="B524" s="223" t="s">
        <v>1110</v>
      </c>
      <c r="C524" s="223" t="s">
        <v>1226</v>
      </c>
      <c r="D524" s="223" t="s">
        <v>12</v>
      </c>
      <c r="E524" s="223" t="s">
        <v>1087</v>
      </c>
      <c r="F524" s="223" t="s">
        <v>1096</v>
      </c>
      <c r="G524" s="223" t="s">
        <v>1122</v>
      </c>
    </row>
    <row r="525" spans="1:7" x14ac:dyDescent="0.3">
      <c r="A525" s="223">
        <v>524</v>
      </c>
      <c r="B525" s="223" t="s">
        <v>1110</v>
      </c>
      <c r="C525" s="223" t="s">
        <v>1226</v>
      </c>
      <c r="D525" s="223" t="s">
        <v>12</v>
      </c>
      <c r="E525" s="223" t="s">
        <v>1087</v>
      </c>
      <c r="F525" s="223" t="s">
        <v>1090</v>
      </c>
      <c r="G525" s="223" t="s">
        <v>1114</v>
      </c>
    </row>
    <row r="526" spans="1:7" x14ac:dyDescent="0.3">
      <c r="A526" s="223">
        <v>525</v>
      </c>
      <c r="B526" s="223" t="s">
        <v>1110</v>
      </c>
      <c r="C526" s="223" t="s">
        <v>1226</v>
      </c>
      <c r="D526" s="223" t="s">
        <v>12</v>
      </c>
      <c r="E526" s="223" t="s">
        <v>21</v>
      </c>
      <c r="F526" s="223" t="s">
        <v>1093</v>
      </c>
      <c r="G526" s="223" t="s">
        <v>1219</v>
      </c>
    </row>
    <row r="527" spans="1:7" x14ac:dyDescent="0.3">
      <c r="A527" s="223">
        <v>526</v>
      </c>
      <c r="B527" s="223" t="s">
        <v>1110</v>
      </c>
      <c r="C527" s="223" t="s">
        <v>1226</v>
      </c>
      <c r="D527" s="223" t="s">
        <v>12</v>
      </c>
      <c r="E527" s="223" t="s">
        <v>21</v>
      </c>
      <c r="F527" s="223" t="s">
        <v>27</v>
      </c>
      <c r="G527" s="223" t="s">
        <v>1219</v>
      </c>
    </row>
    <row r="528" spans="1:7" x14ac:dyDescent="0.3">
      <c r="A528" s="223">
        <v>527</v>
      </c>
      <c r="B528" s="223" t="s">
        <v>1110</v>
      </c>
      <c r="C528" s="223" t="s">
        <v>1226</v>
      </c>
      <c r="D528" s="223" t="s">
        <v>12</v>
      </c>
      <c r="E528" s="223" t="s">
        <v>21</v>
      </c>
      <c r="F528" s="223" t="s">
        <v>1096</v>
      </c>
      <c r="G528" s="223" t="s">
        <v>1119</v>
      </c>
    </row>
    <row r="529" spans="1:7" x14ac:dyDescent="0.3">
      <c r="A529" s="223">
        <v>528</v>
      </c>
      <c r="B529" s="223" t="s">
        <v>1110</v>
      </c>
      <c r="C529" s="223" t="s">
        <v>1226</v>
      </c>
      <c r="D529" s="223" t="s">
        <v>12</v>
      </c>
      <c r="E529" s="223" t="s">
        <v>21</v>
      </c>
      <c r="F529" s="223" t="s">
        <v>1090</v>
      </c>
      <c r="G529" s="223" t="s">
        <v>1113</v>
      </c>
    </row>
    <row r="530" spans="1:7" x14ac:dyDescent="0.3">
      <c r="A530" s="223">
        <v>529</v>
      </c>
      <c r="B530" s="223" t="s">
        <v>1110</v>
      </c>
      <c r="C530" s="223" t="s">
        <v>9</v>
      </c>
      <c r="D530" s="223" t="s">
        <v>1218</v>
      </c>
      <c r="E530" s="223" t="s">
        <v>1087</v>
      </c>
      <c r="F530" s="223" t="s">
        <v>1093</v>
      </c>
      <c r="G530" s="223" t="s">
        <v>1205</v>
      </c>
    </row>
    <row r="531" spans="1:7" x14ac:dyDescent="0.3">
      <c r="A531" s="223">
        <v>530</v>
      </c>
      <c r="B531" s="223" t="s">
        <v>1110</v>
      </c>
      <c r="C531" s="223" t="s">
        <v>9</v>
      </c>
      <c r="D531" s="223" t="s">
        <v>1218</v>
      </c>
      <c r="E531" s="223" t="s">
        <v>1087</v>
      </c>
      <c r="F531" s="223" t="s">
        <v>27</v>
      </c>
      <c r="G531" s="223" t="s">
        <v>1115</v>
      </c>
    </row>
    <row r="532" spans="1:7" x14ac:dyDescent="0.3">
      <c r="A532" s="223">
        <v>531</v>
      </c>
      <c r="B532" s="223" t="s">
        <v>1110</v>
      </c>
      <c r="C532" s="223" t="s">
        <v>9</v>
      </c>
      <c r="D532" s="223" t="s">
        <v>1218</v>
      </c>
      <c r="E532" s="223" t="s">
        <v>1087</v>
      </c>
      <c r="F532" s="223" t="s">
        <v>1096</v>
      </c>
      <c r="G532" s="223" t="s">
        <v>1118</v>
      </c>
    </row>
    <row r="533" spans="1:7" x14ac:dyDescent="0.3">
      <c r="A533" s="223">
        <v>532</v>
      </c>
      <c r="B533" s="223" t="s">
        <v>1110</v>
      </c>
      <c r="C533" s="223" t="s">
        <v>9</v>
      </c>
      <c r="D533" s="223" t="s">
        <v>1218</v>
      </c>
      <c r="E533" s="223" t="s">
        <v>1087</v>
      </c>
      <c r="F533" s="223" t="s">
        <v>1090</v>
      </c>
      <c r="G533" s="223" t="s">
        <v>1219</v>
      </c>
    </row>
    <row r="534" spans="1:7" x14ac:dyDescent="0.3">
      <c r="A534" s="223">
        <v>533</v>
      </c>
      <c r="B534" s="223" t="s">
        <v>1110</v>
      </c>
      <c r="C534" s="223" t="s">
        <v>9</v>
      </c>
      <c r="D534" s="223" t="s">
        <v>1218</v>
      </c>
      <c r="E534" s="223" t="s">
        <v>21</v>
      </c>
      <c r="F534" s="223" t="s">
        <v>1093</v>
      </c>
      <c r="G534" s="223" t="s">
        <v>1219</v>
      </c>
    </row>
    <row r="535" spans="1:7" x14ac:dyDescent="0.3">
      <c r="A535" s="223">
        <v>534</v>
      </c>
      <c r="B535" s="223" t="s">
        <v>1110</v>
      </c>
      <c r="C535" s="223" t="s">
        <v>9</v>
      </c>
      <c r="D535" s="223" t="s">
        <v>1218</v>
      </c>
      <c r="E535" s="223" t="s">
        <v>21</v>
      </c>
      <c r="F535" s="223" t="s">
        <v>27</v>
      </c>
      <c r="G535" s="223" t="s">
        <v>1117</v>
      </c>
    </row>
    <row r="536" spans="1:7" x14ac:dyDescent="0.3">
      <c r="A536" s="223">
        <v>535</v>
      </c>
      <c r="B536" s="223" t="s">
        <v>1110</v>
      </c>
      <c r="C536" s="223" t="s">
        <v>9</v>
      </c>
      <c r="D536" s="223" t="s">
        <v>1218</v>
      </c>
      <c r="E536" s="223" t="s">
        <v>21</v>
      </c>
      <c r="F536" s="223" t="s">
        <v>1096</v>
      </c>
      <c r="G536" s="223" t="s">
        <v>1200</v>
      </c>
    </row>
    <row r="537" spans="1:7" x14ac:dyDescent="0.3">
      <c r="A537" s="223">
        <v>536</v>
      </c>
      <c r="B537" s="223" t="s">
        <v>1110</v>
      </c>
      <c r="C537" s="223" t="s">
        <v>9</v>
      </c>
      <c r="D537" s="223" t="s">
        <v>1218</v>
      </c>
      <c r="E537" s="223" t="s">
        <v>21</v>
      </c>
      <c r="F537" s="223" t="s">
        <v>1090</v>
      </c>
      <c r="G537" s="223" t="s">
        <v>1219</v>
      </c>
    </row>
    <row r="538" spans="1:7" x14ac:dyDescent="0.3">
      <c r="A538" s="223">
        <v>537</v>
      </c>
      <c r="B538" s="223" t="s">
        <v>1110</v>
      </c>
      <c r="C538" s="223" t="s">
        <v>9</v>
      </c>
      <c r="D538" s="223" t="s">
        <v>1220</v>
      </c>
      <c r="E538" s="223" t="s">
        <v>1087</v>
      </c>
      <c r="F538" s="223" t="s">
        <v>1093</v>
      </c>
      <c r="G538" s="223" t="s">
        <v>1205</v>
      </c>
    </row>
    <row r="539" spans="1:7" x14ac:dyDescent="0.3">
      <c r="A539" s="223">
        <v>538</v>
      </c>
      <c r="B539" s="223" t="s">
        <v>1110</v>
      </c>
      <c r="C539" s="223" t="s">
        <v>9</v>
      </c>
      <c r="D539" s="223" t="s">
        <v>1220</v>
      </c>
      <c r="E539" s="223" t="s">
        <v>1087</v>
      </c>
      <c r="F539" s="223" t="s">
        <v>27</v>
      </c>
      <c r="G539" s="223" t="s">
        <v>1115</v>
      </c>
    </row>
    <row r="540" spans="1:7" x14ac:dyDescent="0.3">
      <c r="A540" s="223">
        <v>539</v>
      </c>
      <c r="B540" s="223" t="s">
        <v>1110</v>
      </c>
      <c r="C540" s="223" t="s">
        <v>9</v>
      </c>
      <c r="D540" s="223" t="s">
        <v>1220</v>
      </c>
      <c r="E540" s="223" t="s">
        <v>1087</v>
      </c>
      <c r="F540" s="223" t="s">
        <v>1096</v>
      </c>
      <c r="G540" s="223" t="s">
        <v>1118</v>
      </c>
    </row>
    <row r="541" spans="1:7" x14ac:dyDescent="0.3">
      <c r="A541" s="223">
        <v>540</v>
      </c>
      <c r="B541" s="223" t="s">
        <v>1110</v>
      </c>
      <c r="C541" s="223" t="s">
        <v>9</v>
      </c>
      <c r="D541" s="223" t="s">
        <v>1220</v>
      </c>
      <c r="E541" s="223" t="s">
        <v>1087</v>
      </c>
      <c r="F541" s="223" t="s">
        <v>1090</v>
      </c>
      <c r="G541" s="223" t="s">
        <v>1219</v>
      </c>
    </row>
    <row r="542" spans="1:7" x14ac:dyDescent="0.3">
      <c r="A542" s="223">
        <v>541</v>
      </c>
      <c r="B542" s="223" t="s">
        <v>1110</v>
      </c>
      <c r="C542" s="223" t="s">
        <v>9</v>
      </c>
      <c r="D542" s="223" t="s">
        <v>1220</v>
      </c>
      <c r="E542" s="223" t="s">
        <v>21</v>
      </c>
      <c r="F542" s="223" t="s">
        <v>1093</v>
      </c>
      <c r="G542" s="223" t="s">
        <v>1219</v>
      </c>
    </row>
    <row r="543" spans="1:7" x14ac:dyDescent="0.3">
      <c r="A543" s="223">
        <v>542</v>
      </c>
      <c r="B543" s="223" t="s">
        <v>1110</v>
      </c>
      <c r="C543" s="223" t="s">
        <v>9</v>
      </c>
      <c r="D543" s="223" t="s">
        <v>1220</v>
      </c>
      <c r="E543" s="223" t="s">
        <v>21</v>
      </c>
      <c r="F543" s="223" t="s">
        <v>27</v>
      </c>
      <c r="G543" s="223" t="s">
        <v>1117</v>
      </c>
    </row>
    <row r="544" spans="1:7" x14ac:dyDescent="0.3">
      <c r="A544" s="223">
        <v>543</v>
      </c>
      <c r="B544" s="223" t="s">
        <v>1110</v>
      </c>
      <c r="C544" s="223" t="s">
        <v>9</v>
      </c>
      <c r="D544" s="223" t="s">
        <v>1220</v>
      </c>
      <c r="E544" s="223" t="s">
        <v>21</v>
      </c>
      <c r="F544" s="223" t="s">
        <v>1096</v>
      </c>
      <c r="G544" s="223" t="s">
        <v>1200</v>
      </c>
    </row>
    <row r="545" spans="1:7" x14ac:dyDescent="0.3">
      <c r="A545" s="223">
        <v>544</v>
      </c>
      <c r="B545" s="223" t="s">
        <v>1110</v>
      </c>
      <c r="C545" s="223" t="s">
        <v>9</v>
      </c>
      <c r="D545" s="223" t="s">
        <v>1220</v>
      </c>
      <c r="E545" s="223" t="s">
        <v>21</v>
      </c>
      <c r="F545" s="223" t="s">
        <v>1090</v>
      </c>
      <c r="G545" s="223" t="s">
        <v>1219</v>
      </c>
    </row>
    <row r="546" spans="1:7" x14ac:dyDescent="0.3">
      <c r="A546" s="223">
        <v>545</v>
      </c>
      <c r="B546" s="223" t="s">
        <v>1110</v>
      </c>
      <c r="C546" s="223" t="s">
        <v>9</v>
      </c>
      <c r="D546" s="223" t="s">
        <v>1221</v>
      </c>
      <c r="E546" s="223" t="s">
        <v>1087</v>
      </c>
      <c r="F546" s="223" t="s">
        <v>1093</v>
      </c>
      <c r="G546" s="223" t="s">
        <v>1205</v>
      </c>
    </row>
    <row r="547" spans="1:7" x14ac:dyDescent="0.3">
      <c r="A547" s="223">
        <v>546</v>
      </c>
      <c r="B547" s="223" t="s">
        <v>1110</v>
      </c>
      <c r="C547" s="223" t="s">
        <v>9</v>
      </c>
      <c r="D547" s="223" t="s">
        <v>1221</v>
      </c>
      <c r="E547" s="223" t="s">
        <v>1087</v>
      </c>
      <c r="F547" s="223" t="s">
        <v>27</v>
      </c>
      <c r="G547" s="223" t="s">
        <v>1115</v>
      </c>
    </row>
    <row r="548" spans="1:7" x14ac:dyDescent="0.3">
      <c r="A548" s="223">
        <v>547</v>
      </c>
      <c r="B548" s="223" t="s">
        <v>1110</v>
      </c>
      <c r="C548" s="223" t="s">
        <v>9</v>
      </c>
      <c r="D548" s="223" t="s">
        <v>1221</v>
      </c>
      <c r="E548" s="223" t="s">
        <v>1087</v>
      </c>
      <c r="F548" s="223" t="s">
        <v>1096</v>
      </c>
      <c r="G548" s="223" t="s">
        <v>1118</v>
      </c>
    </row>
    <row r="549" spans="1:7" x14ac:dyDescent="0.3">
      <c r="A549" s="223">
        <v>548</v>
      </c>
      <c r="B549" s="223" t="s">
        <v>1110</v>
      </c>
      <c r="C549" s="223" t="s">
        <v>9</v>
      </c>
      <c r="D549" s="223" t="s">
        <v>1221</v>
      </c>
      <c r="E549" s="223" t="s">
        <v>1087</v>
      </c>
      <c r="F549" s="223" t="s">
        <v>1090</v>
      </c>
      <c r="G549" s="223" t="s">
        <v>1219</v>
      </c>
    </row>
    <row r="550" spans="1:7" x14ac:dyDescent="0.3">
      <c r="A550" s="223">
        <v>549</v>
      </c>
      <c r="B550" s="223" t="s">
        <v>1110</v>
      </c>
      <c r="C550" s="223" t="s">
        <v>9</v>
      </c>
      <c r="D550" s="223" t="s">
        <v>1221</v>
      </c>
      <c r="E550" s="223" t="s">
        <v>21</v>
      </c>
      <c r="F550" s="223" t="s">
        <v>1093</v>
      </c>
      <c r="G550" s="223" t="s">
        <v>1219</v>
      </c>
    </row>
    <row r="551" spans="1:7" x14ac:dyDescent="0.3">
      <c r="A551" s="223">
        <v>550</v>
      </c>
      <c r="B551" s="223" t="s">
        <v>1110</v>
      </c>
      <c r="C551" s="223" t="s">
        <v>9</v>
      </c>
      <c r="D551" s="223" t="s">
        <v>1221</v>
      </c>
      <c r="E551" s="223" t="s">
        <v>21</v>
      </c>
      <c r="F551" s="223" t="s">
        <v>27</v>
      </c>
      <c r="G551" s="223" t="s">
        <v>1117</v>
      </c>
    </row>
    <row r="552" spans="1:7" x14ac:dyDescent="0.3">
      <c r="A552" s="223">
        <v>551</v>
      </c>
      <c r="B552" s="223" t="s">
        <v>1110</v>
      </c>
      <c r="C552" s="223" t="s">
        <v>9</v>
      </c>
      <c r="D552" s="223" t="s">
        <v>1221</v>
      </c>
      <c r="E552" s="223" t="s">
        <v>21</v>
      </c>
      <c r="F552" s="223" t="s">
        <v>1096</v>
      </c>
      <c r="G552" s="223" t="s">
        <v>1200</v>
      </c>
    </row>
    <row r="553" spans="1:7" x14ac:dyDescent="0.3">
      <c r="A553" s="223">
        <v>552</v>
      </c>
      <c r="B553" s="223" t="s">
        <v>1110</v>
      </c>
      <c r="C553" s="223" t="s">
        <v>9</v>
      </c>
      <c r="D553" s="223" t="s">
        <v>1221</v>
      </c>
      <c r="E553" s="223" t="s">
        <v>21</v>
      </c>
      <c r="F553" s="223" t="s">
        <v>1090</v>
      </c>
      <c r="G553" s="223" t="s">
        <v>1219</v>
      </c>
    </row>
    <row r="554" spans="1:7" x14ac:dyDescent="0.3">
      <c r="A554" s="223">
        <v>553</v>
      </c>
      <c r="B554" s="223" t="s">
        <v>1110</v>
      </c>
      <c r="C554" s="223" t="s">
        <v>9</v>
      </c>
      <c r="D554" s="223" t="s">
        <v>1222</v>
      </c>
      <c r="E554" s="223" t="s">
        <v>1087</v>
      </c>
      <c r="F554" s="223" t="s">
        <v>1093</v>
      </c>
      <c r="G554" s="223" t="s">
        <v>1205</v>
      </c>
    </row>
    <row r="555" spans="1:7" x14ac:dyDescent="0.3">
      <c r="A555" s="223">
        <v>554</v>
      </c>
      <c r="B555" s="223" t="s">
        <v>1110</v>
      </c>
      <c r="C555" s="223" t="s">
        <v>9</v>
      </c>
      <c r="D555" s="223" t="s">
        <v>1222</v>
      </c>
      <c r="E555" s="223" t="s">
        <v>1087</v>
      </c>
      <c r="F555" s="223" t="s">
        <v>27</v>
      </c>
      <c r="G555" s="223" t="s">
        <v>1115</v>
      </c>
    </row>
    <row r="556" spans="1:7" x14ac:dyDescent="0.3">
      <c r="A556" s="223">
        <v>555</v>
      </c>
      <c r="B556" s="223" t="s">
        <v>1110</v>
      </c>
      <c r="C556" s="223" t="s">
        <v>9</v>
      </c>
      <c r="D556" s="223" t="s">
        <v>1222</v>
      </c>
      <c r="E556" s="223" t="s">
        <v>1087</v>
      </c>
      <c r="F556" s="223" t="s">
        <v>1096</v>
      </c>
      <c r="G556" s="223" t="s">
        <v>1118</v>
      </c>
    </row>
    <row r="557" spans="1:7" x14ac:dyDescent="0.3">
      <c r="A557" s="223">
        <v>556</v>
      </c>
      <c r="B557" s="223" t="s">
        <v>1110</v>
      </c>
      <c r="C557" s="223" t="s">
        <v>9</v>
      </c>
      <c r="D557" s="223" t="s">
        <v>1222</v>
      </c>
      <c r="E557" s="223" t="s">
        <v>1087</v>
      </c>
      <c r="F557" s="223" t="s">
        <v>1090</v>
      </c>
      <c r="G557" s="223" t="s">
        <v>1219</v>
      </c>
    </row>
    <row r="558" spans="1:7" x14ac:dyDescent="0.3">
      <c r="A558" s="223">
        <v>557</v>
      </c>
      <c r="B558" s="223" t="s">
        <v>1110</v>
      </c>
      <c r="C558" s="223" t="s">
        <v>9</v>
      </c>
      <c r="D558" s="223" t="s">
        <v>1222</v>
      </c>
      <c r="E558" s="223" t="s">
        <v>21</v>
      </c>
      <c r="F558" s="223" t="s">
        <v>1093</v>
      </c>
      <c r="G558" s="223" t="s">
        <v>1219</v>
      </c>
    </row>
    <row r="559" spans="1:7" x14ac:dyDescent="0.3">
      <c r="A559" s="223">
        <v>558</v>
      </c>
      <c r="B559" s="223" t="s">
        <v>1110</v>
      </c>
      <c r="C559" s="223" t="s">
        <v>9</v>
      </c>
      <c r="D559" s="223" t="s">
        <v>1222</v>
      </c>
      <c r="E559" s="223" t="s">
        <v>21</v>
      </c>
      <c r="F559" s="223" t="s">
        <v>27</v>
      </c>
      <c r="G559" s="223" t="s">
        <v>1117</v>
      </c>
    </row>
    <row r="560" spans="1:7" x14ac:dyDescent="0.3">
      <c r="A560" s="223">
        <v>559</v>
      </c>
      <c r="B560" s="223" t="s">
        <v>1110</v>
      </c>
      <c r="C560" s="223" t="s">
        <v>9</v>
      </c>
      <c r="D560" s="223" t="s">
        <v>1222</v>
      </c>
      <c r="E560" s="223" t="s">
        <v>21</v>
      </c>
      <c r="F560" s="223" t="s">
        <v>1096</v>
      </c>
      <c r="G560" s="223" t="s">
        <v>1200</v>
      </c>
    </row>
    <row r="561" spans="1:7" x14ac:dyDescent="0.3">
      <c r="A561" s="223">
        <v>560</v>
      </c>
      <c r="B561" s="223" t="s">
        <v>1110</v>
      </c>
      <c r="C561" s="223" t="s">
        <v>9</v>
      </c>
      <c r="D561" s="223" t="s">
        <v>1222</v>
      </c>
      <c r="E561" s="223" t="s">
        <v>21</v>
      </c>
      <c r="F561" s="223" t="s">
        <v>1090</v>
      </c>
      <c r="G561" s="223" t="s">
        <v>1219</v>
      </c>
    </row>
    <row r="562" spans="1:7" x14ac:dyDescent="0.3">
      <c r="A562" s="223">
        <v>561</v>
      </c>
      <c r="B562" s="223" t="s">
        <v>1110</v>
      </c>
      <c r="C562" s="223" t="s">
        <v>9</v>
      </c>
      <c r="D562" s="223" t="s">
        <v>1223</v>
      </c>
      <c r="E562" s="223" t="s">
        <v>1087</v>
      </c>
      <c r="F562" s="223" t="s">
        <v>1093</v>
      </c>
      <c r="G562" s="223" t="s">
        <v>1219</v>
      </c>
    </row>
    <row r="563" spans="1:7" x14ac:dyDescent="0.3">
      <c r="A563" s="223">
        <v>562</v>
      </c>
      <c r="B563" s="223" t="s">
        <v>1110</v>
      </c>
      <c r="C563" s="223" t="s">
        <v>9</v>
      </c>
      <c r="D563" s="223" t="s">
        <v>1223</v>
      </c>
      <c r="E563" s="223" t="s">
        <v>1087</v>
      </c>
      <c r="F563" s="223" t="s">
        <v>27</v>
      </c>
      <c r="G563" s="223" t="s">
        <v>1219</v>
      </c>
    </row>
    <row r="564" spans="1:7" x14ac:dyDescent="0.3">
      <c r="A564" s="223">
        <v>563</v>
      </c>
      <c r="B564" s="223" t="s">
        <v>1110</v>
      </c>
      <c r="C564" s="223" t="s">
        <v>9</v>
      </c>
      <c r="D564" s="223" t="s">
        <v>1223</v>
      </c>
      <c r="E564" s="223" t="s">
        <v>1087</v>
      </c>
      <c r="F564" s="223" t="s">
        <v>1096</v>
      </c>
      <c r="G564" s="223" t="s">
        <v>1122</v>
      </c>
    </row>
    <row r="565" spans="1:7" x14ac:dyDescent="0.3">
      <c r="A565" s="223">
        <v>564</v>
      </c>
      <c r="B565" s="223" t="s">
        <v>1110</v>
      </c>
      <c r="C565" s="223" t="s">
        <v>9</v>
      </c>
      <c r="D565" s="223" t="s">
        <v>1223</v>
      </c>
      <c r="E565" s="223" t="s">
        <v>1087</v>
      </c>
      <c r="F565" s="223" t="s">
        <v>1090</v>
      </c>
      <c r="G565" s="223" t="s">
        <v>1114</v>
      </c>
    </row>
    <row r="566" spans="1:7" x14ac:dyDescent="0.3">
      <c r="A566" s="223">
        <v>565</v>
      </c>
      <c r="B566" s="223" t="s">
        <v>1110</v>
      </c>
      <c r="C566" s="223" t="s">
        <v>9</v>
      </c>
      <c r="D566" s="223" t="s">
        <v>1223</v>
      </c>
      <c r="E566" s="223" t="s">
        <v>21</v>
      </c>
      <c r="F566" s="223" t="s">
        <v>1093</v>
      </c>
      <c r="G566" s="223" t="s">
        <v>1219</v>
      </c>
    </row>
    <row r="567" spans="1:7" x14ac:dyDescent="0.3">
      <c r="A567" s="223">
        <v>566</v>
      </c>
      <c r="B567" s="223" t="s">
        <v>1110</v>
      </c>
      <c r="C567" s="223" t="s">
        <v>9</v>
      </c>
      <c r="D567" s="223" t="s">
        <v>1223</v>
      </c>
      <c r="E567" s="223" t="s">
        <v>21</v>
      </c>
      <c r="F567" s="223" t="s">
        <v>27</v>
      </c>
      <c r="G567" s="223" t="s">
        <v>1219</v>
      </c>
    </row>
    <row r="568" spans="1:7" x14ac:dyDescent="0.3">
      <c r="A568" s="223">
        <v>567</v>
      </c>
      <c r="B568" s="223" t="s">
        <v>1110</v>
      </c>
      <c r="C568" s="223" t="s">
        <v>9</v>
      </c>
      <c r="D568" s="223" t="s">
        <v>1223</v>
      </c>
      <c r="E568" s="223" t="s">
        <v>21</v>
      </c>
      <c r="F568" s="223" t="s">
        <v>1096</v>
      </c>
      <c r="G568" s="223" t="s">
        <v>1119</v>
      </c>
    </row>
    <row r="569" spans="1:7" x14ac:dyDescent="0.3">
      <c r="A569" s="223">
        <v>568</v>
      </c>
      <c r="B569" s="223" t="s">
        <v>1110</v>
      </c>
      <c r="C569" s="223" t="s">
        <v>9</v>
      </c>
      <c r="D569" s="223" t="s">
        <v>1223</v>
      </c>
      <c r="E569" s="223" t="s">
        <v>21</v>
      </c>
      <c r="F569" s="223" t="s">
        <v>1090</v>
      </c>
      <c r="G569" s="223" t="s">
        <v>1113</v>
      </c>
    </row>
    <row r="570" spans="1:7" x14ac:dyDescent="0.3">
      <c r="A570" s="223">
        <v>569</v>
      </c>
      <c r="B570" s="223" t="s">
        <v>1110</v>
      </c>
      <c r="C570" s="223" t="s">
        <v>9</v>
      </c>
      <c r="D570" s="223" t="s">
        <v>12</v>
      </c>
      <c r="E570" s="223" t="s">
        <v>1087</v>
      </c>
      <c r="F570" s="223" t="s">
        <v>1093</v>
      </c>
      <c r="G570" s="223" t="s">
        <v>1219</v>
      </c>
    </row>
    <row r="571" spans="1:7" x14ac:dyDescent="0.3">
      <c r="A571" s="223">
        <v>570</v>
      </c>
      <c r="B571" s="223" t="s">
        <v>1110</v>
      </c>
      <c r="C571" s="223" t="s">
        <v>9</v>
      </c>
      <c r="D571" s="223" t="s">
        <v>12</v>
      </c>
      <c r="E571" s="223" t="s">
        <v>1087</v>
      </c>
      <c r="F571" s="223" t="s">
        <v>27</v>
      </c>
      <c r="G571" s="223" t="s">
        <v>1219</v>
      </c>
    </row>
    <row r="572" spans="1:7" x14ac:dyDescent="0.3">
      <c r="A572" s="223">
        <v>571</v>
      </c>
      <c r="B572" s="223" t="s">
        <v>1110</v>
      </c>
      <c r="C572" s="223" t="s">
        <v>9</v>
      </c>
      <c r="D572" s="223" t="s">
        <v>12</v>
      </c>
      <c r="E572" s="223" t="s">
        <v>1087</v>
      </c>
      <c r="F572" s="223" t="s">
        <v>1096</v>
      </c>
      <c r="G572" s="223" t="s">
        <v>1122</v>
      </c>
    </row>
    <row r="573" spans="1:7" x14ac:dyDescent="0.3">
      <c r="A573" s="223">
        <v>572</v>
      </c>
      <c r="B573" s="223" t="s">
        <v>1110</v>
      </c>
      <c r="C573" s="223" t="s">
        <v>9</v>
      </c>
      <c r="D573" s="223" t="s">
        <v>12</v>
      </c>
      <c r="E573" s="223" t="s">
        <v>1087</v>
      </c>
      <c r="F573" s="223" t="s">
        <v>1090</v>
      </c>
      <c r="G573" s="223" t="s">
        <v>1114</v>
      </c>
    </row>
    <row r="574" spans="1:7" x14ac:dyDescent="0.3">
      <c r="A574" s="223">
        <v>573</v>
      </c>
      <c r="B574" s="223" t="s">
        <v>1110</v>
      </c>
      <c r="C574" s="223" t="s">
        <v>9</v>
      </c>
      <c r="D574" s="223" t="s">
        <v>12</v>
      </c>
      <c r="E574" s="223" t="s">
        <v>21</v>
      </c>
      <c r="F574" s="223" t="s">
        <v>1093</v>
      </c>
      <c r="G574" s="223" t="s">
        <v>1219</v>
      </c>
    </row>
    <row r="575" spans="1:7" x14ac:dyDescent="0.3">
      <c r="A575" s="223">
        <v>574</v>
      </c>
      <c r="B575" s="223" t="s">
        <v>1110</v>
      </c>
      <c r="C575" s="223" t="s">
        <v>9</v>
      </c>
      <c r="D575" s="223" t="s">
        <v>12</v>
      </c>
      <c r="E575" s="223" t="s">
        <v>21</v>
      </c>
      <c r="F575" s="223" t="s">
        <v>27</v>
      </c>
      <c r="G575" s="223" t="s">
        <v>1219</v>
      </c>
    </row>
    <row r="576" spans="1:7" x14ac:dyDescent="0.3">
      <c r="A576" s="223">
        <v>575</v>
      </c>
      <c r="B576" s="223" t="s">
        <v>1110</v>
      </c>
      <c r="C576" s="223" t="s">
        <v>9</v>
      </c>
      <c r="D576" s="223" t="s">
        <v>12</v>
      </c>
      <c r="E576" s="223" t="s">
        <v>21</v>
      </c>
      <c r="F576" s="223" t="s">
        <v>1096</v>
      </c>
      <c r="G576" s="223" t="s">
        <v>1119</v>
      </c>
    </row>
    <row r="577" spans="1:7" x14ac:dyDescent="0.3">
      <c r="A577" s="223">
        <v>576</v>
      </c>
      <c r="B577" s="223" t="s">
        <v>1110</v>
      </c>
      <c r="C577" s="223" t="s">
        <v>9</v>
      </c>
      <c r="D577" s="223" t="s">
        <v>12</v>
      </c>
      <c r="E577" s="223" t="s">
        <v>21</v>
      </c>
      <c r="F577" s="223" t="s">
        <v>1090</v>
      </c>
      <c r="G577" s="223" t="s">
        <v>1113</v>
      </c>
    </row>
    <row r="578" spans="1:7" x14ac:dyDescent="0.3">
      <c r="A578" s="223">
        <v>577</v>
      </c>
      <c r="B578" s="223" t="s">
        <v>1110</v>
      </c>
      <c r="C578" s="223" t="s">
        <v>1227</v>
      </c>
      <c r="D578" s="223" t="s">
        <v>1218</v>
      </c>
      <c r="E578" s="223" t="s">
        <v>1087</v>
      </c>
      <c r="F578" s="223" t="s">
        <v>1093</v>
      </c>
      <c r="G578" s="223" t="s">
        <v>1205</v>
      </c>
    </row>
    <row r="579" spans="1:7" x14ac:dyDescent="0.3">
      <c r="A579" s="223">
        <v>578</v>
      </c>
      <c r="B579" s="223" t="s">
        <v>1110</v>
      </c>
      <c r="C579" s="223" t="s">
        <v>1227</v>
      </c>
      <c r="D579" s="223" t="s">
        <v>1218</v>
      </c>
      <c r="E579" s="223" t="s">
        <v>1087</v>
      </c>
      <c r="F579" s="223" t="s">
        <v>27</v>
      </c>
      <c r="G579" s="223" t="s">
        <v>1115</v>
      </c>
    </row>
    <row r="580" spans="1:7" x14ac:dyDescent="0.3">
      <c r="A580" s="223">
        <v>579</v>
      </c>
      <c r="B580" s="223" t="s">
        <v>1110</v>
      </c>
      <c r="C580" s="223" t="s">
        <v>1227</v>
      </c>
      <c r="D580" s="223" t="s">
        <v>1218</v>
      </c>
      <c r="E580" s="223" t="s">
        <v>1087</v>
      </c>
      <c r="F580" s="223" t="s">
        <v>1096</v>
      </c>
      <c r="G580" s="223" t="s">
        <v>1118</v>
      </c>
    </row>
    <row r="581" spans="1:7" x14ac:dyDescent="0.3">
      <c r="A581" s="223">
        <v>580</v>
      </c>
      <c r="B581" s="223" t="s">
        <v>1110</v>
      </c>
      <c r="C581" s="223" t="s">
        <v>1227</v>
      </c>
      <c r="D581" s="223" t="s">
        <v>1218</v>
      </c>
      <c r="E581" s="223" t="s">
        <v>1087</v>
      </c>
      <c r="F581" s="223" t="s">
        <v>1090</v>
      </c>
      <c r="G581" s="223" t="s">
        <v>1219</v>
      </c>
    </row>
    <row r="582" spans="1:7" x14ac:dyDescent="0.3">
      <c r="A582" s="223">
        <v>581</v>
      </c>
      <c r="B582" s="223" t="s">
        <v>1110</v>
      </c>
      <c r="C582" s="223" t="s">
        <v>1227</v>
      </c>
      <c r="D582" s="223" t="s">
        <v>1218</v>
      </c>
      <c r="E582" s="223" t="s">
        <v>21</v>
      </c>
      <c r="F582" s="223" t="s">
        <v>1093</v>
      </c>
      <c r="G582" s="223" t="s">
        <v>1219</v>
      </c>
    </row>
    <row r="583" spans="1:7" x14ac:dyDescent="0.3">
      <c r="A583" s="223">
        <v>582</v>
      </c>
      <c r="B583" s="223" t="s">
        <v>1110</v>
      </c>
      <c r="C583" s="223" t="s">
        <v>1227</v>
      </c>
      <c r="D583" s="223" t="s">
        <v>1218</v>
      </c>
      <c r="E583" s="223" t="s">
        <v>21</v>
      </c>
      <c r="F583" s="223" t="s">
        <v>27</v>
      </c>
      <c r="G583" s="223" t="s">
        <v>1117</v>
      </c>
    </row>
    <row r="584" spans="1:7" x14ac:dyDescent="0.3">
      <c r="A584" s="223">
        <v>583</v>
      </c>
      <c r="B584" s="223" t="s">
        <v>1110</v>
      </c>
      <c r="C584" s="223" t="s">
        <v>1227</v>
      </c>
      <c r="D584" s="223" t="s">
        <v>1218</v>
      </c>
      <c r="E584" s="223" t="s">
        <v>21</v>
      </c>
      <c r="F584" s="223" t="s">
        <v>1096</v>
      </c>
      <c r="G584" s="223" t="s">
        <v>1200</v>
      </c>
    </row>
    <row r="585" spans="1:7" x14ac:dyDescent="0.3">
      <c r="A585" s="223">
        <v>584</v>
      </c>
      <c r="B585" s="223" t="s">
        <v>1110</v>
      </c>
      <c r="C585" s="223" t="s">
        <v>1227</v>
      </c>
      <c r="D585" s="223" t="s">
        <v>1218</v>
      </c>
      <c r="E585" s="223" t="s">
        <v>21</v>
      </c>
      <c r="F585" s="223" t="s">
        <v>1090</v>
      </c>
      <c r="G585" s="223" t="s">
        <v>1219</v>
      </c>
    </row>
    <row r="586" spans="1:7" x14ac:dyDescent="0.3">
      <c r="A586" s="223">
        <v>585</v>
      </c>
      <c r="B586" s="223" t="s">
        <v>1110</v>
      </c>
      <c r="C586" s="223" t="s">
        <v>1227</v>
      </c>
      <c r="D586" s="223" t="s">
        <v>1220</v>
      </c>
      <c r="E586" s="223" t="s">
        <v>1087</v>
      </c>
      <c r="F586" s="223" t="s">
        <v>1093</v>
      </c>
      <c r="G586" s="223" t="s">
        <v>1205</v>
      </c>
    </row>
    <row r="587" spans="1:7" x14ac:dyDescent="0.3">
      <c r="A587" s="223">
        <v>586</v>
      </c>
      <c r="B587" s="223" t="s">
        <v>1110</v>
      </c>
      <c r="C587" s="223" t="s">
        <v>1227</v>
      </c>
      <c r="D587" s="223" t="s">
        <v>1220</v>
      </c>
      <c r="E587" s="223" t="s">
        <v>1087</v>
      </c>
      <c r="F587" s="223" t="s">
        <v>27</v>
      </c>
      <c r="G587" s="223" t="s">
        <v>1115</v>
      </c>
    </row>
    <row r="588" spans="1:7" x14ac:dyDescent="0.3">
      <c r="A588" s="223">
        <v>587</v>
      </c>
      <c r="B588" s="223" t="s">
        <v>1110</v>
      </c>
      <c r="C588" s="223" t="s">
        <v>1227</v>
      </c>
      <c r="D588" s="223" t="s">
        <v>1220</v>
      </c>
      <c r="E588" s="223" t="s">
        <v>1087</v>
      </c>
      <c r="F588" s="223" t="s">
        <v>1096</v>
      </c>
      <c r="G588" s="223" t="s">
        <v>1118</v>
      </c>
    </row>
    <row r="589" spans="1:7" x14ac:dyDescent="0.3">
      <c r="A589" s="223">
        <v>588</v>
      </c>
      <c r="B589" s="223" t="s">
        <v>1110</v>
      </c>
      <c r="C589" s="223" t="s">
        <v>1227</v>
      </c>
      <c r="D589" s="223" t="s">
        <v>1220</v>
      </c>
      <c r="E589" s="223" t="s">
        <v>1087</v>
      </c>
      <c r="F589" s="223" t="s">
        <v>1090</v>
      </c>
      <c r="G589" s="223" t="s">
        <v>1219</v>
      </c>
    </row>
    <row r="590" spans="1:7" x14ac:dyDescent="0.3">
      <c r="A590" s="223">
        <v>589</v>
      </c>
      <c r="B590" s="223" t="s">
        <v>1110</v>
      </c>
      <c r="C590" s="223" t="s">
        <v>1227</v>
      </c>
      <c r="D590" s="223" t="s">
        <v>1220</v>
      </c>
      <c r="E590" s="223" t="s">
        <v>21</v>
      </c>
      <c r="F590" s="223" t="s">
        <v>1093</v>
      </c>
      <c r="G590" s="223" t="s">
        <v>1219</v>
      </c>
    </row>
    <row r="591" spans="1:7" x14ac:dyDescent="0.3">
      <c r="A591" s="223">
        <v>590</v>
      </c>
      <c r="B591" s="223" t="s">
        <v>1110</v>
      </c>
      <c r="C591" s="223" t="s">
        <v>1227</v>
      </c>
      <c r="D591" s="223" t="s">
        <v>1220</v>
      </c>
      <c r="E591" s="223" t="s">
        <v>21</v>
      </c>
      <c r="F591" s="223" t="s">
        <v>27</v>
      </c>
      <c r="G591" s="223" t="s">
        <v>1117</v>
      </c>
    </row>
    <row r="592" spans="1:7" x14ac:dyDescent="0.3">
      <c r="A592" s="223">
        <v>591</v>
      </c>
      <c r="B592" s="223" t="s">
        <v>1110</v>
      </c>
      <c r="C592" s="223" t="s">
        <v>1227</v>
      </c>
      <c r="D592" s="223" t="s">
        <v>1220</v>
      </c>
      <c r="E592" s="223" t="s">
        <v>21</v>
      </c>
      <c r="F592" s="223" t="s">
        <v>1096</v>
      </c>
      <c r="G592" s="223" t="s">
        <v>1200</v>
      </c>
    </row>
    <row r="593" spans="1:7" x14ac:dyDescent="0.3">
      <c r="A593" s="223">
        <v>592</v>
      </c>
      <c r="B593" s="223" t="s">
        <v>1110</v>
      </c>
      <c r="C593" s="223" t="s">
        <v>1227</v>
      </c>
      <c r="D593" s="223" t="s">
        <v>1220</v>
      </c>
      <c r="E593" s="223" t="s">
        <v>21</v>
      </c>
      <c r="F593" s="223" t="s">
        <v>1090</v>
      </c>
      <c r="G593" s="223" t="s">
        <v>1219</v>
      </c>
    </row>
    <row r="594" spans="1:7" x14ac:dyDescent="0.3">
      <c r="A594" s="223">
        <v>593</v>
      </c>
      <c r="B594" s="223" t="s">
        <v>1110</v>
      </c>
      <c r="C594" s="223" t="s">
        <v>1227</v>
      </c>
      <c r="D594" s="223" t="s">
        <v>1221</v>
      </c>
      <c r="E594" s="223" t="s">
        <v>1087</v>
      </c>
      <c r="F594" s="223" t="s">
        <v>1093</v>
      </c>
      <c r="G594" s="223" t="s">
        <v>1205</v>
      </c>
    </row>
    <row r="595" spans="1:7" x14ac:dyDescent="0.3">
      <c r="A595" s="223">
        <v>594</v>
      </c>
      <c r="B595" s="223" t="s">
        <v>1110</v>
      </c>
      <c r="C595" s="223" t="s">
        <v>1227</v>
      </c>
      <c r="D595" s="223" t="s">
        <v>1221</v>
      </c>
      <c r="E595" s="223" t="s">
        <v>1087</v>
      </c>
      <c r="F595" s="223" t="s">
        <v>27</v>
      </c>
      <c r="G595" s="223" t="s">
        <v>1115</v>
      </c>
    </row>
    <row r="596" spans="1:7" x14ac:dyDescent="0.3">
      <c r="A596" s="223">
        <v>595</v>
      </c>
      <c r="B596" s="223" t="s">
        <v>1110</v>
      </c>
      <c r="C596" s="223" t="s">
        <v>1227</v>
      </c>
      <c r="D596" s="223" t="s">
        <v>1221</v>
      </c>
      <c r="E596" s="223" t="s">
        <v>1087</v>
      </c>
      <c r="F596" s="223" t="s">
        <v>1096</v>
      </c>
      <c r="G596" s="223" t="s">
        <v>1118</v>
      </c>
    </row>
    <row r="597" spans="1:7" x14ac:dyDescent="0.3">
      <c r="A597" s="223">
        <v>596</v>
      </c>
      <c r="B597" s="223" t="s">
        <v>1110</v>
      </c>
      <c r="C597" s="223" t="s">
        <v>1227</v>
      </c>
      <c r="D597" s="223" t="s">
        <v>1221</v>
      </c>
      <c r="E597" s="223" t="s">
        <v>1087</v>
      </c>
      <c r="F597" s="223" t="s">
        <v>1090</v>
      </c>
      <c r="G597" s="223" t="s">
        <v>1219</v>
      </c>
    </row>
    <row r="598" spans="1:7" x14ac:dyDescent="0.3">
      <c r="A598" s="223">
        <v>597</v>
      </c>
      <c r="B598" s="223" t="s">
        <v>1110</v>
      </c>
      <c r="C598" s="223" t="s">
        <v>1227</v>
      </c>
      <c r="D598" s="223" t="s">
        <v>1221</v>
      </c>
      <c r="E598" s="223" t="s">
        <v>21</v>
      </c>
      <c r="F598" s="223" t="s">
        <v>1093</v>
      </c>
      <c r="G598" s="223" t="s">
        <v>1219</v>
      </c>
    </row>
    <row r="599" spans="1:7" x14ac:dyDescent="0.3">
      <c r="A599" s="223">
        <v>598</v>
      </c>
      <c r="B599" s="223" t="s">
        <v>1110</v>
      </c>
      <c r="C599" s="223" t="s">
        <v>1227</v>
      </c>
      <c r="D599" s="223" t="s">
        <v>1221</v>
      </c>
      <c r="E599" s="223" t="s">
        <v>21</v>
      </c>
      <c r="F599" s="223" t="s">
        <v>27</v>
      </c>
      <c r="G599" s="223" t="s">
        <v>1117</v>
      </c>
    </row>
    <row r="600" spans="1:7" x14ac:dyDescent="0.3">
      <c r="A600" s="223">
        <v>599</v>
      </c>
      <c r="B600" s="223" t="s">
        <v>1110</v>
      </c>
      <c r="C600" s="223" t="s">
        <v>1227</v>
      </c>
      <c r="D600" s="223" t="s">
        <v>1221</v>
      </c>
      <c r="E600" s="223" t="s">
        <v>21</v>
      </c>
      <c r="F600" s="223" t="s">
        <v>1096</v>
      </c>
      <c r="G600" s="223" t="s">
        <v>1200</v>
      </c>
    </row>
    <row r="601" spans="1:7" x14ac:dyDescent="0.3">
      <c r="A601" s="223">
        <v>600</v>
      </c>
      <c r="B601" s="223" t="s">
        <v>1110</v>
      </c>
      <c r="C601" s="223" t="s">
        <v>1227</v>
      </c>
      <c r="D601" s="223" t="s">
        <v>1221</v>
      </c>
      <c r="E601" s="223" t="s">
        <v>21</v>
      </c>
      <c r="F601" s="223" t="s">
        <v>1090</v>
      </c>
      <c r="G601" s="223" t="s">
        <v>1219</v>
      </c>
    </row>
    <row r="602" spans="1:7" x14ac:dyDescent="0.3">
      <c r="A602" s="223">
        <v>601</v>
      </c>
      <c r="B602" s="223" t="s">
        <v>1110</v>
      </c>
      <c r="C602" s="223" t="s">
        <v>1227</v>
      </c>
      <c r="D602" s="223" t="s">
        <v>1222</v>
      </c>
      <c r="E602" s="223" t="s">
        <v>1087</v>
      </c>
      <c r="F602" s="223" t="s">
        <v>1093</v>
      </c>
      <c r="G602" s="223" t="s">
        <v>1205</v>
      </c>
    </row>
    <row r="603" spans="1:7" x14ac:dyDescent="0.3">
      <c r="A603" s="223">
        <v>602</v>
      </c>
      <c r="B603" s="223" t="s">
        <v>1110</v>
      </c>
      <c r="C603" s="223" t="s">
        <v>1227</v>
      </c>
      <c r="D603" s="223" t="s">
        <v>1222</v>
      </c>
      <c r="E603" s="223" t="s">
        <v>1087</v>
      </c>
      <c r="F603" s="223" t="s">
        <v>27</v>
      </c>
      <c r="G603" s="223" t="s">
        <v>1115</v>
      </c>
    </row>
    <row r="604" spans="1:7" x14ac:dyDescent="0.3">
      <c r="A604" s="223">
        <v>603</v>
      </c>
      <c r="B604" s="223" t="s">
        <v>1110</v>
      </c>
      <c r="C604" s="223" t="s">
        <v>1227</v>
      </c>
      <c r="D604" s="223" t="s">
        <v>1222</v>
      </c>
      <c r="E604" s="223" t="s">
        <v>1087</v>
      </c>
      <c r="F604" s="223" t="s">
        <v>1096</v>
      </c>
      <c r="G604" s="223" t="s">
        <v>1118</v>
      </c>
    </row>
    <row r="605" spans="1:7" x14ac:dyDescent="0.3">
      <c r="A605" s="223">
        <v>604</v>
      </c>
      <c r="B605" s="223" t="s">
        <v>1110</v>
      </c>
      <c r="C605" s="223" t="s">
        <v>1227</v>
      </c>
      <c r="D605" s="223" t="s">
        <v>1222</v>
      </c>
      <c r="E605" s="223" t="s">
        <v>1087</v>
      </c>
      <c r="F605" s="223" t="s">
        <v>1090</v>
      </c>
      <c r="G605" s="223" t="s">
        <v>1219</v>
      </c>
    </row>
    <row r="606" spans="1:7" x14ac:dyDescent="0.3">
      <c r="A606" s="223">
        <v>605</v>
      </c>
      <c r="B606" s="223" t="s">
        <v>1110</v>
      </c>
      <c r="C606" s="223" t="s">
        <v>1227</v>
      </c>
      <c r="D606" s="223" t="s">
        <v>1222</v>
      </c>
      <c r="E606" s="223" t="s">
        <v>21</v>
      </c>
      <c r="F606" s="223" t="s">
        <v>1093</v>
      </c>
      <c r="G606" s="223" t="s">
        <v>1219</v>
      </c>
    </row>
    <row r="607" spans="1:7" x14ac:dyDescent="0.3">
      <c r="A607" s="223">
        <v>606</v>
      </c>
      <c r="B607" s="223" t="s">
        <v>1110</v>
      </c>
      <c r="C607" s="223" t="s">
        <v>1227</v>
      </c>
      <c r="D607" s="223" t="s">
        <v>1222</v>
      </c>
      <c r="E607" s="223" t="s">
        <v>21</v>
      </c>
      <c r="F607" s="223" t="s">
        <v>27</v>
      </c>
      <c r="G607" s="223" t="s">
        <v>1117</v>
      </c>
    </row>
    <row r="608" spans="1:7" x14ac:dyDescent="0.3">
      <c r="A608" s="223">
        <v>607</v>
      </c>
      <c r="B608" s="223" t="s">
        <v>1110</v>
      </c>
      <c r="C608" s="223" t="s">
        <v>1227</v>
      </c>
      <c r="D608" s="223" t="s">
        <v>1222</v>
      </c>
      <c r="E608" s="223" t="s">
        <v>21</v>
      </c>
      <c r="F608" s="223" t="s">
        <v>1096</v>
      </c>
      <c r="G608" s="223" t="s">
        <v>1200</v>
      </c>
    </row>
    <row r="609" spans="1:7" x14ac:dyDescent="0.3">
      <c r="A609" s="223">
        <v>608</v>
      </c>
      <c r="B609" s="223" t="s">
        <v>1110</v>
      </c>
      <c r="C609" s="223" t="s">
        <v>1227</v>
      </c>
      <c r="D609" s="223" t="s">
        <v>1222</v>
      </c>
      <c r="E609" s="223" t="s">
        <v>21</v>
      </c>
      <c r="F609" s="223" t="s">
        <v>1090</v>
      </c>
      <c r="G609" s="223" t="s">
        <v>1219</v>
      </c>
    </row>
    <row r="610" spans="1:7" x14ac:dyDescent="0.3">
      <c r="A610" s="223">
        <v>609</v>
      </c>
      <c r="B610" s="223" t="s">
        <v>1110</v>
      </c>
      <c r="C610" s="223" t="s">
        <v>1227</v>
      </c>
      <c r="D610" s="223" t="s">
        <v>1223</v>
      </c>
      <c r="E610" s="223" t="s">
        <v>1087</v>
      </c>
      <c r="F610" s="223" t="s">
        <v>1093</v>
      </c>
      <c r="G610" s="223" t="s">
        <v>1219</v>
      </c>
    </row>
    <row r="611" spans="1:7" x14ac:dyDescent="0.3">
      <c r="A611" s="223">
        <v>610</v>
      </c>
      <c r="B611" s="223" t="s">
        <v>1110</v>
      </c>
      <c r="C611" s="223" t="s">
        <v>1227</v>
      </c>
      <c r="D611" s="223" t="s">
        <v>1223</v>
      </c>
      <c r="E611" s="223" t="s">
        <v>1087</v>
      </c>
      <c r="F611" s="223" t="s">
        <v>27</v>
      </c>
      <c r="G611" s="223" t="s">
        <v>1219</v>
      </c>
    </row>
    <row r="612" spans="1:7" x14ac:dyDescent="0.3">
      <c r="A612" s="223">
        <v>611</v>
      </c>
      <c r="B612" s="223" t="s">
        <v>1110</v>
      </c>
      <c r="C612" s="223" t="s">
        <v>1227</v>
      </c>
      <c r="D612" s="223" t="s">
        <v>1223</v>
      </c>
      <c r="E612" s="223" t="s">
        <v>1087</v>
      </c>
      <c r="F612" s="223" t="s">
        <v>1096</v>
      </c>
      <c r="G612" s="223" t="s">
        <v>1122</v>
      </c>
    </row>
    <row r="613" spans="1:7" x14ac:dyDescent="0.3">
      <c r="A613" s="223">
        <v>612</v>
      </c>
      <c r="B613" s="223" t="s">
        <v>1110</v>
      </c>
      <c r="C613" s="223" t="s">
        <v>1227</v>
      </c>
      <c r="D613" s="223" t="s">
        <v>1223</v>
      </c>
      <c r="E613" s="223" t="s">
        <v>1087</v>
      </c>
      <c r="F613" s="223" t="s">
        <v>1090</v>
      </c>
      <c r="G613" s="223" t="s">
        <v>1114</v>
      </c>
    </row>
    <row r="614" spans="1:7" x14ac:dyDescent="0.3">
      <c r="A614" s="223">
        <v>613</v>
      </c>
      <c r="B614" s="223" t="s">
        <v>1110</v>
      </c>
      <c r="C614" s="223" t="s">
        <v>1227</v>
      </c>
      <c r="D614" s="223" t="s">
        <v>1223</v>
      </c>
      <c r="E614" s="223" t="s">
        <v>21</v>
      </c>
      <c r="F614" s="223" t="s">
        <v>1093</v>
      </c>
      <c r="G614" s="223" t="s">
        <v>1219</v>
      </c>
    </row>
    <row r="615" spans="1:7" x14ac:dyDescent="0.3">
      <c r="A615" s="223">
        <v>614</v>
      </c>
      <c r="B615" s="223" t="s">
        <v>1110</v>
      </c>
      <c r="C615" s="223" t="s">
        <v>1227</v>
      </c>
      <c r="D615" s="223" t="s">
        <v>1223</v>
      </c>
      <c r="E615" s="223" t="s">
        <v>21</v>
      </c>
      <c r="F615" s="223" t="s">
        <v>27</v>
      </c>
      <c r="G615" s="223" t="s">
        <v>1219</v>
      </c>
    </row>
    <row r="616" spans="1:7" x14ac:dyDescent="0.3">
      <c r="A616" s="223">
        <v>615</v>
      </c>
      <c r="B616" s="223" t="s">
        <v>1110</v>
      </c>
      <c r="C616" s="223" t="s">
        <v>1227</v>
      </c>
      <c r="D616" s="223" t="s">
        <v>1223</v>
      </c>
      <c r="E616" s="223" t="s">
        <v>21</v>
      </c>
      <c r="F616" s="223" t="s">
        <v>1096</v>
      </c>
      <c r="G616" s="223" t="s">
        <v>1119</v>
      </c>
    </row>
    <row r="617" spans="1:7" x14ac:dyDescent="0.3">
      <c r="A617" s="223">
        <v>616</v>
      </c>
      <c r="B617" s="223" t="s">
        <v>1110</v>
      </c>
      <c r="C617" s="223" t="s">
        <v>1227</v>
      </c>
      <c r="D617" s="223" t="s">
        <v>1223</v>
      </c>
      <c r="E617" s="223" t="s">
        <v>21</v>
      </c>
      <c r="F617" s="223" t="s">
        <v>1090</v>
      </c>
      <c r="G617" s="223" t="s">
        <v>1113</v>
      </c>
    </row>
    <row r="618" spans="1:7" x14ac:dyDescent="0.3">
      <c r="A618" s="223">
        <v>617</v>
      </c>
      <c r="B618" s="223" t="s">
        <v>1110</v>
      </c>
      <c r="C618" s="223" t="s">
        <v>1227</v>
      </c>
      <c r="D618" s="223" t="s">
        <v>12</v>
      </c>
      <c r="E618" s="223" t="s">
        <v>1087</v>
      </c>
      <c r="F618" s="223" t="s">
        <v>1093</v>
      </c>
      <c r="G618" s="223" t="s">
        <v>1219</v>
      </c>
    </row>
    <row r="619" spans="1:7" x14ac:dyDescent="0.3">
      <c r="A619" s="223">
        <v>618</v>
      </c>
      <c r="B619" s="223" t="s">
        <v>1110</v>
      </c>
      <c r="C619" s="223" t="s">
        <v>1227</v>
      </c>
      <c r="D619" s="223" t="s">
        <v>12</v>
      </c>
      <c r="E619" s="223" t="s">
        <v>1087</v>
      </c>
      <c r="F619" s="223" t="s">
        <v>27</v>
      </c>
      <c r="G619" s="223" t="s">
        <v>1219</v>
      </c>
    </row>
    <row r="620" spans="1:7" x14ac:dyDescent="0.3">
      <c r="A620" s="223">
        <v>619</v>
      </c>
      <c r="B620" s="223" t="s">
        <v>1110</v>
      </c>
      <c r="C620" s="223" t="s">
        <v>1227</v>
      </c>
      <c r="D620" s="223" t="s">
        <v>12</v>
      </c>
      <c r="E620" s="223" t="s">
        <v>1087</v>
      </c>
      <c r="F620" s="223" t="s">
        <v>1096</v>
      </c>
      <c r="G620" s="223" t="s">
        <v>1122</v>
      </c>
    </row>
    <row r="621" spans="1:7" x14ac:dyDescent="0.3">
      <c r="A621" s="223">
        <v>620</v>
      </c>
      <c r="B621" s="223" t="s">
        <v>1110</v>
      </c>
      <c r="C621" s="223" t="s">
        <v>1227</v>
      </c>
      <c r="D621" s="223" t="s">
        <v>12</v>
      </c>
      <c r="E621" s="223" t="s">
        <v>1087</v>
      </c>
      <c r="F621" s="223" t="s">
        <v>1090</v>
      </c>
      <c r="G621" s="223" t="s">
        <v>1114</v>
      </c>
    </row>
    <row r="622" spans="1:7" x14ac:dyDescent="0.3">
      <c r="A622" s="223">
        <v>621</v>
      </c>
      <c r="B622" s="223" t="s">
        <v>1110</v>
      </c>
      <c r="C622" s="223" t="s">
        <v>1227</v>
      </c>
      <c r="D622" s="223" t="s">
        <v>12</v>
      </c>
      <c r="E622" s="223" t="s">
        <v>21</v>
      </c>
      <c r="F622" s="223" t="s">
        <v>1093</v>
      </c>
      <c r="G622" s="223" t="s">
        <v>1219</v>
      </c>
    </row>
    <row r="623" spans="1:7" x14ac:dyDescent="0.3">
      <c r="A623" s="223">
        <v>622</v>
      </c>
      <c r="B623" s="223" t="s">
        <v>1110</v>
      </c>
      <c r="C623" s="223" t="s">
        <v>1227</v>
      </c>
      <c r="D623" s="223" t="s">
        <v>12</v>
      </c>
      <c r="E623" s="223" t="s">
        <v>21</v>
      </c>
      <c r="F623" s="223" t="s">
        <v>27</v>
      </c>
      <c r="G623" s="223" t="s">
        <v>1219</v>
      </c>
    </row>
    <row r="624" spans="1:7" x14ac:dyDescent="0.3">
      <c r="A624" s="223">
        <v>623</v>
      </c>
      <c r="B624" s="223" t="s">
        <v>1110</v>
      </c>
      <c r="C624" s="223" t="s">
        <v>1227</v>
      </c>
      <c r="D624" s="223" t="s">
        <v>12</v>
      </c>
      <c r="E624" s="223" t="s">
        <v>21</v>
      </c>
      <c r="F624" s="223" t="s">
        <v>1096</v>
      </c>
      <c r="G624" s="223" t="s">
        <v>1119</v>
      </c>
    </row>
    <row r="625" spans="1:7" x14ac:dyDescent="0.3">
      <c r="A625" s="223">
        <v>624</v>
      </c>
      <c r="B625" s="223" t="s">
        <v>1110</v>
      </c>
      <c r="C625" s="223" t="s">
        <v>1227</v>
      </c>
      <c r="D625" s="223" t="s">
        <v>12</v>
      </c>
      <c r="E625" s="223" t="s">
        <v>21</v>
      </c>
      <c r="F625" s="223" t="s">
        <v>1090</v>
      </c>
      <c r="G625" s="223" t="s">
        <v>1113</v>
      </c>
    </row>
    <row r="626" spans="1:7" x14ac:dyDescent="0.3">
      <c r="A626" s="223">
        <v>625</v>
      </c>
      <c r="B626" s="223" t="s">
        <v>1110</v>
      </c>
      <c r="C626" s="223" t="s">
        <v>1228</v>
      </c>
      <c r="D626" s="223" t="s">
        <v>1218</v>
      </c>
      <c r="E626" s="223" t="s">
        <v>1087</v>
      </c>
      <c r="F626" s="223" t="s">
        <v>1093</v>
      </c>
      <c r="G626" s="223" t="s">
        <v>1205</v>
      </c>
    </row>
    <row r="627" spans="1:7" x14ac:dyDescent="0.3">
      <c r="A627" s="223">
        <v>626</v>
      </c>
      <c r="B627" s="223" t="s">
        <v>1110</v>
      </c>
      <c r="C627" s="223" t="s">
        <v>1228</v>
      </c>
      <c r="D627" s="223" t="s">
        <v>1218</v>
      </c>
      <c r="E627" s="223" t="s">
        <v>1087</v>
      </c>
      <c r="F627" s="223" t="s">
        <v>27</v>
      </c>
      <c r="G627" s="223" t="s">
        <v>1115</v>
      </c>
    </row>
    <row r="628" spans="1:7" x14ac:dyDescent="0.3">
      <c r="A628" s="223">
        <v>627</v>
      </c>
      <c r="B628" s="223" t="s">
        <v>1110</v>
      </c>
      <c r="C628" s="223" t="s">
        <v>1228</v>
      </c>
      <c r="D628" s="223" t="s">
        <v>1218</v>
      </c>
      <c r="E628" s="223" t="s">
        <v>1087</v>
      </c>
      <c r="F628" s="223" t="s">
        <v>1096</v>
      </c>
      <c r="G628" s="223" t="s">
        <v>1118</v>
      </c>
    </row>
    <row r="629" spans="1:7" x14ac:dyDescent="0.3">
      <c r="A629" s="223">
        <v>628</v>
      </c>
      <c r="B629" s="223" t="s">
        <v>1110</v>
      </c>
      <c r="C629" s="223" t="s">
        <v>1228</v>
      </c>
      <c r="D629" s="223" t="s">
        <v>1218</v>
      </c>
      <c r="E629" s="223" t="s">
        <v>1087</v>
      </c>
      <c r="F629" s="223" t="s">
        <v>1090</v>
      </c>
      <c r="G629" s="223" t="s">
        <v>1219</v>
      </c>
    </row>
    <row r="630" spans="1:7" x14ac:dyDescent="0.3">
      <c r="A630" s="223">
        <v>629</v>
      </c>
      <c r="B630" s="223" t="s">
        <v>1110</v>
      </c>
      <c r="C630" s="223" t="s">
        <v>1228</v>
      </c>
      <c r="D630" s="223" t="s">
        <v>1218</v>
      </c>
      <c r="E630" s="223" t="s">
        <v>21</v>
      </c>
      <c r="F630" s="223" t="s">
        <v>1093</v>
      </c>
      <c r="G630" s="223" t="s">
        <v>1219</v>
      </c>
    </row>
    <row r="631" spans="1:7" x14ac:dyDescent="0.3">
      <c r="A631" s="223">
        <v>630</v>
      </c>
      <c r="B631" s="223" t="s">
        <v>1110</v>
      </c>
      <c r="C631" s="223" t="s">
        <v>1228</v>
      </c>
      <c r="D631" s="223" t="s">
        <v>1218</v>
      </c>
      <c r="E631" s="223" t="s">
        <v>21</v>
      </c>
      <c r="F631" s="223" t="s">
        <v>27</v>
      </c>
      <c r="G631" s="223" t="s">
        <v>1117</v>
      </c>
    </row>
    <row r="632" spans="1:7" x14ac:dyDescent="0.3">
      <c r="A632" s="223">
        <v>631</v>
      </c>
      <c r="B632" s="223" t="s">
        <v>1110</v>
      </c>
      <c r="C632" s="223" t="s">
        <v>1228</v>
      </c>
      <c r="D632" s="223" t="s">
        <v>1218</v>
      </c>
      <c r="E632" s="223" t="s">
        <v>21</v>
      </c>
      <c r="F632" s="223" t="s">
        <v>1096</v>
      </c>
      <c r="G632" s="223" t="s">
        <v>1200</v>
      </c>
    </row>
    <row r="633" spans="1:7" x14ac:dyDescent="0.3">
      <c r="A633" s="223">
        <v>632</v>
      </c>
      <c r="B633" s="223" t="s">
        <v>1110</v>
      </c>
      <c r="C633" s="223" t="s">
        <v>1228</v>
      </c>
      <c r="D633" s="223" t="s">
        <v>1218</v>
      </c>
      <c r="E633" s="223" t="s">
        <v>21</v>
      </c>
      <c r="F633" s="223" t="s">
        <v>1090</v>
      </c>
      <c r="G633" s="223" t="s">
        <v>1219</v>
      </c>
    </row>
    <row r="634" spans="1:7" x14ac:dyDescent="0.3">
      <c r="A634" s="223">
        <v>633</v>
      </c>
      <c r="B634" s="223" t="s">
        <v>1110</v>
      </c>
      <c r="C634" s="223" t="s">
        <v>1228</v>
      </c>
      <c r="D634" s="223" t="s">
        <v>1220</v>
      </c>
      <c r="E634" s="223" t="s">
        <v>1087</v>
      </c>
      <c r="F634" s="223" t="s">
        <v>1093</v>
      </c>
      <c r="G634" s="223" t="s">
        <v>1205</v>
      </c>
    </row>
    <row r="635" spans="1:7" x14ac:dyDescent="0.3">
      <c r="A635" s="223">
        <v>634</v>
      </c>
      <c r="B635" s="223" t="s">
        <v>1110</v>
      </c>
      <c r="C635" s="223" t="s">
        <v>1228</v>
      </c>
      <c r="D635" s="223" t="s">
        <v>1220</v>
      </c>
      <c r="E635" s="223" t="s">
        <v>1087</v>
      </c>
      <c r="F635" s="223" t="s">
        <v>27</v>
      </c>
      <c r="G635" s="223" t="s">
        <v>1115</v>
      </c>
    </row>
    <row r="636" spans="1:7" x14ac:dyDescent="0.3">
      <c r="A636" s="223">
        <v>635</v>
      </c>
      <c r="B636" s="223" t="s">
        <v>1110</v>
      </c>
      <c r="C636" s="223" t="s">
        <v>1228</v>
      </c>
      <c r="D636" s="223" t="s">
        <v>1220</v>
      </c>
      <c r="E636" s="223" t="s">
        <v>1087</v>
      </c>
      <c r="F636" s="223" t="s">
        <v>1096</v>
      </c>
      <c r="G636" s="223" t="s">
        <v>1118</v>
      </c>
    </row>
    <row r="637" spans="1:7" x14ac:dyDescent="0.3">
      <c r="A637" s="223">
        <v>636</v>
      </c>
      <c r="B637" s="223" t="s">
        <v>1110</v>
      </c>
      <c r="C637" s="223" t="s">
        <v>1228</v>
      </c>
      <c r="D637" s="223" t="s">
        <v>1220</v>
      </c>
      <c r="E637" s="223" t="s">
        <v>1087</v>
      </c>
      <c r="F637" s="223" t="s">
        <v>1090</v>
      </c>
      <c r="G637" s="223" t="s">
        <v>1219</v>
      </c>
    </row>
    <row r="638" spans="1:7" x14ac:dyDescent="0.3">
      <c r="A638" s="223">
        <v>637</v>
      </c>
      <c r="B638" s="223" t="s">
        <v>1110</v>
      </c>
      <c r="C638" s="223" t="s">
        <v>1228</v>
      </c>
      <c r="D638" s="223" t="s">
        <v>1220</v>
      </c>
      <c r="E638" s="223" t="s">
        <v>21</v>
      </c>
      <c r="F638" s="223" t="s">
        <v>1093</v>
      </c>
      <c r="G638" s="223" t="s">
        <v>1219</v>
      </c>
    </row>
    <row r="639" spans="1:7" x14ac:dyDescent="0.3">
      <c r="A639" s="223">
        <v>638</v>
      </c>
      <c r="B639" s="223" t="s">
        <v>1110</v>
      </c>
      <c r="C639" s="223" t="s">
        <v>1228</v>
      </c>
      <c r="D639" s="223" t="s">
        <v>1220</v>
      </c>
      <c r="E639" s="223" t="s">
        <v>21</v>
      </c>
      <c r="F639" s="223" t="s">
        <v>27</v>
      </c>
      <c r="G639" s="223" t="s">
        <v>1117</v>
      </c>
    </row>
    <row r="640" spans="1:7" x14ac:dyDescent="0.3">
      <c r="A640" s="223">
        <v>639</v>
      </c>
      <c r="B640" s="223" t="s">
        <v>1110</v>
      </c>
      <c r="C640" s="223" t="s">
        <v>1228</v>
      </c>
      <c r="D640" s="223" t="s">
        <v>1220</v>
      </c>
      <c r="E640" s="223" t="s">
        <v>21</v>
      </c>
      <c r="F640" s="223" t="s">
        <v>1096</v>
      </c>
      <c r="G640" s="223" t="s">
        <v>1200</v>
      </c>
    </row>
    <row r="641" spans="1:7" x14ac:dyDescent="0.3">
      <c r="A641" s="223">
        <v>640</v>
      </c>
      <c r="B641" s="223" t="s">
        <v>1110</v>
      </c>
      <c r="C641" s="223" t="s">
        <v>1228</v>
      </c>
      <c r="D641" s="223" t="s">
        <v>1220</v>
      </c>
      <c r="E641" s="223" t="s">
        <v>21</v>
      </c>
      <c r="F641" s="223" t="s">
        <v>1090</v>
      </c>
      <c r="G641" s="223" t="s">
        <v>1219</v>
      </c>
    </row>
    <row r="642" spans="1:7" x14ac:dyDescent="0.3">
      <c r="A642" s="223">
        <v>641</v>
      </c>
      <c r="B642" s="223" t="s">
        <v>1110</v>
      </c>
      <c r="C642" s="223" t="s">
        <v>1228</v>
      </c>
      <c r="D642" s="223" t="s">
        <v>1221</v>
      </c>
      <c r="E642" s="223" t="s">
        <v>1087</v>
      </c>
      <c r="F642" s="223" t="s">
        <v>1093</v>
      </c>
      <c r="G642" s="223" t="s">
        <v>1205</v>
      </c>
    </row>
    <row r="643" spans="1:7" x14ac:dyDescent="0.3">
      <c r="A643" s="223">
        <v>642</v>
      </c>
      <c r="B643" s="223" t="s">
        <v>1110</v>
      </c>
      <c r="C643" s="223" t="s">
        <v>1228</v>
      </c>
      <c r="D643" s="223" t="s">
        <v>1221</v>
      </c>
      <c r="E643" s="223" t="s">
        <v>1087</v>
      </c>
      <c r="F643" s="223" t="s">
        <v>27</v>
      </c>
      <c r="G643" s="223" t="s">
        <v>1115</v>
      </c>
    </row>
    <row r="644" spans="1:7" x14ac:dyDescent="0.3">
      <c r="A644" s="223">
        <v>643</v>
      </c>
      <c r="B644" s="223" t="s">
        <v>1110</v>
      </c>
      <c r="C644" s="223" t="s">
        <v>1228</v>
      </c>
      <c r="D644" s="223" t="s">
        <v>1221</v>
      </c>
      <c r="E644" s="223" t="s">
        <v>1087</v>
      </c>
      <c r="F644" s="223" t="s">
        <v>1096</v>
      </c>
      <c r="G644" s="223" t="s">
        <v>1118</v>
      </c>
    </row>
    <row r="645" spans="1:7" x14ac:dyDescent="0.3">
      <c r="A645" s="223">
        <v>644</v>
      </c>
      <c r="B645" s="223" t="s">
        <v>1110</v>
      </c>
      <c r="C645" s="223" t="s">
        <v>1228</v>
      </c>
      <c r="D645" s="223" t="s">
        <v>1221</v>
      </c>
      <c r="E645" s="223" t="s">
        <v>1087</v>
      </c>
      <c r="F645" s="223" t="s">
        <v>1090</v>
      </c>
      <c r="G645" s="223" t="s">
        <v>1219</v>
      </c>
    </row>
    <row r="646" spans="1:7" x14ac:dyDescent="0.3">
      <c r="A646" s="223">
        <v>645</v>
      </c>
      <c r="B646" s="223" t="s">
        <v>1110</v>
      </c>
      <c r="C646" s="223" t="s">
        <v>1228</v>
      </c>
      <c r="D646" s="223" t="s">
        <v>1221</v>
      </c>
      <c r="E646" s="223" t="s">
        <v>21</v>
      </c>
      <c r="F646" s="223" t="s">
        <v>1093</v>
      </c>
      <c r="G646" s="223" t="s">
        <v>1219</v>
      </c>
    </row>
    <row r="647" spans="1:7" x14ac:dyDescent="0.3">
      <c r="A647" s="223">
        <v>646</v>
      </c>
      <c r="B647" s="223" t="s">
        <v>1110</v>
      </c>
      <c r="C647" s="223" t="s">
        <v>1228</v>
      </c>
      <c r="D647" s="223" t="s">
        <v>1221</v>
      </c>
      <c r="E647" s="223" t="s">
        <v>21</v>
      </c>
      <c r="F647" s="223" t="s">
        <v>27</v>
      </c>
      <c r="G647" s="223" t="s">
        <v>1117</v>
      </c>
    </row>
    <row r="648" spans="1:7" x14ac:dyDescent="0.3">
      <c r="A648" s="223">
        <v>647</v>
      </c>
      <c r="B648" s="223" t="s">
        <v>1110</v>
      </c>
      <c r="C648" s="223" t="s">
        <v>1228</v>
      </c>
      <c r="D648" s="223" t="s">
        <v>1221</v>
      </c>
      <c r="E648" s="223" t="s">
        <v>21</v>
      </c>
      <c r="F648" s="223" t="s">
        <v>1096</v>
      </c>
      <c r="G648" s="223" t="s">
        <v>1200</v>
      </c>
    </row>
    <row r="649" spans="1:7" x14ac:dyDescent="0.3">
      <c r="A649" s="223">
        <v>648</v>
      </c>
      <c r="B649" s="223" t="s">
        <v>1110</v>
      </c>
      <c r="C649" s="223" t="s">
        <v>1228</v>
      </c>
      <c r="D649" s="223" t="s">
        <v>1221</v>
      </c>
      <c r="E649" s="223" t="s">
        <v>21</v>
      </c>
      <c r="F649" s="223" t="s">
        <v>1090</v>
      </c>
      <c r="G649" s="223" t="s">
        <v>1219</v>
      </c>
    </row>
    <row r="650" spans="1:7" x14ac:dyDescent="0.3">
      <c r="A650" s="223">
        <v>649</v>
      </c>
      <c r="B650" s="223" t="s">
        <v>1110</v>
      </c>
      <c r="C650" s="223" t="s">
        <v>1228</v>
      </c>
      <c r="D650" s="223" t="s">
        <v>1222</v>
      </c>
      <c r="E650" s="223" t="s">
        <v>1087</v>
      </c>
      <c r="F650" s="223" t="s">
        <v>1093</v>
      </c>
      <c r="G650" s="223" t="s">
        <v>1205</v>
      </c>
    </row>
    <row r="651" spans="1:7" x14ac:dyDescent="0.3">
      <c r="A651" s="223">
        <v>650</v>
      </c>
      <c r="B651" s="223" t="s">
        <v>1110</v>
      </c>
      <c r="C651" s="223" t="s">
        <v>1228</v>
      </c>
      <c r="D651" s="223" t="s">
        <v>1222</v>
      </c>
      <c r="E651" s="223" t="s">
        <v>1087</v>
      </c>
      <c r="F651" s="223" t="s">
        <v>27</v>
      </c>
      <c r="G651" s="223" t="s">
        <v>1115</v>
      </c>
    </row>
    <row r="652" spans="1:7" x14ac:dyDescent="0.3">
      <c r="A652" s="223">
        <v>651</v>
      </c>
      <c r="B652" s="223" t="s">
        <v>1110</v>
      </c>
      <c r="C652" s="223" t="s">
        <v>1228</v>
      </c>
      <c r="D652" s="223" t="s">
        <v>1222</v>
      </c>
      <c r="E652" s="223" t="s">
        <v>1087</v>
      </c>
      <c r="F652" s="223" t="s">
        <v>1096</v>
      </c>
      <c r="G652" s="223" t="s">
        <v>1118</v>
      </c>
    </row>
    <row r="653" spans="1:7" x14ac:dyDescent="0.3">
      <c r="A653" s="223">
        <v>652</v>
      </c>
      <c r="B653" s="223" t="s">
        <v>1110</v>
      </c>
      <c r="C653" s="223" t="s">
        <v>1228</v>
      </c>
      <c r="D653" s="223" t="s">
        <v>1222</v>
      </c>
      <c r="E653" s="223" t="s">
        <v>1087</v>
      </c>
      <c r="F653" s="223" t="s">
        <v>1090</v>
      </c>
      <c r="G653" s="223" t="s">
        <v>1219</v>
      </c>
    </row>
    <row r="654" spans="1:7" x14ac:dyDescent="0.3">
      <c r="A654" s="223">
        <v>653</v>
      </c>
      <c r="B654" s="223" t="s">
        <v>1110</v>
      </c>
      <c r="C654" s="223" t="s">
        <v>1228</v>
      </c>
      <c r="D654" s="223" t="s">
        <v>1222</v>
      </c>
      <c r="E654" s="223" t="s">
        <v>21</v>
      </c>
      <c r="F654" s="223" t="s">
        <v>1093</v>
      </c>
      <c r="G654" s="223" t="s">
        <v>1219</v>
      </c>
    </row>
    <row r="655" spans="1:7" x14ac:dyDescent="0.3">
      <c r="A655" s="223">
        <v>654</v>
      </c>
      <c r="B655" s="223" t="s">
        <v>1110</v>
      </c>
      <c r="C655" s="223" t="s">
        <v>1228</v>
      </c>
      <c r="D655" s="223" t="s">
        <v>1222</v>
      </c>
      <c r="E655" s="223" t="s">
        <v>21</v>
      </c>
      <c r="F655" s="223" t="s">
        <v>27</v>
      </c>
      <c r="G655" s="223" t="s">
        <v>1117</v>
      </c>
    </row>
    <row r="656" spans="1:7" x14ac:dyDescent="0.3">
      <c r="A656" s="223">
        <v>655</v>
      </c>
      <c r="B656" s="223" t="s">
        <v>1110</v>
      </c>
      <c r="C656" s="223" t="s">
        <v>1228</v>
      </c>
      <c r="D656" s="223" t="s">
        <v>1222</v>
      </c>
      <c r="E656" s="223" t="s">
        <v>21</v>
      </c>
      <c r="F656" s="223" t="s">
        <v>1096</v>
      </c>
      <c r="G656" s="223" t="s">
        <v>1200</v>
      </c>
    </row>
    <row r="657" spans="1:7" x14ac:dyDescent="0.3">
      <c r="A657" s="223">
        <v>656</v>
      </c>
      <c r="B657" s="223" t="s">
        <v>1110</v>
      </c>
      <c r="C657" s="223" t="s">
        <v>1228</v>
      </c>
      <c r="D657" s="223" t="s">
        <v>1222</v>
      </c>
      <c r="E657" s="223" t="s">
        <v>21</v>
      </c>
      <c r="F657" s="223" t="s">
        <v>1090</v>
      </c>
      <c r="G657" s="223" t="s">
        <v>1219</v>
      </c>
    </row>
    <row r="658" spans="1:7" x14ac:dyDescent="0.3">
      <c r="A658" s="223">
        <v>657</v>
      </c>
      <c r="B658" s="223" t="s">
        <v>1110</v>
      </c>
      <c r="C658" s="223" t="s">
        <v>1228</v>
      </c>
      <c r="D658" s="223" t="s">
        <v>1223</v>
      </c>
      <c r="E658" s="223" t="s">
        <v>1087</v>
      </c>
      <c r="F658" s="223" t="s">
        <v>1093</v>
      </c>
      <c r="G658" s="223" t="s">
        <v>1219</v>
      </c>
    </row>
    <row r="659" spans="1:7" x14ac:dyDescent="0.3">
      <c r="A659" s="223">
        <v>658</v>
      </c>
      <c r="B659" s="223" t="s">
        <v>1110</v>
      </c>
      <c r="C659" s="223" t="s">
        <v>1228</v>
      </c>
      <c r="D659" s="223" t="s">
        <v>1223</v>
      </c>
      <c r="E659" s="223" t="s">
        <v>1087</v>
      </c>
      <c r="F659" s="223" t="s">
        <v>27</v>
      </c>
      <c r="G659" s="223" t="s">
        <v>1219</v>
      </c>
    </row>
    <row r="660" spans="1:7" x14ac:dyDescent="0.3">
      <c r="A660" s="223">
        <v>659</v>
      </c>
      <c r="B660" s="223" t="s">
        <v>1110</v>
      </c>
      <c r="C660" s="223" t="s">
        <v>1228</v>
      </c>
      <c r="D660" s="223" t="s">
        <v>1223</v>
      </c>
      <c r="E660" s="223" t="s">
        <v>1087</v>
      </c>
      <c r="F660" s="223" t="s">
        <v>1096</v>
      </c>
      <c r="G660" s="223" t="s">
        <v>1122</v>
      </c>
    </row>
    <row r="661" spans="1:7" x14ac:dyDescent="0.3">
      <c r="A661" s="223">
        <v>660</v>
      </c>
      <c r="B661" s="223" t="s">
        <v>1110</v>
      </c>
      <c r="C661" s="223" t="s">
        <v>1228</v>
      </c>
      <c r="D661" s="223" t="s">
        <v>1223</v>
      </c>
      <c r="E661" s="223" t="s">
        <v>1087</v>
      </c>
      <c r="F661" s="223" t="s">
        <v>1090</v>
      </c>
      <c r="G661" s="223" t="s">
        <v>1114</v>
      </c>
    </row>
    <row r="662" spans="1:7" x14ac:dyDescent="0.3">
      <c r="A662" s="223">
        <v>661</v>
      </c>
      <c r="B662" s="223" t="s">
        <v>1110</v>
      </c>
      <c r="C662" s="223" t="s">
        <v>1228</v>
      </c>
      <c r="D662" s="223" t="s">
        <v>1223</v>
      </c>
      <c r="E662" s="223" t="s">
        <v>21</v>
      </c>
      <c r="F662" s="223" t="s">
        <v>1093</v>
      </c>
      <c r="G662" s="223" t="s">
        <v>1219</v>
      </c>
    </row>
    <row r="663" spans="1:7" x14ac:dyDescent="0.3">
      <c r="A663" s="223">
        <v>662</v>
      </c>
      <c r="B663" s="223" t="s">
        <v>1110</v>
      </c>
      <c r="C663" s="223" t="s">
        <v>1228</v>
      </c>
      <c r="D663" s="223" t="s">
        <v>1223</v>
      </c>
      <c r="E663" s="223" t="s">
        <v>21</v>
      </c>
      <c r="F663" s="223" t="s">
        <v>27</v>
      </c>
      <c r="G663" s="223" t="s">
        <v>1219</v>
      </c>
    </row>
    <row r="664" spans="1:7" x14ac:dyDescent="0.3">
      <c r="A664" s="223">
        <v>663</v>
      </c>
      <c r="B664" s="223" t="s">
        <v>1110</v>
      </c>
      <c r="C664" s="223" t="s">
        <v>1228</v>
      </c>
      <c r="D664" s="223" t="s">
        <v>1223</v>
      </c>
      <c r="E664" s="223" t="s">
        <v>21</v>
      </c>
      <c r="F664" s="223" t="s">
        <v>1096</v>
      </c>
      <c r="G664" s="223" t="s">
        <v>1119</v>
      </c>
    </row>
    <row r="665" spans="1:7" x14ac:dyDescent="0.3">
      <c r="A665" s="223">
        <v>664</v>
      </c>
      <c r="B665" s="223" t="s">
        <v>1110</v>
      </c>
      <c r="C665" s="223" t="s">
        <v>1228</v>
      </c>
      <c r="D665" s="223" t="s">
        <v>1223</v>
      </c>
      <c r="E665" s="223" t="s">
        <v>21</v>
      </c>
      <c r="F665" s="223" t="s">
        <v>1090</v>
      </c>
      <c r="G665" s="223" t="s">
        <v>1113</v>
      </c>
    </row>
    <row r="666" spans="1:7" x14ac:dyDescent="0.3">
      <c r="A666" s="223">
        <v>665</v>
      </c>
      <c r="B666" s="223" t="s">
        <v>1110</v>
      </c>
      <c r="C666" s="223" t="s">
        <v>1228</v>
      </c>
      <c r="D666" s="223" t="s">
        <v>12</v>
      </c>
      <c r="E666" s="223" t="s">
        <v>1087</v>
      </c>
      <c r="F666" s="223" t="s">
        <v>1093</v>
      </c>
      <c r="G666" s="223" t="s">
        <v>1219</v>
      </c>
    </row>
    <row r="667" spans="1:7" x14ac:dyDescent="0.3">
      <c r="A667" s="223">
        <v>666</v>
      </c>
      <c r="B667" s="223" t="s">
        <v>1110</v>
      </c>
      <c r="C667" s="223" t="s">
        <v>1228</v>
      </c>
      <c r="D667" s="223" t="s">
        <v>12</v>
      </c>
      <c r="E667" s="223" t="s">
        <v>1087</v>
      </c>
      <c r="F667" s="223" t="s">
        <v>27</v>
      </c>
      <c r="G667" s="223" t="s">
        <v>1219</v>
      </c>
    </row>
    <row r="668" spans="1:7" x14ac:dyDescent="0.3">
      <c r="A668" s="223">
        <v>667</v>
      </c>
      <c r="B668" s="223" t="s">
        <v>1110</v>
      </c>
      <c r="C668" s="223" t="s">
        <v>1228</v>
      </c>
      <c r="D668" s="223" t="s">
        <v>12</v>
      </c>
      <c r="E668" s="223" t="s">
        <v>1087</v>
      </c>
      <c r="F668" s="223" t="s">
        <v>1096</v>
      </c>
      <c r="G668" s="223" t="s">
        <v>1122</v>
      </c>
    </row>
    <row r="669" spans="1:7" x14ac:dyDescent="0.3">
      <c r="A669" s="223">
        <v>668</v>
      </c>
      <c r="B669" s="223" t="s">
        <v>1110</v>
      </c>
      <c r="C669" s="223" t="s">
        <v>1228</v>
      </c>
      <c r="D669" s="223" t="s">
        <v>12</v>
      </c>
      <c r="E669" s="223" t="s">
        <v>1087</v>
      </c>
      <c r="F669" s="223" t="s">
        <v>1090</v>
      </c>
      <c r="G669" s="223" t="s">
        <v>1114</v>
      </c>
    </row>
    <row r="670" spans="1:7" x14ac:dyDescent="0.3">
      <c r="A670" s="223">
        <v>669</v>
      </c>
      <c r="B670" s="223" t="s">
        <v>1110</v>
      </c>
      <c r="C670" s="223" t="s">
        <v>1228</v>
      </c>
      <c r="D670" s="223" t="s">
        <v>12</v>
      </c>
      <c r="E670" s="223" t="s">
        <v>21</v>
      </c>
      <c r="F670" s="223" t="s">
        <v>1093</v>
      </c>
      <c r="G670" s="223" t="s">
        <v>1219</v>
      </c>
    </row>
    <row r="671" spans="1:7" x14ac:dyDescent="0.3">
      <c r="A671" s="223">
        <v>670</v>
      </c>
      <c r="B671" s="223" t="s">
        <v>1110</v>
      </c>
      <c r="C671" s="223" t="s">
        <v>1228</v>
      </c>
      <c r="D671" s="223" t="s">
        <v>12</v>
      </c>
      <c r="E671" s="223" t="s">
        <v>21</v>
      </c>
      <c r="F671" s="223" t="s">
        <v>27</v>
      </c>
      <c r="G671" s="223" t="s">
        <v>1219</v>
      </c>
    </row>
    <row r="672" spans="1:7" x14ac:dyDescent="0.3">
      <c r="A672" s="223">
        <v>671</v>
      </c>
      <c r="B672" s="223" t="s">
        <v>1110</v>
      </c>
      <c r="C672" s="223" t="s">
        <v>1228</v>
      </c>
      <c r="D672" s="223" t="s">
        <v>12</v>
      </c>
      <c r="E672" s="223" t="s">
        <v>21</v>
      </c>
      <c r="F672" s="223" t="s">
        <v>1096</v>
      </c>
      <c r="G672" s="223" t="s">
        <v>1119</v>
      </c>
    </row>
    <row r="673" spans="1:7" x14ac:dyDescent="0.3">
      <c r="A673" s="223">
        <v>672</v>
      </c>
      <c r="B673" s="223" t="s">
        <v>1110</v>
      </c>
      <c r="C673" s="223" t="s">
        <v>1228</v>
      </c>
      <c r="D673" s="223" t="s">
        <v>12</v>
      </c>
      <c r="E673" s="223" t="s">
        <v>21</v>
      </c>
      <c r="F673" s="223" t="s">
        <v>1090</v>
      </c>
      <c r="G673" s="223" t="s">
        <v>1113</v>
      </c>
    </row>
    <row r="674" spans="1:7" x14ac:dyDescent="0.3">
      <c r="A674" s="223">
        <v>673</v>
      </c>
      <c r="B674" s="223" t="s">
        <v>1124</v>
      </c>
      <c r="C674" s="223" t="s">
        <v>1217</v>
      </c>
      <c r="D674" s="223" t="s">
        <v>1218</v>
      </c>
      <c r="E674" s="223" t="s">
        <v>1087</v>
      </c>
      <c r="F674" s="223" t="s">
        <v>1093</v>
      </c>
      <c r="G674" s="223" t="s">
        <v>1127</v>
      </c>
    </row>
    <row r="675" spans="1:7" x14ac:dyDescent="0.3">
      <c r="A675" s="223">
        <v>674</v>
      </c>
      <c r="B675" s="223" t="s">
        <v>1124</v>
      </c>
      <c r="C675" s="223" t="s">
        <v>1217</v>
      </c>
      <c r="D675" s="223" t="s">
        <v>1218</v>
      </c>
      <c r="E675" s="223" t="s">
        <v>1087</v>
      </c>
      <c r="F675" s="223" t="s">
        <v>27</v>
      </c>
      <c r="G675" s="223" t="s">
        <v>1123</v>
      </c>
    </row>
    <row r="676" spans="1:7" x14ac:dyDescent="0.3">
      <c r="A676" s="223">
        <v>675</v>
      </c>
      <c r="B676" s="223" t="s">
        <v>1124</v>
      </c>
      <c r="C676" s="223" t="s">
        <v>1217</v>
      </c>
      <c r="D676" s="223" t="s">
        <v>1218</v>
      </c>
      <c r="E676" s="223" t="s">
        <v>1087</v>
      </c>
      <c r="F676" s="223" t="s">
        <v>1096</v>
      </c>
      <c r="G676" s="223" t="s">
        <v>1207</v>
      </c>
    </row>
    <row r="677" spans="1:7" x14ac:dyDescent="0.3">
      <c r="A677" s="223">
        <v>676</v>
      </c>
      <c r="B677" s="223" t="s">
        <v>1124</v>
      </c>
      <c r="C677" s="223" t="s">
        <v>1217</v>
      </c>
      <c r="D677" s="223" t="s">
        <v>1218</v>
      </c>
      <c r="E677" s="223" t="s">
        <v>1087</v>
      </c>
      <c r="F677" s="223" t="s">
        <v>1090</v>
      </c>
      <c r="G677" s="223" t="s">
        <v>1219</v>
      </c>
    </row>
    <row r="678" spans="1:7" x14ac:dyDescent="0.3">
      <c r="A678" s="223">
        <v>677</v>
      </c>
      <c r="B678" s="223" t="s">
        <v>1124</v>
      </c>
      <c r="C678" s="223" t="s">
        <v>1217</v>
      </c>
      <c r="D678" s="223" t="s">
        <v>1218</v>
      </c>
      <c r="E678" s="223" t="s">
        <v>21</v>
      </c>
      <c r="F678" s="223" t="s">
        <v>1093</v>
      </c>
      <c r="G678" s="223" t="s">
        <v>1219</v>
      </c>
    </row>
    <row r="679" spans="1:7" x14ac:dyDescent="0.3">
      <c r="A679" s="223">
        <v>678</v>
      </c>
      <c r="B679" s="223" t="s">
        <v>1124</v>
      </c>
      <c r="C679" s="223" t="s">
        <v>1217</v>
      </c>
      <c r="D679" s="223" t="s">
        <v>1218</v>
      </c>
      <c r="E679" s="223" t="s">
        <v>21</v>
      </c>
      <c r="F679" s="223" t="s">
        <v>27</v>
      </c>
      <c r="G679" s="223" t="s">
        <v>1206</v>
      </c>
    </row>
    <row r="680" spans="1:7" x14ac:dyDescent="0.3">
      <c r="A680" s="223">
        <v>679</v>
      </c>
      <c r="B680" s="223" t="s">
        <v>1124</v>
      </c>
      <c r="C680" s="223" t="s">
        <v>1217</v>
      </c>
      <c r="D680" s="223" t="s">
        <v>1218</v>
      </c>
      <c r="E680" s="223" t="s">
        <v>21</v>
      </c>
      <c r="F680" s="223" t="s">
        <v>1096</v>
      </c>
      <c r="G680" s="223" t="s">
        <v>1194</v>
      </c>
    </row>
    <row r="681" spans="1:7" x14ac:dyDescent="0.3">
      <c r="A681" s="223">
        <v>680</v>
      </c>
      <c r="B681" s="223" t="s">
        <v>1124</v>
      </c>
      <c r="C681" s="223" t="s">
        <v>1217</v>
      </c>
      <c r="D681" s="223" t="s">
        <v>1218</v>
      </c>
      <c r="E681" s="223" t="s">
        <v>21</v>
      </c>
      <c r="F681" s="223" t="s">
        <v>1090</v>
      </c>
      <c r="G681" s="223" t="s">
        <v>1219</v>
      </c>
    </row>
    <row r="682" spans="1:7" x14ac:dyDescent="0.3">
      <c r="A682" s="223">
        <v>681</v>
      </c>
      <c r="B682" s="223" t="s">
        <v>1124</v>
      </c>
      <c r="C682" s="223" t="s">
        <v>1217</v>
      </c>
      <c r="D682" s="223" t="s">
        <v>1220</v>
      </c>
      <c r="E682" s="223" t="s">
        <v>1087</v>
      </c>
      <c r="F682" s="223" t="s">
        <v>1093</v>
      </c>
      <c r="G682" s="223" t="s">
        <v>1127</v>
      </c>
    </row>
    <row r="683" spans="1:7" x14ac:dyDescent="0.3">
      <c r="A683" s="223">
        <v>682</v>
      </c>
      <c r="B683" s="223" t="s">
        <v>1124</v>
      </c>
      <c r="C683" s="223" t="s">
        <v>1217</v>
      </c>
      <c r="D683" s="223" t="s">
        <v>1220</v>
      </c>
      <c r="E683" s="223" t="s">
        <v>1087</v>
      </c>
      <c r="F683" s="223" t="s">
        <v>27</v>
      </c>
      <c r="G683" s="223" t="s">
        <v>1123</v>
      </c>
    </row>
    <row r="684" spans="1:7" x14ac:dyDescent="0.3">
      <c r="A684" s="223">
        <v>683</v>
      </c>
      <c r="B684" s="223" t="s">
        <v>1124</v>
      </c>
      <c r="C684" s="223" t="s">
        <v>1217</v>
      </c>
      <c r="D684" s="223" t="s">
        <v>1220</v>
      </c>
      <c r="E684" s="223" t="s">
        <v>1087</v>
      </c>
      <c r="F684" s="223" t="s">
        <v>1096</v>
      </c>
      <c r="G684" s="223" t="s">
        <v>1207</v>
      </c>
    </row>
    <row r="685" spans="1:7" x14ac:dyDescent="0.3">
      <c r="A685" s="223">
        <v>684</v>
      </c>
      <c r="B685" s="223" t="s">
        <v>1124</v>
      </c>
      <c r="C685" s="223" t="s">
        <v>1217</v>
      </c>
      <c r="D685" s="223" t="s">
        <v>1220</v>
      </c>
      <c r="E685" s="223" t="s">
        <v>1087</v>
      </c>
      <c r="F685" s="223" t="s">
        <v>1090</v>
      </c>
      <c r="G685" s="223" t="s">
        <v>1219</v>
      </c>
    </row>
    <row r="686" spans="1:7" x14ac:dyDescent="0.3">
      <c r="A686" s="223">
        <v>685</v>
      </c>
      <c r="B686" s="223" t="s">
        <v>1124</v>
      </c>
      <c r="C686" s="223" t="s">
        <v>1217</v>
      </c>
      <c r="D686" s="223" t="s">
        <v>1220</v>
      </c>
      <c r="E686" s="223" t="s">
        <v>21</v>
      </c>
      <c r="F686" s="223" t="s">
        <v>1093</v>
      </c>
      <c r="G686" s="223" t="s">
        <v>1219</v>
      </c>
    </row>
    <row r="687" spans="1:7" x14ac:dyDescent="0.3">
      <c r="A687" s="223">
        <v>686</v>
      </c>
      <c r="B687" s="223" t="s">
        <v>1124</v>
      </c>
      <c r="C687" s="223" t="s">
        <v>1217</v>
      </c>
      <c r="D687" s="223" t="s">
        <v>1220</v>
      </c>
      <c r="E687" s="223" t="s">
        <v>21</v>
      </c>
      <c r="F687" s="223" t="s">
        <v>27</v>
      </c>
      <c r="G687" s="223" t="s">
        <v>1206</v>
      </c>
    </row>
    <row r="688" spans="1:7" x14ac:dyDescent="0.3">
      <c r="A688" s="223">
        <v>687</v>
      </c>
      <c r="B688" s="223" t="s">
        <v>1124</v>
      </c>
      <c r="C688" s="223" t="s">
        <v>1217</v>
      </c>
      <c r="D688" s="223" t="s">
        <v>1220</v>
      </c>
      <c r="E688" s="223" t="s">
        <v>21</v>
      </c>
      <c r="F688" s="223" t="s">
        <v>1096</v>
      </c>
      <c r="G688" s="223" t="s">
        <v>1194</v>
      </c>
    </row>
    <row r="689" spans="1:7" x14ac:dyDescent="0.3">
      <c r="A689" s="223">
        <v>688</v>
      </c>
      <c r="B689" s="223" t="s">
        <v>1124</v>
      </c>
      <c r="C689" s="223" t="s">
        <v>1217</v>
      </c>
      <c r="D689" s="223" t="s">
        <v>1220</v>
      </c>
      <c r="E689" s="223" t="s">
        <v>21</v>
      </c>
      <c r="F689" s="223" t="s">
        <v>1090</v>
      </c>
      <c r="G689" s="223" t="s">
        <v>1219</v>
      </c>
    </row>
    <row r="690" spans="1:7" x14ac:dyDescent="0.3">
      <c r="A690" s="223">
        <v>689</v>
      </c>
      <c r="B690" s="223" t="s">
        <v>1124</v>
      </c>
      <c r="C690" s="223" t="s">
        <v>1217</v>
      </c>
      <c r="D690" s="223" t="s">
        <v>1221</v>
      </c>
      <c r="E690" s="223" t="s">
        <v>1087</v>
      </c>
      <c r="F690" s="223" t="s">
        <v>1093</v>
      </c>
      <c r="G690" s="223" t="s">
        <v>1127</v>
      </c>
    </row>
    <row r="691" spans="1:7" x14ac:dyDescent="0.3">
      <c r="A691" s="223">
        <v>690</v>
      </c>
      <c r="B691" s="223" t="s">
        <v>1124</v>
      </c>
      <c r="C691" s="223" t="s">
        <v>1217</v>
      </c>
      <c r="D691" s="223" t="s">
        <v>1221</v>
      </c>
      <c r="E691" s="223" t="s">
        <v>1087</v>
      </c>
      <c r="F691" s="223" t="s">
        <v>27</v>
      </c>
      <c r="G691" s="223" t="s">
        <v>1123</v>
      </c>
    </row>
    <row r="692" spans="1:7" x14ac:dyDescent="0.3">
      <c r="A692" s="223">
        <v>691</v>
      </c>
      <c r="B692" s="223" t="s">
        <v>1124</v>
      </c>
      <c r="C692" s="223" t="s">
        <v>1217</v>
      </c>
      <c r="D692" s="223" t="s">
        <v>1221</v>
      </c>
      <c r="E692" s="223" t="s">
        <v>1087</v>
      </c>
      <c r="F692" s="223" t="s">
        <v>1096</v>
      </c>
      <c r="G692" s="223" t="s">
        <v>1207</v>
      </c>
    </row>
    <row r="693" spans="1:7" x14ac:dyDescent="0.3">
      <c r="A693" s="223">
        <v>692</v>
      </c>
      <c r="B693" s="223" t="s">
        <v>1124</v>
      </c>
      <c r="C693" s="223" t="s">
        <v>1217</v>
      </c>
      <c r="D693" s="223" t="s">
        <v>1221</v>
      </c>
      <c r="E693" s="223" t="s">
        <v>1087</v>
      </c>
      <c r="F693" s="223" t="s">
        <v>1090</v>
      </c>
      <c r="G693" s="223" t="s">
        <v>1219</v>
      </c>
    </row>
    <row r="694" spans="1:7" x14ac:dyDescent="0.3">
      <c r="A694" s="223">
        <v>693</v>
      </c>
      <c r="B694" s="223" t="s">
        <v>1124</v>
      </c>
      <c r="C694" s="223" t="s">
        <v>1217</v>
      </c>
      <c r="D694" s="223" t="s">
        <v>1221</v>
      </c>
      <c r="E694" s="223" t="s">
        <v>21</v>
      </c>
      <c r="F694" s="223" t="s">
        <v>1093</v>
      </c>
      <c r="G694" s="223" t="s">
        <v>1219</v>
      </c>
    </row>
    <row r="695" spans="1:7" x14ac:dyDescent="0.3">
      <c r="A695" s="223">
        <v>694</v>
      </c>
      <c r="B695" s="223" t="s">
        <v>1124</v>
      </c>
      <c r="C695" s="223" t="s">
        <v>1217</v>
      </c>
      <c r="D695" s="223" t="s">
        <v>1221</v>
      </c>
      <c r="E695" s="223" t="s">
        <v>21</v>
      </c>
      <c r="F695" s="223" t="s">
        <v>27</v>
      </c>
      <c r="G695" s="223" t="s">
        <v>1206</v>
      </c>
    </row>
    <row r="696" spans="1:7" x14ac:dyDescent="0.3">
      <c r="A696" s="223">
        <v>695</v>
      </c>
      <c r="B696" s="223" t="s">
        <v>1124</v>
      </c>
      <c r="C696" s="223" t="s">
        <v>1217</v>
      </c>
      <c r="D696" s="223" t="s">
        <v>1221</v>
      </c>
      <c r="E696" s="223" t="s">
        <v>21</v>
      </c>
      <c r="F696" s="223" t="s">
        <v>1096</v>
      </c>
      <c r="G696" s="223" t="s">
        <v>1194</v>
      </c>
    </row>
    <row r="697" spans="1:7" x14ac:dyDescent="0.3">
      <c r="A697" s="223">
        <v>696</v>
      </c>
      <c r="B697" s="223" t="s">
        <v>1124</v>
      </c>
      <c r="C697" s="223" t="s">
        <v>1217</v>
      </c>
      <c r="D697" s="223" t="s">
        <v>1221</v>
      </c>
      <c r="E697" s="223" t="s">
        <v>21</v>
      </c>
      <c r="F697" s="223" t="s">
        <v>1090</v>
      </c>
      <c r="G697" s="223" t="s">
        <v>1219</v>
      </c>
    </row>
    <row r="698" spans="1:7" x14ac:dyDescent="0.3">
      <c r="A698" s="223">
        <v>697</v>
      </c>
      <c r="B698" s="223" t="s">
        <v>1124</v>
      </c>
      <c r="C698" s="223" t="s">
        <v>1217</v>
      </c>
      <c r="D698" s="223" t="s">
        <v>1222</v>
      </c>
      <c r="E698" s="223" t="s">
        <v>1087</v>
      </c>
      <c r="F698" s="223" t="s">
        <v>1093</v>
      </c>
      <c r="G698" s="223" t="s">
        <v>1127</v>
      </c>
    </row>
    <row r="699" spans="1:7" x14ac:dyDescent="0.3">
      <c r="A699" s="223">
        <v>698</v>
      </c>
      <c r="B699" s="223" t="s">
        <v>1124</v>
      </c>
      <c r="C699" s="223" t="s">
        <v>1217</v>
      </c>
      <c r="D699" s="223" t="s">
        <v>1222</v>
      </c>
      <c r="E699" s="223" t="s">
        <v>1087</v>
      </c>
      <c r="F699" s="223" t="s">
        <v>27</v>
      </c>
      <c r="G699" s="223" t="s">
        <v>1123</v>
      </c>
    </row>
    <row r="700" spans="1:7" x14ac:dyDescent="0.3">
      <c r="A700" s="223">
        <v>699</v>
      </c>
      <c r="B700" s="223" t="s">
        <v>1124</v>
      </c>
      <c r="C700" s="223" t="s">
        <v>1217</v>
      </c>
      <c r="D700" s="223" t="s">
        <v>1222</v>
      </c>
      <c r="E700" s="223" t="s">
        <v>1087</v>
      </c>
      <c r="F700" s="223" t="s">
        <v>1096</v>
      </c>
      <c r="G700" s="223" t="s">
        <v>1207</v>
      </c>
    </row>
    <row r="701" spans="1:7" x14ac:dyDescent="0.3">
      <c r="A701" s="223">
        <v>700</v>
      </c>
      <c r="B701" s="223" t="s">
        <v>1124</v>
      </c>
      <c r="C701" s="223" t="s">
        <v>1217</v>
      </c>
      <c r="D701" s="223" t="s">
        <v>1222</v>
      </c>
      <c r="E701" s="223" t="s">
        <v>1087</v>
      </c>
      <c r="F701" s="223" t="s">
        <v>1090</v>
      </c>
      <c r="G701" s="223" t="s">
        <v>1219</v>
      </c>
    </row>
    <row r="702" spans="1:7" x14ac:dyDescent="0.3">
      <c r="A702" s="223">
        <v>701</v>
      </c>
      <c r="B702" s="223" t="s">
        <v>1124</v>
      </c>
      <c r="C702" s="223" t="s">
        <v>1217</v>
      </c>
      <c r="D702" s="223" t="s">
        <v>1222</v>
      </c>
      <c r="E702" s="223" t="s">
        <v>21</v>
      </c>
      <c r="F702" s="223" t="s">
        <v>1093</v>
      </c>
      <c r="G702" s="223" t="s">
        <v>1219</v>
      </c>
    </row>
    <row r="703" spans="1:7" x14ac:dyDescent="0.3">
      <c r="A703" s="223">
        <v>702</v>
      </c>
      <c r="B703" s="223" t="s">
        <v>1124</v>
      </c>
      <c r="C703" s="223" t="s">
        <v>1217</v>
      </c>
      <c r="D703" s="223" t="s">
        <v>1222</v>
      </c>
      <c r="E703" s="223" t="s">
        <v>21</v>
      </c>
      <c r="F703" s="223" t="s">
        <v>27</v>
      </c>
      <c r="G703" s="223" t="s">
        <v>1206</v>
      </c>
    </row>
    <row r="704" spans="1:7" x14ac:dyDescent="0.3">
      <c r="A704" s="223">
        <v>703</v>
      </c>
      <c r="B704" s="223" t="s">
        <v>1124</v>
      </c>
      <c r="C704" s="223" t="s">
        <v>1217</v>
      </c>
      <c r="D704" s="223" t="s">
        <v>1222</v>
      </c>
      <c r="E704" s="223" t="s">
        <v>21</v>
      </c>
      <c r="F704" s="223" t="s">
        <v>1096</v>
      </c>
      <c r="G704" s="223" t="s">
        <v>1194</v>
      </c>
    </row>
    <row r="705" spans="1:7" x14ac:dyDescent="0.3">
      <c r="A705" s="223">
        <v>704</v>
      </c>
      <c r="B705" s="223" t="s">
        <v>1124</v>
      </c>
      <c r="C705" s="223" t="s">
        <v>1217</v>
      </c>
      <c r="D705" s="223" t="s">
        <v>1222</v>
      </c>
      <c r="E705" s="223" t="s">
        <v>21</v>
      </c>
      <c r="F705" s="223" t="s">
        <v>1090</v>
      </c>
      <c r="G705" s="223" t="s">
        <v>1219</v>
      </c>
    </row>
    <row r="706" spans="1:7" x14ac:dyDescent="0.3">
      <c r="A706" s="223">
        <v>705</v>
      </c>
      <c r="B706" s="223" t="s">
        <v>1124</v>
      </c>
      <c r="C706" s="223" t="s">
        <v>1217</v>
      </c>
      <c r="D706" s="223" t="s">
        <v>1223</v>
      </c>
      <c r="E706" s="223" t="s">
        <v>1087</v>
      </c>
      <c r="F706" s="223" t="s">
        <v>1093</v>
      </c>
      <c r="G706" s="223" t="s">
        <v>1219</v>
      </c>
    </row>
    <row r="707" spans="1:7" x14ac:dyDescent="0.3">
      <c r="A707" s="223">
        <v>706</v>
      </c>
      <c r="B707" s="223" t="s">
        <v>1124</v>
      </c>
      <c r="C707" s="223" t="s">
        <v>1217</v>
      </c>
      <c r="D707" s="223" t="s">
        <v>1223</v>
      </c>
      <c r="E707" s="223" t="s">
        <v>1087</v>
      </c>
      <c r="F707" s="223" t="s">
        <v>27</v>
      </c>
      <c r="G707" s="223" t="s">
        <v>1219</v>
      </c>
    </row>
    <row r="708" spans="1:7" x14ac:dyDescent="0.3">
      <c r="A708" s="223">
        <v>707</v>
      </c>
      <c r="B708" s="223" t="s">
        <v>1124</v>
      </c>
      <c r="C708" s="223" t="s">
        <v>1217</v>
      </c>
      <c r="D708" s="223" t="s">
        <v>1223</v>
      </c>
      <c r="E708" s="223" t="s">
        <v>1087</v>
      </c>
      <c r="F708" s="223" t="s">
        <v>1096</v>
      </c>
      <c r="G708" s="223" t="s">
        <v>1201</v>
      </c>
    </row>
    <row r="709" spans="1:7" x14ac:dyDescent="0.3">
      <c r="A709" s="223">
        <v>708</v>
      </c>
      <c r="B709" s="223" t="s">
        <v>1124</v>
      </c>
      <c r="C709" s="223" t="s">
        <v>1217</v>
      </c>
      <c r="D709" s="223" t="s">
        <v>1223</v>
      </c>
      <c r="E709" s="223" t="s">
        <v>1087</v>
      </c>
      <c r="F709" s="223" t="s">
        <v>1090</v>
      </c>
      <c r="G709" s="223" t="s">
        <v>1190</v>
      </c>
    </row>
    <row r="710" spans="1:7" x14ac:dyDescent="0.3">
      <c r="A710" s="223">
        <v>709</v>
      </c>
      <c r="B710" s="223" t="s">
        <v>1124</v>
      </c>
      <c r="C710" s="223" t="s">
        <v>1217</v>
      </c>
      <c r="D710" s="223" t="s">
        <v>1223</v>
      </c>
      <c r="E710" s="223" t="s">
        <v>21</v>
      </c>
      <c r="F710" s="223" t="s">
        <v>1093</v>
      </c>
      <c r="G710" s="223" t="s">
        <v>1219</v>
      </c>
    </row>
    <row r="711" spans="1:7" x14ac:dyDescent="0.3">
      <c r="A711" s="223">
        <v>710</v>
      </c>
      <c r="B711" s="223" t="s">
        <v>1124</v>
      </c>
      <c r="C711" s="223" t="s">
        <v>1217</v>
      </c>
      <c r="D711" s="223" t="s">
        <v>1223</v>
      </c>
      <c r="E711" s="223" t="s">
        <v>21</v>
      </c>
      <c r="F711" s="223" t="s">
        <v>27</v>
      </c>
      <c r="G711" s="223" t="s">
        <v>1204</v>
      </c>
    </row>
    <row r="712" spans="1:7" x14ac:dyDescent="0.3">
      <c r="A712" s="223">
        <v>711</v>
      </c>
      <c r="B712" s="223" t="s">
        <v>1124</v>
      </c>
      <c r="C712" s="223" t="s">
        <v>1217</v>
      </c>
      <c r="D712" s="223" t="s">
        <v>1223</v>
      </c>
      <c r="E712" s="223" t="s">
        <v>21</v>
      </c>
      <c r="F712" s="223" t="s">
        <v>1096</v>
      </c>
      <c r="G712" s="223" t="s">
        <v>1191</v>
      </c>
    </row>
    <row r="713" spans="1:7" x14ac:dyDescent="0.3">
      <c r="A713" s="223">
        <v>712</v>
      </c>
      <c r="B713" s="223" t="s">
        <v>1124</v>
      </c>
      <c r="C713" s="223" t="s">
        <v>1217</v>
      </c>
      <c r="D713" s="223" t="s">
        <v>1223</v>
      </c>
      <c r="E713" s="223" t="s">
        <v>21</v>
      </c>
      <c r="F713" s="223" t="s">
        <v>1090</v>
      </c>
      <c r="G713" s="223" t="s">
        <v>1203</v>
      </c>
    </row>
    <row r="714" spans="1:7" x14ac:dyDescent="0.3">
      <c r="A714" s="223">
        <v>713</v>
      </c>
      <c r="B714" s="223" t="s">
        <v>1124</v>
      </c>
      <c r="C714" s="223" t="s">
        <v>1217</v>
      </c>
      <c r="D714" s="223" t="s">
        <v>12</v>
      </c>
      <c r="E714" s="223" t="s">
        <v>1087</v>
      </c>
      <c r="F714" s="223" t="s">
        <v>1093</v>
      </c>
      <c r="G714" s="223" t="s">
        <v>1219</v>
      </c>
    </row>
    <row r="715" spans="1:7" x14ac:dyDescent="0.3">
      <c r="A715" s="223">
        <v>714</v>
      </c>
      <c r="B715" s="223" t="s">
        <v>1124</v>
      </c>
      <c r="C715" s="223" t="s">
        <v>1217</v>
      </c>
      <c r="D715" s="223" t="s">
        <v>12</v>
      </c>
      <c r="E715" s="223" t="s">
        <v>1087</v>
      </c>
      <c r="F715" s="223" t="s">
        <v>27</v>
      </c>
      <c r="G715" s="223" t="s">
        <v>1219</v>
      </c>
    </row>
    <row r="716" spans="1:7" x14ac:dyDescent="0.3">
      <c r="A716" s="223">
        <v>715</v>
      </c>
      <c r="B716" s="223" t="s">
        <v>1124</v>
      </c>
      <c r="C716" s="223" t="s">
        <v>1217</v>
      </c>
      <c r="D716" s="223" t="s">
        <v>12</v>
      </c>
      <c r="E716" s="223" t="s">
        <v>1087</v>
      </c>
      <c r="F716" s="223" t="s">
        <v>1096</v>
      </c>
      <c r="G716" s="223" t="s">
        <v>1201</v>
      </c>
    </row>
    <row r="717" spans="1:7" x14ac:dyDescent="0.3">
      <c r="A717" s="223">
        <v>716</v>
      </c>
      <c r="B717" s="223" t="s">
        <v>1124</v>
      </c>
      <c r="C717" s="223" t="s">
        <v>1217</v>
      </c>
      <c r="D717" s="223" t="s">
        <v>12</v>
      </c>
      <c r="E717" s="223" t="s">
        <v>1087</v>
      </c>
      <c r="F717" s="223" t="s">
        <v>1090</v>
      </c>
      <c r="G717" s="223" t="s">
        <v>1190</v>
      </c>
    </row>
    <row r="718" spans="1:7" x14ac:dyDescent="0.3">
      <c r="A718" s="223">
        <v>717</v>
      </c>
      <c r="B718" s="223" t="s">
        <v>1124</v>
      </c>
      <c r="C718" s="223" t="s">
        <v>1217</v>
      </c>
      <c r="D718" s="223" t="s">
        <v>12</v>
      </c>
      <c r="E718" s="223" t="s">
        <v>21</v>
      </c>
      <c r="F718" s="223" t="s">
        <v>1093</v>
      </c>
      <c r="G718" s="223" t="s">
        <v>1219</v>
      </c>
    </row>
    <row r="719" spans="1:7" x14ac:dyDescent="0.3">
      <c r="A719" s="223">
        <v>718</v>
      </c>
      <c r="B719" s="223" t="s">
        <v>1124</v>
      </c>
      <c r="C719" s="223" t="s">
        <v>1217</v>
      </c>
      <c r="D719" s="223" t="s">
        <v>12</v>
      </c>
      <c r="E719" s="223" t="s">
        <v>21</v>
      </c>
      <c r="F719" s="223" t="s">
        <v>27</v>
      </c>
      <c r="G719" s="223" t="s">
        <v>1204</v>
      </c>
    </row>
    <row r="720" spans="1:7" x14ac:dyDescent="0.3">
      <c r="A720" s="223">
        <v>719</v>
      </c>
      <c r="B720" s="223" t="s">
        <v>1124</v>
      </c>
      <c r="C720" s="223" t="s">
        <v>1217</v>
      </c>
      <c r="D720" s="223" t="s">
        <v>12</v>
      </c>
      <c r="E720" s="223" t="s">
        <v>21</v>
      </c>
      <c r="F720" s="223" t="s">
        <v>1096</v>
      </c>
      <c r="G720" s="223" t="s">
        <v>1191</v>
      </c>
    </row>
    <row r="721" spans="1:7" x14ac:dyDescent="0.3">
      <c r="A721" s="223">
        <v>720</v>
      </c>
      <c r="B721" s="223" t="s">
        <v>1124</v>
      </c>
      <c r="C721" s="223" t="s">
        <v>1217</v>
      </c>
      <c r="D721" s="223" t="s">
        <v>12</v>
      </c>
      <c r="E721" s="223" t="s">
        <v>21</v>
      </c>
      <c r="F721" s="223" t="s">
        <v>1090</v>
      </c>
      <c r="G721" s="223" t="s">
        <v>1203</v>
      </c>
    </row>
    <row r="722" spans="1:7" x14ac:dyDescent="0.3">
      <c r="A722" s="223">
        <v>721</v>
      </c>
      <c r="B722" s="223" t="s">
        <v>1124</v>
      </c>
      <c r="C722" s="223" t="s">
        <v>1224</v>
      </c>
      <c r="D722" s="223" t="s">
        <v>1218</v>
      </c>
      <c r="E722" s="223" t="s">
        <v>1087</v>
      </c>
      <c r="F722" s="223" t="s">
        <v>1093</v>
      </c>
      <c r="G722" s="223" t="s">
        <v>1127</v>
      </c>
    </row>
    <row r="723" spans="1:7" x14ac:dyDescent="0.3">
      <c r="A723" s="223">
        <v>722</v>
      </c>
      <c r="B723" s="223" t="s">
        <v>1124</v>
      </c>
      <c r="C723" s="223" t="s">
        <v>1224</v>
      </c>
      <c r="D723" s="223" t="s">
        <v>1218</v>
      </c>
      <c r="E723" s="223" t="s">
        <v>1087</v>
      </c>
      <c r="F723" s="223" t="s">
        <v>27</v>
      </c>
      <c r="G723" s="223" t="s">
        <v>1123</v>
      </c>
    </row>
    <row r="724" spans="1:7" x14ac:dyDescent="0.3">
      <c r="A724" s="223">
        <v>723</v>
      </c>
      <c r="B724" s="223" t="s">
        <v>1124</v>
      </c>
      <c r="C724" s="223" t="s">
        <v>1224</v>
      </c>
      <c r="D724" s="223" t="s">
        <v>1218</v>
      </c>
      <c r="E724" s="223" t="s">
        <v>1087</v>
      </c>
      <c r="F724" s="223" t="s">
        <v>1096</v>
      </c>
      <c r="G724" s="223" t="s">
        <v>1207</v>
      </c>
    </row>
    <row r="725" spans="1:7" x14ac:dyDescent="0.3">
      <c r="A725" s="223">
        <v>724</v>
      </c>
      <c r="B725" s="223" t="s">
        <v>1124</v>
      </c>
      <c r="C725" s="223" t="s">
        <v>1224</v>
      </c>
      <c r="D725" s="223" t="s">
        <v>1218</v>
      </c>
      <c r="E725" s="223" t="s">
        <v>1087</v>
      </c>
      <c r="F725" s="223" t="s">
        <v>1090</v>
      </c>
      <c r="G725" s="223" t="s">
        <v>1219</v>
      </c>
    </row>
    <row r="726" spans="1:7" x14ac:dyDescent="0.3">
      <c r="A726" s="223">
        <v>725</v>
      </c>
      <c r="B726" s="223" t="s">
        <v>1124</v>
      </c>
      <c r="C726" s="223" t="s">
        <v>1224</v>
      </c>
      <c r="D726" s="223" t="s">
        <v>1218</v>
      </c>
      <c r="E726" s="223" t="s">
        <v>21</v>
      </c>
      <c r="F726" s="223" t="s">
        <v>1093</v>
      </c>
      <c r="G726" s="223" t="s">
        <v>1219</v>
      </c>
    </row>
    <row r="727" spans="1:7" x14ac:dyDescent="0.3">
      <c r="A727" s="223">
        <v>726</v>
      </c>
      <c r="B727" s="223" t="s">
        <v>1124</v>
      </c>
      <c r="C727" s="223" t="s">
        <v>1224</v>
      </c>
      <c r="D727" s="223" t="s">
        <v>1218</v>
      </c>
      <c r="E727" s="223" t="s">
        <v>21</v>
      </c>
      <c r="F727" s="223" t="s">
        <v>27</v>
      </c>
      <c r="G727" s="223" t="s">
        <v>1206</v>
      </c>
    </row>
    <row r="728" spans="1:7" x14ac:dyDescent="0.3">
      <c r="A728" s="223">
        <v>727</v>
      </c>
      <c r="B728" s="223" t="s">
        <v>1124</v>
      </c>
      <c r="C728" s="223" t="s">
        <v>1224</v>
      </c>
      <c r="D728" s="223" t="s">
        <v>1218</v>
      </c>
      <c r="E728" s="223" t="s">
        <v>21</v>
      </c>
      <c r="F728" s="223" t="s">
        <v>1096</v>
      </c>
      <c r="G728" s="223" t="s">
        <v>1194</v>
      </c>
    </row>
    <row r="729" spans="1:7" x14ac:dyDescent="0.3">
      <c r="A729" s="223">
        <v>728</v>
      </c>
      <c r="B729" s="223" t="s">
        <v>1124</v>
      </c>
      <c r="C729" s="223" t="s">
        <v>1224</v>
      </c>
      <c r="D729" s="223" t="s">
        <v>1218</v>
      </c>
      <c r="E729" s="223" t="s">
        <v>21</v>
      </c>
      <c r="F729" s="223" t="s">
        <v>1090</v>
      </c>
      <c r="G729" s="223" t="s">
        <v>1219</v>
      </c>
    </row>
    <row r="730" spans="1:7" x14ac:dyDescent="0.3">
      <c r="A730" s="223">
        <v>729</v>
      </c>
      <c r="B730" s="223" t="s">
        <v>1124</v>
      </c>
      <c r="C730" s="223" t="s">
        <v>1224</v>
      </c>
      <c r="D730" s="223" t="s">
        <v>1220</v>
      </c>
      <c r="E730" s="223" t="s">
        <v>1087</v>
      </c>
      <c r="F730" s="223" t="s">
        <v>1093</v>
      </c>
      <c r="G730" s="223" t="s">
        <v>1127</v>
      </c>
    </row>
    <row r="731" spans="1:7" x14ac:dyDescent="0.3">
      <c r="A731" s="223">
        <v>730</v>
      </c>
      <c r="B731" s="223" t="s">
        <v>1124</v>
      </c>
      <c r="C731" s="223" t="s">
        <v>1224</v>
      </c>
      <c r="D731" s="223" t="s">
        <v>1220</v>
      </c>
      <c r="E731" s="223" t="s">
        <v>1087</v>
      </c>
      <c r="F731" s="223" t="s">
        <v>27</v>
      </c>
      <c r="G731" s="223" t="s">
        <v>1123</v>
      </c>
    </row>
    <row r="732" spans="1:7" x14ac:dyDescent="0.3">
      <c r="A732" s="223">
        <v>731</v>
      </c>
      <c r="B732" s="223" t="s">
        <v>1124</v>
      </c>
      <c r="C732" s="223" t="s">
        <v>1224</v>
      </c>
      <c r="D732" s="223" t="s">
        <v>1220</v>
      </c>
      <c r="E732" s="223" t="s">
        <v>1087</v>
      </c>
      <c r="F732" s="223" t="s">
        <v>1096</v>
      </c>
      <c r="G732" s="223" t="s">
        <v>1207</v>
      </c>
    </row>
    <row r="733" spans="1:7" x14ac:dyDescent="0.3">
      <c r="A733" s="223">
        <v>732</v>
      </c>
      <c r="B733" s="223" t="s">
        <v>1124</v>
      </c>
      <c r="C733" s="223" t="s">
        <v>1224</v>
      </c>
      <c r="D733" s="223" t="s">
        <v>1220</v>
      </c>
      <c r="E733" s="223" t="s">
        <v>1087</v>
      </c>
      <c r="F733" s="223" t="s">
        <v>1090</v>
      </c>
      <c r="G733" s="223" t="s">
        <v>1219</v>
      </c>
    </row>
    <row r="734" spans="1:7" x14ac:dyDescent="0.3">
      <c r="A734" s="223">
        <v>733</v>
      </c>
      <c r="B734" s="223" t="s">
        <v>1124</v>
      </c>
      <c r="C734" s="223" t="s">
        <v>1224</v>
      </c>
      <c r="D734" s="223" t="s">
        <v>1220</v>
      </c>
      <c r="E734" s="223" t="s">
        <v>21</v>
      </c>
      <c r="F734" s="223" t="s">
        <v>1093</v>
      </c>
      <c r="G734" s="223" t="s">
        <v>1219</v>
      </c>
    </row>
    <row r="735" spans="1:7" x14ac:dyDescent="0.3">
      <c r="A735" s="223">
        <v>734</v>
      </c>
      <c r="B735" s="223" t="s">
        <v>1124</v>
      </c>
      <c r="C735" s="223" t="s">
        <v>1224</v>
      </c>
      <c r="D735" s="223" t="s">
        <v>1220</v>
      </c>
      <c r="E735" s="223" t="s">
        <v>21</v>
      </c>
      <c r="F735" s="223" t="s">
        <v>27</v>
      </c>
      <c r="G735" s="223" t="s">
        <v>1206</v>
      </c>
    </row>
    <row r="736" spans="1:7" x14ac:dyDescent="0.3">
      <c r="A736" s="223">
        <v>735</v>
      </c>
      <c r="B736" s="223" t="s">
        <v>1124</v>
      </c>
      <c r="C736" s="223" t="s">
        <v>1224</v>
      </c>
      <c r="D736" s="223" t="s">
        <v>1220</v>
      </c>
      <c r="E736" s="223" t="s">
        <v>21</v>
      </c>
      <c r="F736" s="223" t="s">
        <v>1096</v>
      </c>
      <c r="G736" s="223" t="s">
        <v>1194</v>
      </c>
    </row>
    <row r="737" spans="1:7" x14ac:dyDescent="0.3">
      <c r="A737" s="223">
        <v>736</v>
      </c>
      <c r="B737" s="223" t="s">
        <v>1124</v>
      </c>
      <c r="C737" s="223" t="s">
        <v>1224</v>
      </c>
      <c r="D737" s="223" t="s">
        <v>1220</v>
      </c>
      <c r="E737" s="223" t="s">
        <v>21</v>
      </c>
      <c r="F737" s="223" t="s">
        <v>1090</v>
      </c>
      <c r="G737" s="223" t="s">
        <v>1219</v>
      </c>
    </row>
    <row r="738" spans="1:7" x14ac:dyDescent="0.3">
      <c r="A738" s="223">
        <v>737</v>
      </c>
      <c r="B738" s="223" t="s">
        <v>1124</v>
      </c>
      <c r="C738" s="223" t="s">
        <v>1224</v>
      </c>
      <c r="D738" s="223" t="s">
        <v>1221</v>
      </c>
      <c r="E738" s="223" t="s">
        <v>1087</v>
      </c>
      <c r="F738" s="223" t="s">
        <v>1093</v>
      </c>
      <c r="G738" s="223" t="s">
        <v>1127</v>
      </c>
    </row>
    <row r="739" spans="1:7" x14ac:dyDescent="0.3">
      <c r="A739" s="223">
        <v>738</v>
      </c>
      <c r="B739" s="223" t="s">
        <v>1124</v>
      </c>
      <c r="C739" s="223" t="s">
        <v>1224</v>
      </c>
      <c r="D739" s="223" t="s">
        <v>1221</v>
      </c>
      <c r="E739" s="223" t="s">
        <v>1087</v>
      </c>
      <c r="F739" s="223" t="s">
        <v>27</v>
      </c>
      <c r="G739" s="223" t="s">
        <v>1123</v>
      </c>
    </row>
    <row r="740" spans="1:7" x14ac:dyDescent="0.3">
      <c r="A740" s="223">
        <v>739</v>
      </c>
      <c r="B740" s="223" t="s">
        <v>1124</v>
      </c>
      <c r="C740" s="223" t="s">
        <v>1224</v>
      </c>
      <c r="D740" s="223" t="s">
        <v>1221</v>
      </c>
      <c r="E740" s="223" t="s">
        <v>1087</v>
      </c>
      <c r="F740" s="223" t="s">
        <v>1096</v>
      </c>
      <c r="G740" s="223" t="s">
        <v>1207</v>
      </c>
    </row>
    <row r="741" spans="1:7" x14ac:dyDescent="0.3">
      <c r="A741" s="223">
        <v>740</v>
      </c>
      <c r="B741" s="223" t="s">
        <v>1124</v>
      </c>
      <c r="C741" s="223" t="s">
        <v>1224</v>
      </c>
      <c r="D741" s="223" t="s">
        <v>1221</v>
      </c>
      <c r="E741" s="223" t="s">
        <v>1087</v>
      </c>
      <c r="F741" s="223" t="s">
        <v>1090</v>
      </c>
      <c r="G741" s="223" t="s">
        <v>1219</v>
      </c>
    </row>
    <row r="742" spans="1:7" x14ac:dyDescent="0.3">
      <c r="A742" s="223">
        <v>741</v>
      </c>
      <c r="B742" s="223" t="s">
        <v>1124</v>
      </c>
      <c r="C742" s="223" t="s">
        <v>1224</v>
      </c>
      <c r="D742" s="223" t="s">
        <v>1221</v>
      </c>
      <c r="E742" s="223" t="s">
        <v>21</v>
      </c>
      <c r="F742" s="223" t="s">
        <v>1093</v>
      </c>
      <c r="G742" s="223" t="s">
        <v>1219</v>
      </c>
    </row>
    <row r="743" spans="1:7" x14ac:dyDescent="0.3">
      <c r="A743" s="223">
        <v>742</v>
      </c>
      <c r="B743" s="223" t="s">
        <v>1124</v>
      </c>
      <c r="C743" s="223" t="s">
        <v>1224</v>
      </c>
      <c r="D743" s="223" t="s">
        <v>1221</v>
      </c>
      <c r="E743" s="223" t="s">
        <v>21</v>
      </c>
      <c r="F743" s="223" t="s">
        <v>27</v>
      </c>
      <c r="G743" s="223" t="s">
        <v>1206</v>
      </c>
    </row>
    <row r="744" spans="1:7" x14ac:dyDescent="0.3">
      <c r="A744" s="223">
        <v>743</v>
      </c>
      <c r="B744" s="223" t="s">
        <v>1124</v>
      </c>
      <c r="C744" s="223" t="s">
        <v>1224</v>
      </c>
      <c r="D744" s="223" t="s">
        <v>1221</v>
      </c>
      <c r="E744" s="223" t="s">
        <v>21</v>
      </c>
      <c r="F744" s="223" t="s">
        <v>1096</v>
      </c>
      <c r="G744" s="223" t="s">
        <v>1194</v>
      </c>
    </row>
    <row r="745" spans="1:7" x14ac:dyDescent="0.3">
      <c r="A745" s="223">
        <v>744</v>
      </c>
      <c r="B745" s="223" t="s">
        <v>1124</v>
      </c>
      <c r="C745" s="223" t="s">
        <v>1224</v>
      </c>
      <c r="D745" s="223" t="s">
        <v>1221</v>
      </c>
      <c r="E745" s="223" t="s">
        <v>21</v>
      </c>
      <c r="F745" s="223" t="s">
        <v>1090</v>
      </c>
      <c r="G745" s="223" t="s">
        <v>1219</v>
      </c>
    </row>
    <row r="746" spans="1:7" x14ac:dyDescent="0.3">
      <c r="A746" s="223">
        <v>745</v>
      </c>
      <c r="B746" s="223" t="s">
        <v>1124</v>
      </c>
      <c r="C746" s="223" t="s">
        <v>1224</v>
      </c>
      <c r="D746" s="223" t="s">
        <v>1222</v>
      </c>
      <c r="E746" s="223" t="s">
        <v>1087</v>
      </c>
      <c r="F746" s="223" t="s">
        <v>1093</v>
      </c>
      <c r="G746" s="223" t="s">
        <v>1127</v>
      </c>
    </row>
    <row r="747" spans="1:7" x14ac:dyDescent="0.3">
      <c r="A747" s="223">
        <v>746</v>
      </c>
      <c r="B747" s="223" t="s">
        <v>1124</v>
      </c>
      <c r="C747" s="223" t="s">
        <v>1224</v>
      </c>
      <c r="D747" s="223" t="s">
        <v>1222</v>
      </c>
      <c r="E747" s="223" t="s">
        <v>1087</v>
      </c>
      <c r="F747" s="223" t="s">
        <v>27</v>
      </c>
      <c r="G747" s="223" t="s">
        <v>1123</v>
      </c>
    </row>
    <row r="748" spans="1:7" x14ac:dyDescent="0.3">
      <c r="A748" s="223">
        <v>747</v>
      </c>
      <c r="B748" s="223" t="s">
        <v>1124</v>
      </c>
      <c r="C748" s="223" t="s">
        <v>1224</v>
      </c>
      <c r="D748" s="223" t="s">
        <v>1222</v>
      </c>
      <c r="E748" s="223" t="s">
        <v>1087</v>
      </c>
      <c r="F748" s="223" t="s">
        <v>1096</v>
      </c>
      <c r="G748" s="223" t="s">
        <v>1207</v>
      </c>
    </row>
    <row r="749" spans="1:7" x14ac:dyDescent="0.3">
      <c r="A749" s="223">
        <v>748</v>
      </c>
      <c r="B749" s="223" t="s">
        <v>1124</v>
      </c>
      <c r="C749" s="223" t="s">
        <v>1224</v>
      </c>
      <c r="D749" s="223" t="s">
        <v>1222</v>
      </c>
      <c r="E749" s="223" t="s">
        <v>1087</v>
      </c>
      <c r="F749" s="223" t="s">
        <v>1090</v>
      </c>
      <c r="G749" s="223" t="s">
        <v>1219</v>
      </c>
    </row>
    <row r="750" spans="1:7" x14ac:dyDescent="0.3">
      <c r="A750" s="223">
        <v>749</v>
      </c>
      <c r="B750" s="223" t="s">
        <v>1124</v>
      </c>
      <c r="C750" s="223" t="s">
        <v>1224</v>
      </c>
      <c r="D750" s="223" t="s">
        <v>1222</v>
      </c>
      <c r="E750" s="223" t="s">
        <v>21</v>
      </c>
      <c r="F750" s="223" t="s">
        <v>1093</v>
      </c>
      <c r="G750" s="223" t="s">
        <v>1219</v>
      </c>
    </row>
    <row r="751" spans="1:7" x14ac:dyDescent="0.3">
      <c r="A751" s="223">
        <v>750</v>
      </c>
      <c r="B751" s="223" t="s">
        <v>1124</v>
      </c>
      <c r="C751" s="223" t="s">
        <v>1224</v>
      </c>
      <c r="D751" s="223" t="s">
        <v>1222</v>
      </c>
      <c r="E751" s="223" t="s">
        <v>21</v>
      </c>
      <c r="F751" s="223" t="s">
        <v>27</v>
      </c>
      <c r="G751" s="223" t="s">
        <v>1206</v>
      </c>
    </row>
    <row r="752" spans="1:7" x14ac:dyDescent="0.3">
      <c r="A752" s="223">
        <v>751</v>
      </c>
      <c r="B752" s="223" t="s">
        <v>1124</v>
      </c>
      <c r="C752" s="223" t="s">
        <v>1224</v>
      </c>
      <c r="D752" s="223" t="s">
        <v>1222</v>
      </c>
      <c r="E752" s="223" t="s">
        <v>21</v>
      </c>
      <c r="F752" s="223" t="s">
        <v>1096</v>
      </c>
      <c r="G752" s="223" t="s">
        <v>1194</v>
      </c>
    </row>
    <row r="753" spans="1:7" x14ac:dyDescent="0.3">
      <c r="A753" s="223">
        <v>752</v>
      </c>
      <c r="B753" s="223" t="s">
        <v>1124</v>
      </c>
      <c r="C753" s="223" t="s">
        <v>1224</v>
      </c>
      <c r="D753" s="223" t="s">
        <v>1222</v>
      </c>
      <c r="E753" s="223" t="s">
        <v>21</v>
      </c>
      <c r="F753" s="223" t="s">
        <v>1090</v>
      </c>
      <c r="G753" s="223" t="s">
        <v>1219</v>
      </c>
    </row>
    <row r="754" spans="1:7" x14ac:dyDescent="0.3">
      <c r="A754" s="223">
        <v>753</v>
      </c>
      <c r="B754" s="223" t="s">
        <v>1124</v>
      </c>
      <c r="C754" s="223" t="s">
        <v>1224</v>
      </c>
      <c r="D754" s="223" t="s">
        <v>1223</v>
      </c>
      <c r="E754" s="223" t="s">
        <v>1087</v>
      </c>
      <c r="F754" s="223" t="s">
        <v>1093</v>
      </c>
      <c r="G754" s="223" t="s">
        <v>1219</v>
      </c>
    </row>
    <row r="755" spans="1:7" x14ac:dyDescent="0.3">
      <c r="A755" s="223">
        <v>754</v>
      </c>
      <c r="B755" s="223" t="s">
        <v>1124</v>
      </c>
      <c r="C755" s="223" t="s">
        <v>1224</v>
      </c>
      <c r="D755" s="223" t="s">
        <v>1223</v>
      </c>
      <c r="E755" s="223" t="s">
        <v>1087</v>
      </c>
      <c r="F755" s="223" t="s">
        <v>27</v>
      </c>
      <c r="G755" s="223" t="s">
        <v>1219</v>
      </c>
    </row>
    <row r="756" spans="1:7" x14ac:dyDescent="0.3">
      <c r="A756" s="223">
        <v>755</v>
      </c>
      <c r="B756" s="223" t="s">
        <v>1124</v>
      </c>
      <c r="C756" s="223" t="s">
        <v>1224</v>
      </c>
      <c r="D756" s="223" t="s">
        <v>1223</v>
      </c>
      <c r="E756" s="223" t="s">
        <v>1087</v>
      </c>
      <c r="F756" s="223" t="s">
        <v>1096</v>
      </c>
      <c r="G756" s="223" t="s">
        <v>1201</v>
      </c>
    </row>
    <row r="757" spans="1:7" x14ac:dyDescent="0.3">
      <c r="A757" s="223">
        <v>756</v>
      </c>
      <c r="B757" s="223" t="s">
        <v>1124</v>
      </c>
      <c r="C757" s="223" t="s">
        <v>1224</v>
      </c>
      <c r="D757" s="223" t="s">
        <v>1223</v>
      </c>
      <c r="E757" s="223" t="s">
        <v>1087</v>
      </c>
      <c r="F757" s="223" t="s">
        <v>1090</v>
      </c>
      <c r="G757" s="223" t="s">
        <v>1190</v>
      </c>
    </row>
    <row r="758" spans="1:7" x14ac:dyDescent="0.3">
      <c r="A758" s="223">
        <v>757</v>
      </c>
      <c r="B758" s="223" t="s">
        <v>1124</v>
      </c>
      <c r="C758" s="223" t="s">
        <v>1224</v>
      </c>
      <c r="D758" s="223" t="s">
        <v>1223</v>
      </c>
      <c r="E758" s="223" t="s">
        <v>21</v>
      </c>
      <c r="F758" s="223" t="s">
        <v>1093</v>
      </c>
      <c r="G758" s="223" t="s">
        <v>1219</v>
      </c>
    </row>
    <row r="759" spans="1:7" x14ac:dyDescent="0.3">
      <c r="A759" s="223">
        <v>758</v>
      </c>
      <c r="B759" s="223" t="s">
        <v>1124</v>
      </c>
      <c r="C759" s="223" t="s">
        <v>1224</v>
      </c>
      <c r="D759" s="223" t="s">
        <v>1223</v>
      </c>
      <c r="E759" s="223" t="s">
        <v>21</v>
      </c>
      <c r="F759" s="223" t="s">
        <v>27</v>
      </c>
      <c r="G759" s="223" t="s">
        <v>1204</v>
      </c>
    </row>
    <row r="760" spans="1:7" x14ac:dyDescent="0.3">
      <c r="A760" s="223">
        <v>759</v>
      </c>
      <c r="B760" s="223" t="s">
        <v>1124</v>
      </c>
      <c r="C760" s="223" t="s">
        <v>1224</v>
      </c>
      <c r="D760" s="223" t="s">
        <v>1223</v>
      </c>
      <c r="E760" s="223" t="s">
        <v>21</v>
      </c>
      <c r="F760" s="223" t="s">
        <v>1096</v>
      </c>
      <c r="G760" s="223" t="s">
        <v>1191</v>
      </c>
    </row>
    <row r="761" spans="1:7" x14ac:dyDescent="0.3">
      <c r="A761" s="223">
        <v>760</v>
      </c>
      <c r="B761" s="223" t="s">
        <v>1124</v>
      </c>
      <c r="C761" s="223" t="s">
        <v>1224</v>
      </c>
      <c r="D761" s="223" t="s">
        <v>1223</v>
      </c>
      <c r="E761" s="223" t="s">
        <v>21</v>
      </c>
      <c r="F761" s="223" t="s">
        <v>1090</v>
      </c>
      <c r="G761" s="223" t="s">
        <v>1203</v>
      </c>
    </row>
    <row r="762" spans="1:7" x14ac:dyDescent="0.3">
      <c r="A762" s="223">
        <v>761</v>
      </c>
      <c r="B762" s="223" t="s">
        <v>1124</v>
      </c>
      <c r="C762" s="223" t="s">
        <v>1224</v>
      </c>
      <c r="D762" s="223" t="s">
        <v>12</v>
      </c>
      <c r="E762" s="223" t="s">
        <v>1087</v>
      </c>
      <c r="F762" s="223" t="s">
        <v>1093</v>
      </c>
      <c r="G762" s="223" t="s">
        <v>1219</v>
      </c>
    </row>
    <row r="763" spans="1:7" x14ac:dyDescent="0.3">
      <c r="A763" s="223">
        <v>762</v>
      </c>
      <c r="B763" s="223" t="s">
        <v>1124</v>
      </c>
      <c r="C763" s="223" t="s">
        <v>1224</v>
      </c>
      <c r="D763" s="223" t="s">
        <v>12</v>
      </c>
      <c r="E763" s="223" t="s">
        <v>1087</v>
      </c>
      <c r="F763" s="223" t="s">
        <v>27</v>
      </c>
      <c r="G763" s="223" t="s">
        <v>1219</v>
      </c>
    </row>
    <row r="764" spans="1:7" x14ac:dyDescent="0.3">
      <c r="A764" s="223">
        <v>763</v>
      </c>
      <c r="B764" s="223" t="s">
        <v>1124</v>
      </c>
      <c r="C764" s="223" t="s">
        <v>1224</v>
      </c>
      <c r="D764" s="223" t="s">
        <v>12</v>
      </c>
      <c r="E764" s="223" t="s">
        <v>1087</v>
      </c>
      <c r="F764" s="223" t="s">
        <v>1096</v>
      </c>
      <c r="G764" s="223" t="s">
        <v>1201</v>
      </c>
    </row>
    <row r="765" spans="1:7" x14ac:dyDescent="0.3">
      <c r="A765" s="223">
        <v>764</v>
      </c>
      <c r="B765" s="223" t="s">
        <v>1124</v>
      </c>
      <c r="C765" s="223" t="s">
        <v>1224</v>
      </c>
      <c r="D765" s="223" t="s">
        <v>12</v>
      </c>
      <c r="E765" s="223" t="s">
        <v>1087</v>
      </c>
      <c r="F765" s="223" t="s">
        <v>1090</v>
      </c>
      <c r="G765" s="223" t="s">
        <v>1190</v>
      </c>
    </row>
    <row r="766" spans="1:7" x14ac:dyDescent="0.3">
      <c r="A766" s="223">
        <v>765</v>
      </c>
      <c r="B766" s="223" t="s">
        <v>1124</v>
      </c>
      <c r="C766" s="223" t="s">
        <v>1224</v>
      </c>
      <c r="D766" s="223" t="s">
        <v>12</v>
      </c>
      <c r="E766" s="223" t="s">
        <v>21</v>
      </c>
      <c r="F766" s="223" t="s">
        <v>1093</v>
      </c>
      <c r="G766" s="223" t="s">
        <v>1219</v>
      </c>
    </row>
    <row r="767" spans="1:7" x14ac:dyDescent="0.3">
      <c r="A767" s="223">
        <v>766</v>
      </c>
      <c r="B767" s="223" t="s">
        <v>1124</v>
      </c>
      <c r="C767" s="223" t="s">
        <v>1224</v>
      </c>
      <c r="D767" s="223" t="s">
        <v>12</v>
      </c>
      <c r="E767" s="223" t="s">
        <v>21</v>
      </c>
      <c r="F767" s="223" t="s">
        <v>27</v>
      </c>
      <c r="G767" s="223" t="s">
        <v>1204</v>
      </c>
    </row>
    <row r="768" spans="1:7" x14ac:dyDescent="0.3">
      <c r="A768" s="223">
        <v>767</v>
      </c>
      <c r="B768" s="223" t="s">
        <v>1124</v>
      </c>
      <c r="C768" s="223" t="s">
        <v>1224</v>
      </c>
      <c r="D768" s="223" t="s">
        <v>12</v>
      </c>
      <c r="E768" s="223" t="s">
        <v>21</v>
      </c>
      <c r="F768" s="223" t="s">
        <v>1096</v>
      </c>
      <c r="G768" s="223" t="s">
        <v>1191</v>
      </c>
    </row>
    <row r="769" spans="1:7" x14ac:dyDescent="0.3">
      <c r="A769" s="223">
        <v>768</v>
      </c>
      <c r="B769" s="223" t="s">
        <v>1124</v>
      </c>
      <c r="C769" s="223" t="s">
        <v>1224</v>
      </c>
      <c r="D769" s="223" t="s">
        <v>12</v>
      </c>
      <c r="E769" s="223" t="s">
        <v>21</v>
      </c>
      <c r="F769" s="223" t="s">
        <v>1090</v>
      </c>
      <c r="G769" s="223" t="s">
        <v>1203</v>
      </c>
    </row>
    <row r="770" spans="1:7" x14ac:dyDescent="0.3">
      <c r="A770" s="223">
        <v>769</v>
      </c>
      <c r="B770" s="223" t="s">
        <v>1124</v>
      </c>
      <c r="C770" s="223" t="s">
        <v>1225</v>
      </c>
      <c r="D770" s="223" t="s">
        <v>1218</v>
      </c>
      <c r="E770" s="223" t="s">
        <v>1087</v>
      </c>
      <c r="F770" s="223" t="s">
        <v>1093</v>
      </c>
      <c r="G770" s="223" t="s">
        <v>1127</v>
      </c>
    </row>
    <row r="771" spans="1:7" x14ac:dyDescent="0.3">
      <c r="A771" s="223">
        <v>770</v>
      </c>
      <c r="B771" s="223" t="s">
        <v>1124</v>
      </c>
      <c r="C771" s="223" t="s">
        <v>1225</v>
      </c>
      <c r="D771" s="223" t="s">
        <v>1218</v>
      </c>
      <c r="E771" s="223" t="s">
        <v>1087</v>
      </c>
      <c r="F771" s="223" t="s">
        <v>27</v>
      </c>
      <c r="G771" s="223" t="s">
        <v>1123</v>
      </c>
    </row>
    <row r="772" spans="1:7" x14ac:dyDescent="0.3">
      <c r="A772" s="223">
        <v>771</v>
      </c>
      <c r="B772" s="223" t="s">
        <v>1124</v>
      </c>
      <c r="C772" s="223" t="s">
        <v>1225</v>
      </c>
      <c r="D772" s="223" t="s">
        <v>1218</v>
      </c>
      <c r="E772" s="223" t="s">
        <v>1087</v>
      </c>
      <c r="F772" s="223" t="s">
        <v>1096</v>
      </c>
      <c r="G772" s="223" t="s">
        <v>1207</v>
      </c>
    </row>
    <row r="773" spans="1:7" x14ac:dyDescent="0.3">
      <c r="A773" s="223">
        <v>772</v>
      </c>
      <c r="B773" s="223" t="s">
        <v>1124</v>
      </c>
      <c r="C773" s="223" t="s">
        <v>1225</v>
      </c>
      <c r="D773" s="223" t="s">
        <v>1218</v>
      </c>
      <c r="E773" s="223" t="s">
        <v>1087</v>
      </c>
      <c r="F773" s="223" t="s">
        <v>1090</v>
      </c>
      <c r="G773" s="223" t="s">
        <v>1219</v>
      </c>
    </row>
    <row r="774" spans="1:7" x14ac:dyDescent="0.3">
      <c r="A774" s="223">
        <v>773</v>
      </c>
      <c r="B774" s="223" t="s">
        <v>1124</v>
      </c>
      <c r="C774" s="223" t="s">
        <v>1225</v>
      </c>
      <c r="D774" s="223" t="s">
        <v>1218</v>
      </c>
      <c r="E774" s="223" t="s">
        <v>21</v>
      </c>
      <c r="F774" s="223" t="s">
        <v>1093</v>
      </c>
      <c r="G774" s="223" t="s">
        <v>1219</v>
      </c>
    </row>
    <row r="775" spans="1:7" x14ac:dyDescent="0.3">
      <c r="A775" s="223">
        <v>774</v>
      </c>
      <c r="B775" s="223" t="s">
        <v>1124</v>
      </c>
      <c r="C775" s="223" t="s">
        <v>1225</v>
      </c>
      <c r="D775" s="223" t="s">
        <v>1218</v>
      </c>
      <c r="E775" s="223" t="s">
        <v>21</v>
      </c>
      <c r="F775" s="223" t="s">
        <v>27</v>
      </c>
      <c r="G775" s="223" t="s">
        <v>1206</v>
      </c>
    </row>
    <row r="776" spans="1:7" x14ac:dyDescent="0.3">
      <c r="A776" s="223">
        <v>775</v>
      </c>
      <c r="B776" s="223" t="s">
        <v>1124</v>
      </c>
      <c r="C776" s="223" t="s">
        <v>1225</v>
      </c>
      <c r="D776" s="223" t="s">
        <v>1218</v>
      </c>
      <c r="E776" s="223" t="s">
        <v>21</v>
      </c>
      <c r="F776" s="223" t="s">
        <v>1096</v>
      </c>
      <c r="G776" s="223" t="s">
        <v>1194</v>
      </c>
    </row>
    <row r="777" spans="1:7" x14ac:dyDescent="0.3">
      <c r="A777" s="223">
        <v>776</v>
      </c>
      <c r="B777" s="223" t="s">
        <v>1124</v>
      </c>
      <c r="C777" s="223" t="s">
        <v>1225</v>
      </c>
      <c r="D777" s="223" t="s">
        <v>1218</v>
      </c>
      <c r="E777" s="223" t="s">
        <v>21</v>
      </c>
      <c r="F777" s="223" t="s">
        <v>1090</v>
      </c>
      <c r="G777" s="223" t="s">
        <v>1219</v>
      </c>
    </row>
    <row r="778" spans="1:7" x14ac:dyDescent="0.3">
      <c r="A778" s="223">
        <v>777</v>
      </c>
      <c r="B778" s="223" t="s">
        <v>1124</v>
      </c>
      <c r="C778" s="223" t="s">
        <v>1225</v>
      </c>
      <c r="D778" s="223" t="s">
        <v>1220</v>
      </c>
      <c r="E778" s="223" t="s">
        <v>1087</v>
      </c>
      <c r="F778" s="223" t="s">
        <v>1093</v>
      </c>
      <c r="G778" s="223" t="s">
        <v>1127</v>
      </c>
    </row>
    <row r="779" spans="1:7" x14ac:dyDescent="0.3">
      <c r="A779" s="223">
        <v>778</v>
      </c>
      <c r="B779" s="223" t="s">
        <v>1124</v>
      </c>
      <c r="C779" s="223" t="s">
        <v>1225</v>
      </c>
      <c r="D779" s="223" t="s">
        <v>1220</v>
      </c>
      <c r="E779" s="223" t="s">
        <v>1087</v>
      </c>
      <c r="F779" s="223" t="s">
        <v>27</v>
      </c>
      <c r="G779" s="223" t="s">
        <v>1123</v>
      </c>
    </row>
    <row r="780" spans="1:7" x14ac:dyDescent="0.3">
      <c r="A780" s="223">
        <v>779</v>
      </c>
      <c r="B780" s="223" t="s">
        <v>1124</v>
      </c>
      <c r="C780" s="223" t="s">
        <v>1225</v>
      </c>
      <c r="D780" s="223" t="s">
        <v>1220</v>
      </c>
      <c r="E780" s="223" t="s">
        <v>1087</v>
      </c>
      <c r="F780" s="223" t="s">
        <v>1096</v>
      </c>
      <c r="G780" s="223" t="s">
        <v>1207</v>
      </c>
    </row>
    <row r="781" spans="1:7" x14ac:dyDescent="0.3">
      <c r="A781" s="223">
        <v>780</v>
      </c>
      <c r="B781" s="223" t="s">
        <v>1124</v>
      </c>
      <c r="C781" s="223" t="s">
        <v>1225</v>
      </c>
      <c r="D781" s="223" t="s">
        <v>1220</v>
      </c>
      <c r="E781" s="223" t="s">
        <v>1087</v>
      </c>
      <c r="F781" s="223" t="s">
        <v>1090</v>
      </c>
      <c r="G781" s="223" t="s">
        <v>1219</v>
      </c>
    </row>
    <row r="782" spans="1:7" x14ac:dyDescent="0.3">
      <c r="A782" s="223">
        <v>781</v>
      </c>
      <c r="B782" s="223" t="s">
        <v>1124</v>
      </c>
      <c r="C782" s="223" t="s">
        <v>1225</v>
      </c>
      <c r="D782" s="223" t="s">
        <v>1220</v>
      </c>
      <c r="E782" s="223" t="s">
        <v>21</v>
      </c>
      <c r="F782" s="223" t="s">
        <v>1093</v>
      </c>
      <c r="G782" s="223" t="s">
        <v>1219</v>
      </c>
    </row>
    <row r="783" spans="1:7" x14ac:dyDescent="0.3">
      <c r="A783" s="223">
        <v>782</v>
      </c>
      <c r="B783" s="223" t="s">
        <v>1124</v>
      </c>
      <c r="C783" s="223" t="s">
        <v>1225</v>
      </c>
      <c r="D783" s="223" t="s">
        <v>1220</v>
      </c>
      <c r="E783" s="223" t="s">
        <v>21</v>
      </c>
      <c r="F783" s="223" t="s">
        <v>27</v>
      </c>
      <c r="G783" s="223" t="s">
        <v>1206</v>
      </c>
    </row>
    <row r="784" spans="1:7" x14ac:dyDescent="0.3">
      <c r="A784" s="223">
        <v>783</v>
      </c>
      <c r="B784" s="223" t="s">
        <v>1124</v>
      </c>
      <c r="C784" s="223" t="s">
        <v>1225</v>
      </c>
      <c r="D784" s="223" t="s">
        <v>1220</v>
      </c>
      <c r="E784" s="223" t="s">
        <v>21</v>
      </c>
      <c r="F784" s="223" t="s">
        <v>1096</v>
      </c>
      <c r="G784" s="223" t="s">
        <v>1194</v>
      </c>
    </row>
    <row r="785" spans="1:7" x14ac:dyDescent="0.3">
      <c r="A785" s="223">
        <v>784</v>
      </c>
      <c r="B785" s="223" t="s">
        <v>1124</v>
      </c>
      <c r="C785" s="223" t="s">
        <v>1225</v>
      </c>
      <c r="D785" s="223" t="s">
        <v>1220</v>
      </c>
      <c r="E785" s="223" t="s">
        <v>21</v>
      </c>
      <c r="F785" s="223" t="s">
        <v>1090</v>
      </c>
      <c r="G785" s="223" t="s">
        <v>1219</v>
      </c>
    </row>
    <row r="786" spans="1:7" x14ac:dyDescent="0.3">
      <c r="A786" s="223">
        <v>785</v>
      </c>
      <c r="B786" s="223" t="s">
        <v>1124</v>
      </c>
      <c r="C786" s="223" t="s">
        <v>1225</v>
      </c>
      <c r="D786" s="223" t="s">
        <v>1221</v>
      </c>
      <c r="E786" s="223" t="s">
        <v>1087</v>
      </c>
      <c r="F786" s="223" t="s">
        <v>1093</v>
      </c>
      <c r="G786" s="223" t="s">
        <v>1127</v>
      </c>
    </row>
    <row r="787" spans="1:7" x14ac:dyDescent="0.3">
      <c r="A787" s="223">
        <v>786</v>
      </c>
      <c r="B787" s="223" t="s">
        <v>1124</v>
      </c>
      <c r="C787" s="223" t="s">
        <v>1225</v>
      </c>
      <c r="D787" s="223" t="s">
        <v>1221</v>
      </c>
      <c r="E787" s="223" t="s">
        <v>1087</v>
      </c>
      <c r="F787" s="223" t="s">
        <v>27</v>
      </c>
      <c r="G787" s="223" t="s">
        <v>1123</v>
      </c>
    </row>
    <row r="788" spans="1:7" x14ac:dyDescent="0.3">
      <c r="A788" s="223">
        <v>787</v>
      </c>
      <c r="B788" s="223" t="s">
        <v>1124</v>
      </c>
      <c r="C788" s="223" t="s">
        <v>1225</v>
      </c>
      <c r="D788" s="223" t="s">
        <v>1221</v>
      </c>
      <c r="E788" s="223" t="s">
        <v>1087</v>
      </c>
      <c r="F788" s="223" t="s">
        <v>1096</v>
      </c>
      <c r="G788" s="223" t="s">
        <v>1207</v>
      </c>
    </row>
    <row r="789" spans="1:7" x14ac:dyDescent="0.3">
      <c r="A789" s="223">
        <v>788</v>
      </c>
      <c r="B789" s="223" t="s">
        <v>1124</v>
      </c>
      <c r="C789" s="223" t="s">
        <v>1225</v>
      </c>
      <c r="D789" s="223" t="s">
        <v>1221</v>
      </c>
      <c r="E789" s="223" t="s">
        <v>1087</v>
      </c>
      <c r="F789" s="223" t="s">
        <v>1090</v>
      </c>
      <c r="G789" s="223" t="s">
        <v>1219</v>
      </c>
    </row>
    <row r="790" spans="1:7" x14ac:dyDescent="0.3">
      <c r="A790" s="223">
        <v>789</v>
      </c>
      <c r="B790" s="223" t="s">
        <v>1124</v>
      </c>
      <c r="C790" s="223" t="s">
        <v>1225</v>
      </c>
      <c r="D790" s="223" t="s">
        <v>1221</v>
      </c>
      <c r="E790" s="223" t="s">
        <v>21</v>
      </c>
      <c r="F790" s="223" t="s">
        <v>1093</v>
      </c>
      <c r="G790" s="223" t="s">
        <v>1219</v>
      </c>
    </row>
    <row r="791" spans="1:7" x14ac:dyDescent="0.3">
      <c r="A791" s="223">
        <v>790</v>
      </c>
      <c r="B791" s="223" t="s">
        <v>1124</v>
      </c>
      <c r="C791" s="223" t="s">
        <v>1225</v>
      </c>
      <c r="D791" s="223" t="s">
        <v>1221</v>
      </c>
      <c r="E791" s="223" t="s">
        <v>21</v>
      </c>
      <c r="F791" s="223" t="s">
        <v>27</v>
      </c>
      <c r="G791" s="223" t="s">
        <v>1206</v>
      </c>
    </row>
    <row r="792" spans="1:7" x14ac:dyDescent="0.3">
      <c r="A792" s="223">
        <v>791</v>
      </c>
      <c r="B792" s="223" t="s">
        <v>1124</v>
      </c>
      <c r="C792" s="223" t="s">
        <v>1225</v>
      </c>
      <c r="D792" s="223" t="s">
        <v>1221</v>
      </c>
      <c r="E792" s="223" t="s">
        <v>21</v>
      </c>
      <c r="F792" s="223" t="s">
        <v>1096</v>
      </c>
      <c r="G792" s="223" t="s">
        <v>1194</v>
      </c>
    </row>
    <row r="793" spans="1:7" x14ac:dyDescent="0.3">
      <c r="A793" s="223">
        <v>792</v>
      </c>
      <c r="B793" s="223" t="s">
        <v>1124</v>
      </c>
      <c r="C793" s="223" t="s">
        <v>1225</v>
      </c>
      <c r="D793" s="223" t="s">
        <v>1221</v>
      </c>
      <c r="E793" s="223" t="s">
        <v>21</v>
      </c>
      <c r="F793" s="223" t="s">
        <v>1090</v>
      </c>
      <c r="G793" s="223" t="s">
        <v>1219</v>
      </c>
    </row>
    <row r="794" spans="1:7" x14ac:dyDescent="0.3">
      <c r="A794" s="223">
        <v>793</v>
      </c>
      <c r="B794" s="223" t="s">
        <v>1124</v>
      </c>
      <c r="C794" s="223" t="s">
        <v>1225</v>
      </c>
      <c r="D794" s="223" t="s">
        <v>1222</v>
      </c>
      <c r="E794" s="223" t="s">
        <v>1087</v>
      </c>
      <c r="F794" s="223" t="s">
        <v>1093</v>
      </c>
      <c r="G794" s="223" t="s">
        <v>1127</v>
      </c>
    </row>
    <row r="795" spans="1:7" x14ac:dyDescent="0.3">
      <c r="A795" s="223">
        <v>794</v>
      </c>
      <c r="B795" s="223" t="s">
        <v>1124</v>
      </c>
      <c r="C795" s="223" t="s">
        <v>1225</v>
      </c>
      <c r="D795" s="223" t="s">
        <v>1222</v>
      </c>
      <c r="E795" s="223" t="s">
        <v>1087</v>
      </c>
      <c r="F795" s="223" t="s">
        <v>27</v>
      </c>
      <c r="G795" s="223" t="s">
        <v>1123</v>
      </c>
    </row>
    <row r="796" spans="1:7" x14ac:dyDescent="0.3">
      <c r="A796" s="223">
        <v>795</v>
      </c>
      <c r="B796" s="223" t="s">
        <v>1124</v>
      </c>
      <c r="C796" s="223" t="s">
        <v>1225</v>
      </c>
      <c r="D796" s="223" t="s">
        <v>1222</v>
      </c>
      <c r="E796" s="223" t="s">
        <v>1087</v>
      </c>
      <c r="F796" s="223" t="s">
        <v>1096</v>
      </c>
      <c r="G796" s="223" t="s">
        <v>1207</v>
      </c>
    </row>
    <row r="797" spans="1:7" x14ac:dyDescent="0.3">
      <c r="A797" s="223">
        <v>796</v>
      </c>
      <c r="B797" s="223" t="s">
        <v>1124</v>
      </c>
      <c r="C797" s="223" t="s">
        <v>1225</v>
      </c>
      <c r="D797" s="223" t="s">
        <v>1222</v>
      </c>
      <c r="E797" s="223" t="s">
        <v>1087</v>
      </c>
      <c r="F797" s="223" t="s">
        <v>1090</v>
      </c>
      <c r="G797" s="223" t="s">
        <v>1219</v>
      </c>
    </row>
    <row r="798" spans="1:7" x14ac:dyDescent="0.3">
      <c r="A798" s="223">
        <v>797</v>
      </c>
      <c r="B798" s="223" t="s">
        <v>1124</v>
      </c>
      <c r="C798" s="223" t="s">
        <v>1225</v>
      </c>
      <c r="D798" s="223" t="s">
        <v>1222</v>
      </c>
      <c r="E798" s="223" t="s">
        <v>21</v>
      </c>
      <c r="F798" s="223" t="s">
        <v>1093</v>
      </c>
      <c r="G798" s="223" t="s">
        <v>1219</v>
      </c>
    </row>
    <row r="799" spans="1:7" x14ac:dyDescent="0.3">
      <c r="A799" s="223">
        <v>798</v>
      </c>
      <c r="B799" s="223" t="s">
        <v>1124</v>
      </c>
      <c r="C799" s="223" t="s">
        <v>1225</v>
      </c>
      <c r="D799" s="223" t="s">
        <v>1222</v>
      </c>
      <c r="E799" s="223" t="s">
        <v>21</v>
      </c>
      <c r="F799" s="223" t="s">
        <v>27</v>
      </c>
      <c r="G799" s="223" t="s">
        <v>1206</v>
      </c>
    </row>
    <row r="800" spans="1:7" x14ac:dyDescent="0.3">
      <c r="A800" s="223">
        <v>799</v>
      </c>
      <c r="B800" s="223" t="s">
        <v>1124</v>
      </c>
      <c r="C800" s="223" t="s">
        <v>1225</v>
      </c>
      <c r="D800" s="223" t="s">
        <v>1222</v>
      </c>
      <c r="E800" s="223" t="s">
        <v>21</v>
      </c>
      <c r="F800" s="223" t="s">
        <v>1096</v>
      </c>
      <c r="G800" s="223" t="s">
        <v>1194</v>
      </c>
    </row>
    <row r="801" spans="1:7" x14ac:dyDescent="0.3">
      <c r="A801" s="223">
        <v>800</v>
      </c>
      <c r="B801" s="223" t="s">
        <v>1124</v>
      </c>
      <c r="C801" s="223" t="s">
        <v>1225</v>
      </c>
      <c r="D801" s="223" t="s">
        <v>1222</v>
      </c>
      <c r="E801" s="223" t="s">
        <v>21</v>
      </c>
      <c r="F801" s="223" t="s">
        <v>1090</v>
      </c>
      <c r="G801" s="223" t="s">
        <v>1219</v>
      </c>
    </row>
    <row r="802" spans="1:7" x14ac:dyDescent="0.3">
      <c r="A802" s="223">
        <v>801</v>
      </c>
      <c r="B802" s="223" t="s">
        <v>1124</v>
      </c>
      <c r="C802" s="223" t="s">
        <v>1225</v>
      </c>
      <c r="D802" s="223" t="s">
        <v>1223</v>
      </c>
      <c r="E802" s="223" t="s">
        <v>1087</v>
      </c>
      <c r="F802" s="223" t="s">
        <v>1093</v>
      </c>
      <c r="G802" s="223" t="s">
        <v>1219</v>
      </c>
    </row>
    <row r="803" spans="1:7" x14ac:dyDescent="0.3">
      <c r="A803" s="223">
        <v>802</v>
      </c>
      <c r="B803" s="223" t="s">
        <v>1124</v>
      </c>
      <c r="C803" s="223" t="s">
        <v>1225</v>
      </c>
      <c r="D803" s="223" t="s">
        <v>1223</v>
      </c>
      <c r="E803" s="223" t="s">
        <v>1087</v>
      </c>
      <c r="F803" s="223" t="s">
        <v>27</v>
      </c>
      <c r="G803" s="223" t="s">
        <v>1219</v>
      </c>
    </row>
    <row r="804" spans="1:7" x14ac:dyDescent="0.3">
      <c r="A804" s="223">
        <v>803</v>
      </c>
      <c r="B804" s="223" t="s">
        <v>1124</v>
      </c>
      <c r="C804" s="223" t="s">
        <v>1225</v>
      </c>
      <c r="D804" s="223" t="s">
        <v>1223</v>
      </c>
      <c r="E804" s="223" t="s">
        <v>1087</v>
      </c>
      <c r="F804" s="223" t="s">
        <v>1096</v>
      </c>
      <c r="G804" s="223" t="s">
        <v>1201</v>
      </c>
    </row>
    <row r="805" spans="1:7" x14ac:dyDescent="0.3">
      <c r="A805" s="223">
        <v>804</v>
      </c>
      <c r="B805" s="223" t="s">
        <v>1124</v>
      </c>
      <c r="C805" s="223" t="s">
        <v>1225</v>
      </c>
      <c r="D805" s="223" t="s">
        <v>1223</v>
      </c>
      <c r="E805" s="223" t="s">
        <v>1087</v>
      </c>
      <c r="F805" s="223" t="s">
        <v>1090</v>
      </c>
      <c r="G805" s="223" t="s">
        <v>1190</v>
      </c>
    </row>
    <row r="806" spans="1:7" x14ac:dyDescent="0.3">
      <c r="A806" s="223">
        <v>805</v>
      </c>
      <c r="B806" s="223" t="s">
        <v>1124</v>
      </c>
      <c r="C806" s="223" t="s">
        <v>1225</v>
      </c>
      <c r="D806" s="223" t="s">
        <v>1223</v>
      </c>
      <c r="E806" s="223" t="s">
        <v>21</v>
      </c>
      <c r="F806" s="223" t="s">
        <v>1093</v>
      </c>
      <c r="G806" s="223" t="s">
        <v>1219</v>
      </c>
    </row>
    <row r="807" spans="1:7" x14ac:dyDescent="0.3">
      <c r="A807" s="223">
        <v>806</v>
      </c>
      <c r="B807" s="223" t="s">
        <v>1124</v>
      </c>
      <c r="C807" s="223" t="s">
        <v>1225</v>
      </c>
      <c r="D807" s="223" t="s">
        <v>1223</v>
      </c>
      <c r="E807" s="223" t="s">
        <v>21</v>
      </c>
      <c r="F807" s="223" t="s">
        <v>27</v>
      </c>
      <c r="G807" s="223" t="s">
        <v>1204</v>
      </c>
    </row>
    <row r="808" spans="1:7" x14ac:dyDescent="0.3">
      <c r="A808" s="223">
        <v>807</v>
      </c>
      <c r="B808" s="223" t="s">
        <v>1124</v>
      </c>
      <c r="C808" s="223" t="s">
        <v>1225</v>
      </c>
      <c r="D808" s="223" t="s">
        <v>1223</v>
      </c>
      <c r="E808" s="223" t="s">
        <v>21</v>
      </c>
      <c r="F808" s="223" t="s">
        <v>1096</v>
      </c>
      <c r="G808" s="223" t="s">
        <v>1191</v>
      </c>
    </row>
    <row r="809" spans="1:7" x14ac:dyDescent="0.3">
      <c r="A809" s="223">
        <v>808</v>
      </c>
      <c r="B809" s="223" t="s">
        <v>1124</v>
      </c>
      <c r="C809" s="223" t="s">
        <v>1225</v>
      </c>
      <c r="D809" s="223" t="s">
        <v>1223</v>
      </c>
      <c r="E809" s="223" t="s">
        <v>21</v>
      </c>
      <c r="F809" s="223" t="s">
        <v>1090</v>
      </c>
      <c r="G809" s="223" t="s">
        <v>1203</v>
      </c>
    </row>
    <row r="810" spans="1:7" x14ac:dyDescent="0.3">
      <c r="A810" s="223">
        <v>809</v>
      </c>
      <c r="B810" s="223" t="s">
        <v>1124</v>
      </c>
      <c r="C810" s="223" t="s">
        <v>1225</v>
      </c>
      <c r="D810" s="223" t="s">
        <v>12</v>
      </c>
      <c r="E810" s="223" t="s">
        <v>1087</v>
      </c>
      <c r="F810" s="223" t="s">
        <v>1093</v>
      </c>
      <c r="G810" s="223" t="s">
        <v>1219</v>
      </c>
    </row>
    <row r="811" spans="1:7" x14ac:dyDescent="0.3">
      <c r="A811" s="223">
        <v>810</v>
      </c>
      <c r="B811" s="223" t="s">
        <v>1124</v>
      </c>
      <c r="C811" s="223" t="s">
        <v>1225</v>
      </c>
      <c r="D811" s="223" t="s">
        <v>12</v>
      </c>
      <c r="E811" s="223" t="s">
        <v>1087</v>
      </c>
      <c r="F811" s="223" t="s">
        <v>27</v>
      </c>
      <c r="G811" s="223" t="s">
        <v>1219</v>
      </c>
    </row>
    <row r="812" spans="1:7" x14ac:dyDescent="0.3">
      <c r="A812" s="223">
        <v>811</v>
      </c>
      <c r="B812" s="223" t="s">
        <v>1124</v>
      </c>
      <c r="C812" s="223" t="s">
        <v>1225</v>
      </c>
      <c r="D812" s="223" t="s">
        <v>12</v>
      </c>
      <c r="E812" s="223" t="s">
        <v>1087</v>
      </c>
      <c r="F812" s="223" t="s">
        <v>1096</v>
      </c>
      <c r="G812" s="223" t="s">
        <v>1201</v>
      </c>
    </row>
    <row r="813" spans="1:7" x14ac:dyDescent="0.3">
      <c r="A813" s="223">
        <v>812</v>
      </c>
      <c r="B813" s="223" t="s">
        <v>1124</v>
      </c>
      <c r="C813" s="223" t="s">
        <v>1225</v>
      </c>
      <c r="D813" s="223" t="s">
        <v>12</v>
      </c>
      <c r="E813" s="223" t="s">
        <v>1087</v>
      </c>
      <c r="F813" s="223" t="s">
        <v>1090</v>
      </c>
      <c r="G813" s="223" t="s">
        <v>1190</v>
      </c>
    </row>
    <row r="814" spans="1:7" x14ac:dyDescent="0.3">
      <c r="A814" s="223">
        <v>813</v>
      </c>
      <c r="B814" s="223" t="s">
        <v>1124</v>
      </c>
      <c r="C814" s="223" t="s">
        <v>1225</v>
      </c>
      <c r="D814" s="223" t="s">
        <v>12</v>
      </c>
      <c r="E814" s="223" t="s">
        <v>21</v>
      </c>
      <c r="F814" s="223" t="s">
        <v>1093</v>
      </c>
      <c r="G814" s="223" t="s">
        <v>1219</v>
      </c>
    </row>
    <row r="815" spans="1:7" x14ac:dyDescent="0.3">
      <c r="A815" s="223">
        <v>814</v>
      </c>
      <c r="B815" s="223" t="s">
        <v>1124</v>
      </c>
      <c r="C815" s="223" t="s">
        <v>1225</v>
      </c>
      <c r="D815" s="223" t="s">
        <v>12</v>
      </c>
      <c r="E815" s="223" t="s">
        <v>21</v>
      </c>
      <c r="F815" s="223" t="s">
        <v>27</v>
      </c>
      <c r="G815" s="223" t="s">
        <v>1204</v>
      </c>
    </row>
    <row r="816" spans="1:7" x14ac:dyDescent="0.3">
      <c r="A816" s="223">
        <v>815</v>
      </c>
      <c r="B816" s="223" t="s">
        <v>1124</v>
      </c>
      <c r="C816" s="223" t="s">
        <v>1225</v>
      </c>
      <c r="D816" s="223" t="s">
        <v>12</v>
      </c>
      <c r="E816" s="223" t="s">
        <v>21</v>
      </c>
      <c r="F816" s="223" t="s">
        <v>1096</v>
      </c>
      <c r="G816" s="223" t="s">
        <v>1191</v>
      </c>
    </row>
    <row r="817" spans="1:7" x14ac:dyDescent="0.3">
      <c r="A817" s="223">
        <v>816</v>
      </c>
      <c r="B817" s="223" t="s">
        <v>1124</v>
      </c>
      <c r="C817" s="223" t="s">
        <v>1225</v>
      </c>
      <c r="D817" s="223" t="s">
        <v>12</v>
      </c>
      <c r="E817" s="223" t="s">
        <v>21</v>
      </c>
      <c r="F817" s="223" t="s">
        <v>1090</v>
      </c>
      <c r="G817" s="223" t="s">
        <v>1203</v>
      </c>
    </row>
    <row r="818" spans="1:7" x14ac:dyDescent="0.3">
      <c r="A818" s="223">
        <v>817</v>
      </c>
      <c r="B818" s="223" t="s">
        <v>1124</v>
      </c>
      <c r="C818" s="223" t="s">
        <v>1226</v>
      </c>
      <c r="D818" s="223" t="s">
        <v>1218</v>
      </c>
      <c r="E818" s="223" t="s">
        <v>1087</v>
      </c>
      <c r="F818" s="223" t="s">
        <v>1093</v>
      </c>
      <c r="G818" s="223" t="s">
        <v>1205</v>
      </c>
    </row>
    <row r="819" spans="1:7" x14ac:dyDescent="0.3">
      <c r="A819" s="223">
        <v>818</v>
      </c>
      <c r="B819" s="223" t="s">
        <v>1124</v>
      </c>
      <c r="C819" s="223" t="s">
        <v>1226</v>
      </c>
      <c r="D819" s="223" t="s">
        <v>1218</v>
      </c>
      <c r="E819" s="223" t="s">
        <v>1087</v>
      </c>
      <c r="F819" s="223" t="s">
        <v>27</v>
      </c>
      <c r="G819" s="223" t="s">
        <v>1125</v>
      </c>
    </row>
    <row r="820" spans="1:7" x14ac:dyDescent="0.3">
      <c r="A820" s="223">
        <v>819</v>
      </c>
      <c r="B820" s="223" t="s">
        <v>1124</v>
      </c>
      <c r="C820" s="223" t="s">
        <v>1226</v>
      </c>
      <c r="D820" s="223" t="s">
        <v>1218</v>
      </c>
      <c r="E820" s="223" t="s">
        <v>1087</v>
      </c>
      <c r="F820" s="223" t="s">
        <v>1096</v>
      </c>
      <c r="G820" s="223" t="s">
        <v>1199</v>
      </c>
    </row>
    <row r="821" spans="1:7" x14ac:dyDescent="0.3">
      <c r="A821" s="223">
        <v>820</v>
      </c>
      <c r="B821" s="223" t="s">
        <v>1124</v>
      </c>
      <c r="C821" s="223" t="s">
        <v>1226</v>
      </c>
      <c r="D821" s="223" t="s">
        <v>1218</v>
      </c>
      <c r="E821" s="223" t="s">
        <v>1087</v>
      </c>
      <c r="F821" s="223" t="s">
        <v>1090</v>
      </c>
      <c r="G821" s="223" t="s">
        <v>1219</v>
      </c>
    </row>
    <row r="822" spans="1:7" x14ac:dyDescent="0.3">
      <c r="A822" s="223">
        <v>821</v>
      </c>
      <c r="B822" s="223" t="s">
        <v>1124</v>
      </c>
      <c r="C822" s="223" t="s">
        <v>1226</v>
      </c>
      <c r="D822" s="223" t="s">
        <v>1218</v>
      </c>
      <c r="E822" s="223" t="s">
        <v>21</v>
      </c>
      <c r="F822" s="223" t="s">
        <v>1093</v>
      </c>
      <c r="G822" s="223" t="s">
        <v>1219</v>
      </c>
    </row>
    <row r="823" spans="1:7" x14ac:dyDescent="0.3">
      <c r="A823" s="223">
        <v>822</v>
      </c>
      <c r="B823" s="223" t="s">
        <v>1124</v>
      </c>
      <c r="C823" s="223" t="s">
        <v>1226</v>
      </c>
      <c r="D823" s="223" t="s">
        <v>1218</v>
      </c>
      <c r="E823" s="223" t="s">
        <v>21</v>
      </c>
      <c r="F823" s="223" t="s">
        <v>27</v>
      </c>
      <c r="G823" s="223" t="s">
        <v>1202</v>
      </c>
    </row>
    <row r="824" spans="1:7" x14ac:dyDescent="0.3">
      <c r="A824" s="223">
        <v>823</v>
      </c>
      <c r="B824" s="223" t="s">
        <v>1124</v>
      </c>
      <c r="C824" s="223" t="s">
        <v>1226</v>
      </c>
      <c r="D824" s="223" t="s">
        <v>1218</v>
      </c>
      <c r="E824" s="223" t="s">
        <v>21</v>
      </c>
      <c r="F824" s="223" t="s">
        <v>1096</v>
      </c>
      <c r="G824" s="223" t="s">
        <v>1200</v>
      </c>
    </row>
    <row r="825" spans="1:7" x14ac:dyDescent="0.3">
      <c r="A825" s="223">
        <v>824</v>
      </c>
      <c r="B825" s="223" t="s">
        <v>1124</v>
      </c>
      <c r="C825" s="223" t="s">
        <v>1226</v>
      </c>
      <c r="D825" s="223" t="s">
        <v>1218</v>
      </c>
      <c r="E825" s="223" t="s">
        <v>21</v>
      </c>
      <c r="F825" s="223" t="s">
        <v>1090</v>
      </c>
      <c r="G825" s="223" t="s">
        <v>1219</v>
      </c>
    </row>
    <row r="826" spans="1:7" x14ac:dyDescent="0.3">
      <c r="A826" s="223">
        <v>825</v>
      </c>
      <c r="B826" s="223" t="s">
        <v>1124</v>
      </c>
      <c r="C826" s="223" t="s">
        <v>1226</v>
      </c>
      <c r="D826" s="223" t="s">
        <v>1220</v>
      </c>
      <c r="E826" s="223" t="s">
        <v>1087</v>
      </c>
      <c r="F826" s="223" t="s">
        <v>1093</v>
      </c>
      <c r="G826" s="223" t="s">
        <v>1205</v>
      </c>
    </row>
    <row r="827" spans="1:7" x14ac:dyDescent="0.3">
      <c r="A827" s="223">
        <v>826</v>
      </c>
      <c r="B827" s="223" t="s">
        <v>1124</v>
      </c>
      <c r="C827" s="223" t="s">
        <v>1226</v>
      </c>
      <c r="D827" s="223" t="s">
        <v>1220</v>
      </c>
      <c r="E827" s="223" t="s">
        <v>1087</v>
      </c>
      <c r="F827" s="223" t="s">
        <v>27</v>
      </c>
      <c r="G827" s="223" t="s">
        <v>1125</v>
      </c>
    </row>
    <row r="828" spans="1:7" x14ac:dyDescent="0.3">
      <c r="A828" s="223">
        <v>827</v>
      </c>
      <c r="B828" s="223" t="s">
        <v>1124</v>
      </c>
      <c r="C828" s="223" t="s">
        <v>1226</v>
      </c>
      <c r="D828" s="223" t="s">
        <v>1220</v>
      </c>
      <c r="E828" s="223" t="s">
        <v>1087</v>
      </c>
      <c r="F828" s="223" t="s">
        <v>1096</v>
      </c>
      <c r="G828" s="223" t="s">
        <v>1199</v>
      </c>
    </row>
    <row r="829" spans="1:7" x14ac:dyDescent="0.3">
      <c r="A829" s="223">
        <v>828</v>
      </c>
      <c r="B829" s="223" t="s">
        <v>1124</v>
      </c>
      <c r="C829" s="223" t="s">
        <v>1226</v>
      </c>
      <c r="D829" s="223" t="s">
        <v>1220</v>
      </c>
      <c r="E829" s="223" t="s">
        <v>1087</v>
      </c>
      <c r="F829" s="223" t="s">
        <v>1090</v>
      </c>
      <c r="G829" s="223" t="s">
        <v>1219</v>
      </c>
    </row>
    <row r="830" spans="1:7" x14ac:dyDescent="0.3">
      <c r="A830" s="223">
        <v>829</v>
      </c>
      <c r="B830" s="223" t="s">
        <v>1124</v>
      </c>
      <c r="C830" s="223" t="s">
        <v>1226</v>
      </c>
      <c r="D830" s="223" t="s">
        <v>1220</v>
      </c>
      <c r="E830" s="223" t="s">
        <v>21</v>
      </c>
      <c r="F830" s="223" t="s">
        <v>1093</v>
      </c>
      <c r="G830" s="223" t="s">
        <v>1219</v>
      </c>
    </row>
    <row r="831" spans="1:7" x14ac:dyDescent="0.3">
      <c r="A831" s="223">
        <v>830</v>
      </c>
      <c r="B831" s="223" t="s">
        <v>1124</v>
      </c>
      <c r="C831" s="223" t="s">
        <v>1226</v>
      </c>
      <c r="D831" s="223" t="s">
        <v>1220</v>
      </c>
      <c r="E831" s="223" t="s">
        <v>21</v>
      </c>
      <c r="F831" s="223" t="s">
        <v>27</v>
      </c>
      <c r="G831" s="223" t="s">
        <v>1202</v>
      </c>
    </row>
    <row r="832" spans="1:7" x14ac:dyDescent="0.3">
      <c r="A832" s="223">
        <v>831</v>
      </c>
      <c r="B832" s="223" t="s">
        <v>1124</v>
      </c>
      <c r="C832" s="223" t="s">
        <v>1226</v>
      </c>
      <c r="D832" s="223" t="s">
        <v>1220</v>
      </c>
      <c r="E832" s="223" t="s">
        <v>21</v>
      </c>
      <c r="F832" s="223" t="s">
        <v>1096</v>
      </c>
      <c r="G832" s="223" t="s">
        <v>1200</v>
      </c>
    </row>
    <row r="833" spans="1:7" x14ac:dyDescent="0.3">
      <c r="A833" s="223">
        <v>832</v>
      </c>
      <c r="B833" s="223" t="s">
        <v>1124</v>
      </c>
      <c r="C833" s="223" t="s">
        <v>1226</v>
      </c>
      <c r="D833" s="223" t="s">
        <v>1220</v>
      </c>
      <c r="E833" s="223" t="s">
        <v>21</v>
      </c>
      <c r="F833" s="223" t="s">
        <v>1090</v>
      </c>
      <c r="G833" s="223" t="s">
        <v>1219</v>
      </c>
    </row>
    <row r="834" spans="1:7" x14ac:dyDescent="0.3">
      <c r="A834" s="223">
        <v>833</v>
      </c>
      <c r="B834" s="223" t="s">
        <v>1124</v>
      </c>
      <c r="C834" s="223" t="s">
        <v>1226</v>
      </c>
      <c r="D834" s="223" t="s">
        <v>1221</v>
      </c>
      <c r="E834" s="223" t="s">
        <v>1087</v>
      </c>
      <c r="F834" s="223" t="s">
        <v>1093</v>
      </c>
      <c r="G834" s="223" t="s">
        <v>1205</v>
      </c>
    </row>
    <row r="835" spans="1:7" x14ac:dyDescent="0.3">
      <c r="A835" s="223">
        <v>834</v>
      </c>
      <c r="B835" s="223" t="s">
        <v>1124</v>
      </c>
      <c r="C835" s="223" t="s">
        <v>1226</v>
      </c>
      <c r="D835" s="223" t="s">
        <v>1221</v>
      </c>
      <c r="E835" s="223" t="s">
        <v>1087</v>
      </c>
      <c r="F835" s="223" t="s">
        <v>27</v>
      </c>
      <c r="G835" s="223" t="s">
        <v>1125</v>
      </c>
    </row>
    <row r="836" spans="1:7" x14ac:dyDescent="0.3">
      <c r="A836" s="223">
        <v>835</v>
      </c>
      <c r="B836" s="223" t="s">
        <v>1124</v>
      </c>
      <c r="C836" s="223" t="s">
        <v>1226</v>
      </c>
      <c r="D836" s="223" t="s">
        <v>1221</v>
      </c>
      <c r="E836" s="223" t="s">
        <v>1087</v>
      </c>
      <c r="F836" s="223" t="s">
        <v>1096</v>
      </c>
      <c r="G836" s="223" t="s">
        <v>1199</v>
      </c>
    </row>
    <row r="837" spans="1:7" x14ac:dyDescent="0.3">
      <c r="A837" s="223">
        <v>836</v>
      </c>
      <c r="B837" s="223" t="s">
        <v>1124</v>
      </c>
      <c r="C837" s="223" t="s">
        <v>1226</v>
      </c>
      <c r="D837" s="223" t="s">
        <v>1221</v>
      </c>
      <c r="E837" s="223" t="s">
        <v>1087</v>
      </c>
      <c r="F837" s="223" t="s">
        <v>1090</v>
      </c>
      <c r="G837" s="223" t="s">
        <v>1219</v>
      </c>
    </row>
    <row r="838" spans="1:7" x14ac:dyDescent="0.3">
      <c r="A838" s="223">
        <v>837</v>
      </c>
      <c r="B838" s="223" t="s">
        <v>1124</v>
      </c>
      <c r="C838" s="223" t="s">
        <v>1226</v>
      </c>
      <c r="D838" s="223" t="s">
        <v>1221</v>
      </c>
      <c r="E838" s="223" t="s">
        <v>21</v>
      </c>
      <c r="F838" s="223" t="s">
        <v>1093</v>
      </c>
      <c r="G838" s="223" t="s">
        <v>1219</v>
      </c>
    </row>
    <row r="839" spans="1:7" x14ac:dyDescent="0.3">
      <c r="A839" s="223">
        <v>838</v>
      </c>
      <c r="B839" s="223" t="s">
        <v>1124</v>
      </c>
      <c r="C839" s="223" t="s">
        <v>1226</v>
      </c>
      <c r="D839" s="223" t="s">
        <v>1221</v>
      </c>
      <c r="E839" s="223" t="s">
        <v>21</v>
      </c>
      <c r="F839" s="223" t="s">
        <v>27</v>
      </c>
      <c r="G839" s="223" t="s">
        <v>1202</v>
      </c>
    </row>
    <row r="840" spans="1:7" x14ac:dyDescent="0.3">
      <c r="A840" s="223">
        <v>839</v>
      </c>
      <c r="B840" s="223" t="s">
        <v>1124</v>
      </c>
      <c r="C840" s="223" t="s">
        <v>1226</v>
      </c>
      <c r="D840" s="223" t="s">
        <v>1221</v>
      </c>
      <c r="E840" s="223" t="s">
        <v>21</v>
      </c>
      <c r="F840" s="223" t="s">
        <v>1096</v>
      </c>
      <c r="G840" s="223" t="s">
        <v>1200</v>
      </c>
    </row>
    <row r="841" spans="1:7" x14ac:dyDescent="0.3">
      <c r="A841" s="223">
        <v>840</v>
      </c>
      <c r="B841" s="223" t="s">
        <v>1124</v>
      </c>
      <c r="C841" s="223" t="s">
        <v>1226</v>
      </c>
      <c r="D841" s="223" t="s">
        <v>1221</v>
      </c>
      <c r="E841" s="223" t="s">
        <v>21</v>
      </c>
      <c r="F841" s="223" t="s">
        <v>1090</v>
      </c>
      <c r="G841" s="223" t="s">
        <v>1219</v>
      </c>
    </row>
    <row r="842" spans="1:7" x14ac:dyDescent="0.3">
      <c r="A842" s="223">
        <v>841</v>
      </c>
      <c r="B842" s="223" t="s">
        <v>1124</v>
      </c>
      <c r="C842" s="223" t="s">
        <v>1226</v>
      </c>
      <c r="D842" s="223" t="s">
        <v>1222</v>
      </c>
      <c r="E842" s="223" t="s">
        <v>1087</v>
      </c>
      <c r="F842" s="223" t="s">
        <v>1093</v>
      </c>
      <c r="G842" s="223" t="s">
        <v>1205</v>
      </c>
    </row>
    <row r="843" spans="1:7" x14ac:dyDescent="0.3">
      <c r="A843" s="223">
        <v>842</v>
      </c>
      <c r="B843" s="223" t="s">
        <v>1124</v>
      </c>
      <c r="C843" s="223" t="s">
        <v>1226</v>
      </c>
      <c r="D843" s="223" t="s">
        <v>1222</v>
      </c>
      <c r="E843" s="223" t="s">
        <v>1087</v>
      </c>
      <c r="F843" s="223" t="s">
        <v>27</v>
      </c>
      <c r="G843" s="223" t="s">
        <v>1125</v>
      </c>
    </row>
    <row r="844" spans="1:7" x14ac:dyDescent="0.3">
      <c r="A844" s="223">
        <v>843</v>
      </c>
      <c r="B844" s="223" t="s">
        <v>1124</v>
      </c>
      <c r="C844" s="223" t="s">
        <v>1226</v>
      </c>
      <c r="D844" s="223" t="s">
        <v>1222</v>
      </c>
      <c r="E844" s="223" t="s">
        <v>1087</v>
      </c>
      <c r="F844" s="223" t="s">
        <v>1096</v>
      </c>
      <c r="G844" s="223" t="s">
        <v>1199</v>
      </c>
    </row>
    <row r="845" spans="1:7" x14ac:dyDescent="0.3">
      <c r="A845" s="223">
        <v>844</v>
      </c>
      <c r="B845" s="223" t="s">
        <v>1124</v>
      </c>
      <c r="C845" s="223" t="s">
        <v>1226</v>
      </c>
      <c r="D845" s="223" t="s">
        <v>1222</v>
      </c>
      <c r="E845" s="223" t="s">
        <v>1087</v>
      </c>
      <c r="F845" s="223" t="s">
        <v>1090</v>
      </c>
      <c r="G845" s="223" t="s">
        <v>1219</v>
      </c>
    </row>
    <row r="846" spans="1:7" x14ac:dyDescent="0.3">
      <c r="A846" s="223">
        <v>845</v>
      </c>
      <c r="B846" s="223" t="s">
        <v>1124</v>
      </c>
      <c r="C846" s="223" t="s">
        <v>1226</v>
      </c>
      <c r="D846" s="223" t="s">
        <v>1222</v>
      </c>
      <c r="E846" s="223" t="s">
        <v>21</v>
      </c>
      <c r="F846" s="223" t="s">
        <v>1093</v>
      </c>
      <c r="G846" s="223" t="s">
        <v>1219</v>
      </c>
    </row>
    <row r="847" spans="1:7" x14ac:dyDescent="0.3">
      <c r="A847" s="223">
        <v>846</v>
      </c>
      <c r="B847" s="223" t="s">
        <v>1124</v>
      </c>
      <c r="C847" s="223" t="s">
        <v>1226</v>
      </c>
      <c r="D847" s="223" t="s">
        <v>1222</v>
      </c>
      <c r="E847" s="223" t="s">
        <v>21</v>
      </c>
      <c r="F847" s="223" t="s">
        <v>27</v>
      </c>
      <c r="G847" s="223" t="s">
        <v>1202</v>
      </c>
    </row>
    <row r="848" spans="1:7" x14ac:dyDescent="0.3">
      <c r="A848" s="223">
        <v>847</v>
      </c>
      <c r="B848" s="223" t="s">
        <v>1124</v>
      </c>
      <c r="C848" s="223" t="s">
        <v>1226</v>
      </c>
      <c r="D848" s="223" t="s">
        <v>1222</v>
      </c>
      <c r="E848" s="223" t="s">
        <v>21</v>
      </c>
      <c r="F848" s="223" t="s">
        <v>1096</v>
      </c>
      <c r="G848" s="223" t="s">
        <v>1200</v>
      </c>
    </row>
    <row r="849" spans="1:7" x14ac:dyDescent="0.3">
      <c r="A849" s="223">
        <v>848</v>
      </c>
      <c r="B849" s="223" t="s">
        <v>1124</v>
      </c>
      <c r="C849" s="223" t="s">
        <v>1226</v>
      </c>
      <c r="D849" s="223" t="s">
        <v>1222</v>
      </c>
      <c r="E849" s="223" t="s">
        <v>21</v>
      </c>
      <c r="F849" s="223" t="s">
        <v>1090</v>
      </c>
      <c r="G849" s="223" t="s">
        <v>1219</v>
      </c>
    </row>
    <row r="850" spans="1:7" x14ac:dyDescent="0.3">
      <c r="A850" s="223">
        <v>849</v>
      </c>
      <c r="B850" s="223" t="s">
        <v>1124</v>
      </c>
      <c r="C850" s="223" t="s">
        <v>1226</v>
      </c>
      <c r="D850" s="223" t="s">
        <v>1223</v>
      </c>
      <c r="E850" s="223" t="s">
        <v>1087</v>
      </c>
      <c r="F850" s="223" t="s">
        <v>1093</v>
      </c>
      <c r="G850" s="223" t="s">
        <v>1219</v>
      </c>
    </row>
    <row r="851" spans="1:7" x14ac:dyDescent="0.3">
      <c r="A851" s="223">
        <v>850</v>
      </c>
      <c r="B851" s="223" t="s">
        <v>1124</v>
      </c>
      <c r="C851" s="223" t="s">
        <v>1226</v>
      </c>
      <c r="D851" s="223" t="s">
        <v>1223</v>
      </c>
      <c r="E851" s="223" t="s">
        <v>1087</v>
      </c>
      <c r="F851" s="223" t="s">
        <v>27</v>
      </c>
      <c r="G851" s="223" t="s">
        <v>1219</v>
      </c>
    </row>
    <row r="852" spans="1:7" x14ac:dyDescent="0.3">
      <c r="A852" s="223">
        <v>851</v>
      </c>
      <c r="B852" s="223" t="s">
        <v>1124</v>
      </c>
      <c r="C852" s="223" t="s">
        <v>1226</v>
      </c>
      <c r="D852" s="223" t="s">
        <v>1223</v>
      </c>
      <c r="E852" s="223" t="s">
        <v>1087</v>
      </c>
      <c r="F852" s="223" t="s">
        <v>1096</v>
      </c>
      <c r="G852" s="223" t="s">
        <v>1126</v>
      </c>
    </row>
    <row r="853" spans="1:7" x14ac:dyDescent="0.3">
      <c r="A853" s="223">
        <v>852</v>
      </c>
      <c r="B853" s="223" t="s">
        <v>1124</v>
      </c>
      <c r="C853" s="223" t="s">
        <v>1226</v>
      </c>
      <c r="D853" s="223" t="s">
        <v>1223</v>
      </c>
      <c r="E853" s="223" t="s">
        <v>1087</v>
      </c>
      <c r="F853" s="223" t="s">
        <v>1090</v>
      </c>
      <c r="G853" s="223" t="s">
        <v>1128</v>
      </c>
    </row>
    <row r="854" spans="1:7" x14ac:dyDescent="0.3">
      <c r="A854" s="223">
        <v>853</v>
      </c>
      <c r="B854" s="223" t="s">
        <v>1124</v>
      </c>
      <c r="C854" s="223" t="s">
        <v>1226</v>
      </c>
      <c r="D854" s="223" t="s">
        <v>1223</v>
      </c>
      <c r="E854" s="223" t="s">
        <v>21</v>
      </c>
      <c r="F854" s="223" t="s">
        <v>1093</v>
      </c>
      <c r="G854" s="223" t="s">
        <v>1219</v>
      </c>
    </row>
    <row r="855" spans="1:7" x14ac:dyDescent="0.3">
      <c r="A855" s="223">
        <v>854</v>
      </c>
      <c r="B855" s="223" t="s">
        <v>1124</v>
      </c>
      <c r="C855" s="223" t="s">
        <v>1226</v>
      </c>
      <c r="D855" s="223" t="s">
        <v>1223</v>
      </c>
      <c r="E855" s="223" t="s">
        <v>21</v>
      </c>
      <c r="F855" s="223" t="s">
        <v>27</v>
      </c>
      <c r="G855" s="223" t="s">
        <v>1219</v>
      </c>
    </row>
    <row r="856" spans="1:7" x14ac:dyDescent="0.3">
      <c r="A856" s="223">
        <v>855</v>
      </c>
      <c r="B856" s="223" t="s">
        <v>1124</v>
      </c>
      <c r="C856" s="223" t="s">
        <v>1226</v>
      </c>
      <c r="D856" s="223" t="s">
        <v>1223</v>
      </c>
      <c r="E856" s="223" t="s">
        <v>21</v>
      </c>
      <c r="F856" s="223" t="s">
        <v>1096</v>
      </c>
      <c r="G856" s="223" t="s">
        <v>1198</v>
      </c>
    </row>
    <row r="857" spans="1:7" x14ac:dyDescent="0.3">
      <c r="A857" s="223">
        <v>856</v>
      </c>
      <c r="B857" s="223" t="s">
        <v>1124</v>
      </c>
      <c r="C857" s="223" t="s">
        <v>1226</v>
      </c>
      <c r="D857" s="223" t="s">
        <v>1223</v>
      </c>
      <c r="E857" s="223" t="s">
        <v>21</v>
      </c>
      <c r="F857" s="223" t="s">
        <v>1090</v>
      </c>
      <c r="G857" s="223" t="s">
        <v>1192</v>
      </c>
    </row>
    <row r="858" spans="1:7" x14ac:dyDescent="0.3">
      <c r="A858" s="223">
        <v>857</v>
      </c>
      <c r="B858" s="223" t="s">
        <v>1124</v>
      </c>
      <c r="C858" s="223" t="s">
        <v>1226</v>
      </c>
      <c r="D858" s="223" t="s">
        <v>12</v>
      </c>
      <c r="E858" s="223" t="s">
        <v>1087</v>
      </c>
      <c r="F858" s="223" t="s">
        <v>1093</v>
      </c>
      <c r="G858" s="223" t="s">
        <v>1219</v>
      </c>
    </row>
    <row r="859" spans="1:7" x14ac:dyDescent="0.3">
      <c r="A859" s="223">
        <v>858</v>
      </c>
      <c r="B859" s="223" t="s">
        <v>1124</v>
      </c>
      <c r="C859" s="223" t="s">
        <v>1226</v>
      </c>
      <c r="D859" s="223" t="s">
        <v>12</v>
      </c>
      <c r="E859" s="223" t="s">
        <v>1087</v>
      </c>
      <c r="F859" s="223" t="s">
        <v>27</v>
      </c>
      <c r="G859" s="223" t="s">
        <v>1219</v>
      </c>
    </row>
    <row r="860" spans="1:7" x14ac:dyDescent="0.3">
      <c r="A860" s="223">
        <v>859</v>
      </c>
      <c r="B860" s="223" t="s">
        <v>1124</v>
      </c>
      <c r="C860" s="223" t="s">
        <v>1226</v>
      </c>
      <c r="D860" s="223" t="s">
        <v>12</v>
      </c>
      <c r="E860" s="223" t="s">
        <v>1087</v>
      </c>
      <c r="F860" s="223" t="s">
        <v>1096</v>
      </c>
      <c r="G860" s="223" t="s">
        <v>1126</v>
      </c>
    </row>
    <row r="861" spans="1:7" x14ac:dyDescent="0.3">
      <c r="A861" s="223">
        <v>860</v>
      </c>
      <c r="B861" s="223" t="s">
        <v>1124</v>
      </c>
      <c r="C861" s="223" t="s">
        <v>1226</v>
      </c>
      <c r="D861" s="223" t="s">
        <v>12</v>
      </c>
      <c r="E861" s="223" t="s">
        <v>1087</v>
      </c>
      <c r="F861" s="223" t="s">
        <v>1090</v>
      </c>
      <c r="G861" s="223" t="s">
        <v>1128</v>
      </c>
    </row>
    <row r="862" spans="1:7" x14ac:dyDescent="0.3">
      <c r="A862" s="223">
        <v>861</v>
      </c>
      <c r="B862" s="223" t="s">
        <v>1124</v>
      </c>
      <c r="C862" s="223" t="s">
        <v>1226</v>
      </c>
      <c r="D862" s="223" t="s">
        <v>12</v>
      </c>
      <c r="E862" s="223" t="s">
        <v>21</v>
      </c>
      <c r="F862" s="223" t="s">
        <v>1093</v>
      </c>
      <c r="G862" s="223" t="s">
        <v>1219</v>
      </c>
    </row>
    <row r="863" spans="1:7" x14ac:dyDescent="0.3">
      <c r="A863" s="223">
        <v>862</v>
      </c>
      <c r="B863" s="223" t="s">
        <v>1124</v>
      </c>
      <c r="C863" s="223" t="s">
        <v>1226</v>
      </c>
      <c r="D863" s="223" t="s">
        <v>12</v>
      </c>
      <c r="E863" s="223" t="s">
        <v>21</v>
      </c>
      <c r="F863" s="223" t="s">
        <v>27</v>
      </c>
      <c r="G863" s="223" t="s">
        <v>1219</v>
      </c>
    </row>
    <row r="864" spans="1:7" x14ac:dyDescent="0.3">
      <c r="A864" s="223">
        <v>863</v>
      </c>
      <c r="B864" s="223" t="s">
        <v>1124</v>
      </c>
      <c r="C864" s="223" t="s">
        <v>1226</v>
      </c>
      <c r="D864" s="223" t="s">
        <v>12</v>
      </c>
      <c r="E864" s="223" t="s">
        <v>21</v>
      </c>
      <c r="F864" s="223" t="s">
        <v>1096</v>
      </c>
      <c r="G864" s="223" t="s">
        <v>1198</v>
      </c>
    </row>
    <row r="865" spans="1:7" x14ac:dyDescent="0.3">
      <c r="A865" s="223">
        <v>864</v>
      </c>
      <c r="B865" s="223" t="s">
        <v>1124</v>
      </c>
      <c r="C865" s="223" t="s">
        <v>1226</v>
      </c>
      <c r="D865" s="223" t="s">
        <v>12</v>
      </c>
      <c r="E865" s="223" t="s">
        <v>21</v>
      </c>
      <c r="F865" s="223" t="s">
        <v>1090</v>
      </c>
      <c r="G865" s="223" t="s">
        <v>1192</v>
      </c>
    </row>
    <row r="866" spans="1:7" x14ac:dyDescent="0.3">
      <c r="A866" s="223">
        <v>865</v>
      </c>
      <c r="B866" s="223" t="s">
        <v>1124</v>
      </c>
      <c r="C866" s="223" t="s">
        <v>9</v>
      </c>
      <c r="D866" s="223" t="s">
        <v>1218</v>
      </c>
      <c r="E866" s="223" t="s">
        <v>1087</v>
      </c>
      <c r="F866" s="223" t="s">
        <v>1093</v>
      </c>
      <c r="G866" s="223" t="s">
        <v>1205</v>
      </c>
    </row>
    <row r="867" spans="1:7" x14ac:dyDescent="0.3">
      <c r="A867" s="223">
        <v>866</v>
      </c>
      <c r="B867" s="223" t="s">
        <v>1124</v>
      </c>
      <c r="C867" s="223" t="s">
        <v>9</v>
      </c>
      <c r="D867" s="223" t="s">
        <v>1218</v>
      </c>
      <c r="E867" s="223" t="s">
        <v>1087</v>
      </c>
      <c r="F867" s="223" t="s">
        <v>27</v>
      </c>
      <c r="G867" s="223" t="s">
        <v>1125</v>
      </c>
    </row>
    <row r="868" spans="1:7" x14ac:dyDescent="0.3">
      <c r="A868" s="223">
        <v>867</v>
      </c>
      <c r="B868" s="223" t="s">
        <v>1124</v>
      </c>
      <c r="C868" s="223" t="s">
        <v>9</v>
      </c>
      <c r="D868" s="223" t="s">
        <v>1218</v>
      </c>
      <c r="E868" s="223" t="s">
        <v>1087</v>
      </c>
      <c r="F868" s="223" t="s">
        <v>1096</v>
      </c>
      <c r="G868" s="223" t="s">
        <v>1199</v>
      </c>
    </row>
    <row r="869" spans="1:7" x14ac:dyDescent="0.3">
      <c r="A869" s="223">
        <v>868</v>
      </c>
      <c r="B869" s="223" t="s">
        <v>1124</v>
      </c>
      <c r="C869" s="223" t="s">
        <v>9</v>
      </c>
      <c r="D869" s="223" t="s">
        <v>1218</v>
      </c>
      <c r="E869" s="223" t="s">
        <v>1087</v>
      </c>
      <c r="F869" s="223" t="s">
        <v>1090</v>
      </c>
      <c r="G869" s="223" t="s">
        <v>1219</v>
      </c>
    </row>
    <row r="870" spans="1:7" x14ac:dyDescent="0.3">
      <c r="A870" s="223">
        <v>869</v>
      </c>
      <c r="B870" s="223" t="s">
        <v>1124</v>
      </c>
      <c r="C870" s="223" t="s">
        <v>9</v>
      </c>
      <c r="D870" s="223" t="s">
        <v>1218</v>
      </c>
      <c r="E870" s="223" t="s">
        <v>21</v>
      </c>
      <c r="F870" s="223" t="s">
        <v>1093</v>
      </c>
      <c r="G870" s="223" t="s">
        <v>1219</v>
      </c>
    </row>
    <row r="871" spans="1:7" x14ac:dyDescent="0.3">
      <c r="A871" s="223">
        <v>870</v>
      </c>
      <c r="B871" s="223" t="s">
        <v>1124</v>
      </c>
      <c r="C871" s="223" t="s">
        <v>9</v>
      </c>
      <c r="D871" s="223" t="s">
        <v>1218</v>
      </c>
      <c r="E871" s="223" t="s">
        <v>21</v>
      </c>
      <c r="F871" s="223" t="s">
        <v>27</v>
      </c>
      <c r="G871" s="223" t="s">
        <v>1202</v>
      </c>
    </row>
    <row r="872" spans="1:7" x14ac:dyDescent="0.3">
      <c r="A872" s="223">
        <v>871</v>
      </c>
      <c r="B872" s="223" t="s">
        <v>1124</v>
      </c>
      <c r="C872" s="223" t="s">
        <v>9</v>
      </c>
      <c r="D872" s="223" t="s">
        <v>1218</v>
      </c>
      <c r="E872" s="223" t="s">
        <v>21</v>
      </c>
      <c r="F872" s="223" t="s">
        <v>1096</v>
      </c>
      <c r="G872" s="223" t="s">
        <v>1200</v>
      </c>
    </row>
    <row r="873" spans="1:7" x14ac:dyDescent="0.3">
      <c r="A873" s="223">
        <v>872</v>
      </c>
      <c r="B873" s="223" t="s">
        <v>1124</v>
      </c>
      <c r="C873" s="223" t="s">
        <v>9</v>
      </c>
      <c r="D873" s="223" t="s">
        <v>1218</v>
      </c>
      <c r="E873" s="223" t="s">
        <v>21</v>
      </c>
      <c r="F873" s="223" t="s">
        <v>1090</v>
      </c>
      <c r="G873" s="223" t="s">
        <v>1219</v>
      </c>
    </row>
    <row r="874" spans="1:7" x14ac:dyDescent="0.3">
      <c r="A874" s="223">
        <v>873</v>
      </c>
      <c r="B874" s="223" t="s">
        <v>1124</v>
      </c>
      <c r="C874" s="223" t="s">
        <v>9</v>
      </c>
      <c r="D874" s="223" t="s">
        <v>1220</v>
      </c>
      <c r="E874" s="223" t="s">
        <v>1087</v>
      </c>
      <c r="F874" s="223" t="s">
        <v>1093</v>
      </c>
      <c r="G874" s="223" t="s">
        <v>1205</v>
      </c>
    </row>
    <row r="875" spans="1:7" x14ac:dyDescent="0.3">
      <c r="A875" s="223">
        <v>874</v>
      </c>
      <c r="B875" s="223" t="s">
        <v>1124</v>
      </c>
      <c r="C875" s="223" t="s">
        <v>9</v>
      </c>
      <c r="D875" s="223" t="s">
        <v>1220</v>
      </c>
      <c r="E875" s="223" t="s">
        <v>1087</v>
      </c>
      <c r="F875" s="223" t="s">
        <v>27</v>
      </c>
      <c r="G875" s="223" t="s">
        <v>1125</v>
      </c>
    </row>
    <row r="876" spans="1:7" x14ac:dyDescent="0.3">
      <c r="A876" s="223">
        <v>875</v>
      </c>
      <c r="B876" s="223" t="s">
        <v>1124</v>
      </c>
      <c r="C876" s="223" t="s">
        <v>9</v>
      </c>
      <c r="D876" s="223" t="s">
        <v>1220</v>
      </c>
      <c r="E876" s="223" t="s">
        <v>1087</v>
      </c>
      <c r="F876" s="223" t="s">
        <v>1096</v>
      </c>
      <c r="G876" s="223" t="s">
        <v>1199</v>
      </c>
    </row>
    <row r="877" spans="1:7" x14ac:dyDescent="0.3">
      <c r="A877" s="223">
        <v>876</v>
      </c>
      <c r="B877" s="223" t="s">
        <v>1124</v>
      </c>
      <c r="C877" s="223" t="s">
        <v>9</v>
      </c>
      <c r="D877" s="223" t="s">
        <v>1220</v>
      </c>
      <c r="E877" s="223" t="s">
        <v>1087</v>
      </c>
      <c r="F877" s="223" t="s">
        <v>1090</v>
      </c>
      <c r="G877" s="223" t="s">
        <v>1219</v>
      </c>
    </row>
    <row r="878" spans="1:7" x14ac:dyDescent="0.3">
      <c r="A878" s="223">
        <v>877</v>
      </c>
      <c r="B878" s="223" t="s">
        <v>1124</v>
      </c>
      <c r="C878" s="223" t="s">
        <v>9</v>
      </c>
      <c r="D878" s="223" t="s">
        <v>1220</v>
      </c>
      <c r="E878" s="223" t="s">
        <v>21</v>
      </c>
      <c r="F878" s="223" t="s">
        <v>1093</v>
      </c>
      <c r="G878" s="223" t="s">
        <v>1219</v>
      </c>
    </row>
    <row r="879" spans="1:7" x14ac:dyDescent="0.3">
      <c r="A879" s="223">
        <v>878</v>
      </c>
      <c r="B879" s="223" t="s">
        <v>1124</v>
      </c>
      <c r="C879" s="223" t="s">
        <v>9</v>
      </c>
      <c r="D879" s="223" t="s">
        <v>1220</v>
      </c>
      <c r="E879" s="223" t="s">
        <v>21</v>
      </c>
      <c r="F879" s="223" t="s">
        <v>27</v>
      </c>
      <c r="G879" s="223" t="s">
        <v>1202</v>
      </c>
    </row>
    <row r="880" spans="1:7" x14ac:dyDescent="0.3">
      <c r="A880" s="223">
        <v>879</v>
      </c>
      <c r="B880" s="223" t="s">
        <v>1124</v>
      </c>
      <c r="C880" s="223" t="s">
        <v>9</v>
      </c>
      <c r="D880" s="223" t="s">
        <v>1220</v>
      </c>
      <c r="E880" s="223" t="s">
        <v>21</v>
      </c>
      <c r="F880" s="223" t="s">
        <v>1096</v>
      </c>
      <c r="G880" s="223" t="s">
        <v>1200</v>
      </c>
    </row>
    <row r="881" spans="1:7" x14ac:dyDescent="0.3">
      <c r="A881" s="223">
        <v>880</v>
      </c>
      <c r="B881" s="223" t="s">
        <v>1124</v>
      </c>
      <c r="C881" s="223" t="s">
        <v>9</v>
      </c>
      <c r="D881" s="223" t="s">
        <v>1220</v>
      </c>
      <c r="E881" s="223" t="s">
        <v>21</v>
      </c>
      <c r="F881" s="223" t="s">
        <v>1090</v>
      </c>
      <c r="G881" s="223" t="s">
        <v>1219</v>
      </c>
    </row>
    <row r="882" spans="1:7" x14ac:dyDescent="0.3">
      <c r="A882" s="223">
        <v>881</v>
      </c>
      <c r="B882" s="223" t="s">
        <v>1124</v>
      </c>
      <c r="C882" s="223" t="s">
        <v>9</v>
      </c>
      <c r="D882" s="223" t="s">
        <v>1221</v>
      </c>
      <c r="E882" s="223" t="s">
        <v>1087</v>
      </c>
      <c r="F882" s="223" t="s">
        <v>1093</v>
      </c>
      <c r="G882" s="223" t="s">
        <v>1205</v>
      </c>
    </row>
    <row r="883" spans="1:7" x14ac:dyDescent="0.3">
      <c r="A883" s="223">
        <v>882</v>
      </c>
      <c r="B883" s="223" t="s">
        <v>1124</v>
      </c>
      <c r="C883" s="223" t="s">
        <v>9</v>
      </c>
      <c r="D883" s="223" t="s">
        <v>1221</v>
      </c>
      <c r="E883" s="223" t="s">
        <v>1087</v>
      </c>
      <c r="F883" s="223" t="s">
        <v>27</v>
      </c>
      <c r="G883" s="223" t="s">
        <v>1125</v>
      </c>
    </row>
    <row r="884" spans="1:7" x14ac:dyDescent="0.3">
      <c r="A884" s="223">
        <v>883</v>
      </c>
      <c r="B884" s="223" t="s">
        <v>1124</v>
      </c>
      <c r="C884" s="223" t="s">
        <v>9</v>
      </c>
      <c r="D884" s="223" t="s">
        <v>1221</v>
      </c>
      <c r="E884" s="223" t="s">
        <v>1087</v>
      </c>
      <c r="F884" s="223" t="s">
        <v>1096</v>
      </c>
      <c r="G884" s="223" t="s">
        <v>1199</v>
      </c>
    </row>
    <row r="885" spans="1:7" x14ac:dyDescent="0.3">
      <c r="A885" s="223">
        <v>884</v>
      </c>
      <c r="B885" s="223" t="s">
        <v>1124</v>
      </c>
      <c r="C885" s="223" t="s">
        <v>9</v>
      </c>
      <c r="D885" s="223" t="s">
        <v>1221</v>
      </c>
      <c r="E885" s="223" t="s">
        <v>1087</v>
      </c>
      <c r="F885" s="223" t="s">
        <v>1090</v>
      </c>
      <c r="G885" s="223" t="s">
        <v>1219</v>
      </c>
    </row>
    <row r="886" spans="1:7" x14ac:dyDescent="0.3">
      <c r="A886" s="223">
        <v>885</v>
      </c>
      <c r="B886" s="223" t="s">
        <v>1124</v>
      </c>
      <c r="C886" s="223" t="s">
        <v>9</v>
      </c>
      <c r="D886" s="223" t="s">
        <v>1221</v>
      </c>
      <c r="E886" s="223" t="s">
        <v>21</v>
      </c>
      <c r="F886" s="223" t="s">
        <v>1093</v>
      </c>
      <c r="G886" s="223" t="s">
        <v>1219</v>
      </c>
    </row>
    <row r="887" spans="1:7" x14ac:dyDescent="0.3">
      <c r="A887" s="223">
        <v>886</v>
      </c>
      <c r="B887" s="223" t="s">
        <v>1124</v>
      </c>
      <c r="C887" s="223" t="s">
        <v>9</v>
      </c>
      <c r="D887" s="223" t="s">
        <v>1221</v>
      </c>
      <c r="E887" s="223" t="s">
        <v>21</v>
      </c>
      <c r="F887" s="223" t="s">
        <v>27</v>
      </c>
      <c r="G887" s="223" t="s">
        <v>1202</v>
      </c>
    </row>
    <row r="888" spans="1:7" x14ac:dyDescent="0.3">
      <c r="A888" s="223">
        <v>887</v>
      </c>
      <c r="B888" s="223" t="s">
        <v>1124</v>
      </c>
      <c r="C888" s="223" t="s">
        <v>9</v>
      </c>
      <c r="D888" s="223" t="s">
        <v>1221</v>
      </c>
      <c r="E888" s="223" t="s">
        <v>21</v>
      </c>
      <c r="F888" s="223" t="s">
        <v>1096</v>
      </c>
      <c r="G888" s="223" t="s">
        <v>1200</v>
      </c>
    </row>
    <row r="889" spans="1:7" x14ac:dyDescent="0.3">
      <c r="A889" s="223">
        <v>888</v>
      </c>
      <c r="B889" s="223" t="s">
        <v>1124</v>
      </c>
      <c r="C889" s="223" t="s">
        <v>9</v>
      </c>
      <c r="D889" s="223" t="s">
        <v>1221</v>
      </c>
      <c r="E889" s="223" t="s">
        <v>21</v>
      </c>
      <c r="F889" s="223" t="s">
        <v>1090</v>
      </c>
      <c r="G889" s="223" t="s">
        <v>1219</v>
      </c>
    </row>
    <row r="890" spans="1:7" x14ac:dyDescent="0.3">
      <c r="A890" s="223">
        <v>889</v>
      </c>
      <c r="B890" s="223" t="s">
        <v>1124</v>
      </c>
      <c r="C890" s="223" t="s">
        <v>9</v>
      </c>
      <c r="D890" s="223" t="s">
        <v>1222</v>
      </c>
      <c r="E890" s="223" t="s">
        <v>1087</v>
      </c>
      <c r="F890" s="223" t="s">
        <v>1093</v>
      </c>
      <c r="G890" s="223" t="s">
        <v>1205</v>
      </c>
    </row>
    <row r="891" spans="1:7" x14ac:dyDescent="0.3">
      <c r="A891" s="223">
        <v>890</v>
      </c>
      <c r="B891" s="223" t="s">
        <v>1124</v>
      </c>
      <c r="C891" s="223" t="s">
        <v>9</v>
      </c>
      <c r="D891" s="223" t="s">
        <v>1222</v>
      </c>
      <c r="E891" s="223" t="s">
        <v>1087</v>
      </c>
      <c r="F891" s="223" t="s">
        <v>27</v>
      </c>
      <c r="G891" s="223" t="s">
        <v>1125</v>
      </c>
    </row>
    <row r="892" spans="1:7" x14ac:dyDescent="0.3">
      <c r="A892" s="223">
        <v>891</v>
      </c>
      <c r="B892" s="223" t="s">
        <v>1124</v>
      </c>
      <c r="C892" s="223" t="s">
        <v>9</v>
      </c>
      <c r="D892" s="223" t="s">
        <v>1222</v>
      </c>
      <c r="E892" s="223" t="s">
        <v>1087</v>
      </c>
      <c r="F892" s="223" t="s">
        <v>1096</v>
      </c>
      <c r="G892" s="223" t="s">
        <v>1199</v>
      </c>
    </row>
    <row r="893" spans="1:7" x14ac:dyDescent="0.3">
      <c r="A893" s="223">
        <v>892</v>
      </c>
      <c r="B893" s="223" t="s">
        <v>1124</v>
      </c>
      <c r="C893" s="223" t="s">
        <v>9</v>
      </c>
      <c r="D893" s="223" t="s">
        <v>1222</v>
      </c>
      <c r="E893" s="223" t="s">
        <v>1087</v>
      </c>
      <c r="F893" s="223" t="s">
        <v>1090</v>
      </c>
      <c r="G893" s="223" t="s">
        <v>1219</v>
      </c>
    </row>
    <row r="894" spans="1:7" x14ac:dyDescent="0.3">
      <c r="A894" s="223">
        <v>893</v>
      </c>
      <c r="B894" s="223" t="s">
        <v>1124</v>
      </c>
      <c r="C894" s="223" t="s">
        <v>9</v>
      </c>
      <c r="D894" s="223" t="s">
        <v>1222</v>
      </c>
      <c r="E894" s="223" t="s">
        <v>21</v>
      </c>
      <c r="F894" s="223" t="s">
        <v>1093</v>
      </c>
      <c r="G894" s="223" t="s">
        <v>1219</v>
      </c>
    </row>
    <row r="895" spans="1:7" x14ac:dyDescent="0.3">
      <c r="A895" s="223">
        <v>894</v>
      </c>
      <c r="B895" s="223" t="s">
        <v>1124</v>
      </c>
      <c r="C895" s="223" t="s">
        <v>9</v>
      </c>
      <c r="D895" s="223" t="s">
        <v>1222</v>
      </c>
      <c r="E895" s="223" t="s">
        <v>21</v>
      </c>
      <c r="F895" s="223" t="s">
        <v>27</v>
      </c>
      <c r="G895" s="223" t="s">
        <v>1202</v>
      </c>
    </row>
    <row r="896" spans="1:7" x14ac:dyDescent="0.3">
      <c r="A896" s="223">
        <v>895</v>
      </c>
      <c r="B896" s="223" t="s">
        <v>1124</v>
      </c>
      <c r="C896" s="223" t="s">
        <v>9</v>
      </c>
      <c r="D896" s="223" t="s">
        <v>1222</v>
      </c>
      <c r="E896" s="223" t="s">
        <v>21</v>
      </c>
      <c r="F896" s="223" t="s">
        <v>1096</v>
      </c>
      <c r="G896" s="223" t="s">
        <v>1200</v>
      </c>
    </row>
    <row r="897" spans="1:7" x14ac:dyDescent="0.3">
      <c r="A897" s="223">
        <v>896</v>
      </c>
      <c r="B897" s="223" t="s">
        <v>1124</v>
      </c>
      <c r="C897" s="223" t="s">
        <v>9</v>
      </c>
      <c r="D897" s="223" t="s">
        <v>1222</v>
      </c>
      <c r="E897" s="223" t="s">
        <v>21</v>
      </c>
      <c r="F897" s="223" t="s">
        <v>1090</v>
      </c>
      <c r="G897" s="223" t="s">
        <v>1219</v>
      </c>
    </row>
    <row r="898" spans="1:7" x14ac:dyDescent="0.3">
      <c r="A898" s="223">
        <v>897</v>
      </c>
      <c r="B898" s="223" t="s">
        <v>1124</v>
      </c>
      <c r="C898" s="223" t="s">
        <v>9</v>
      </c>
      <c r="D898" s="223" t="s">
        <v>1223</v>
      </c>
      <c r="E898" s="223" t="s">
        <v>1087</v>
      </c>
      <c r="F898" s="223" t="s">
        <v>1093</v>
      </c>
      <c r="G898" s="223" t="s">
        <v>1219</v>
      </c>
    </row>
    <row r="899" spans="1:7" x14ac:dyDescent="0.3">
      <c r="A899" s="223">
        <v>898</v>
      </c>
      <c r="B899" s="223" t="s">
        <v>1124</v>
      </c>
      <c r="C899" s="223" t="s">
        <v>9</v>
      </c>
      <c r="D899" s="223" t="s">
        <v>1223</v>
      </c>
      <c r="E899" s="223" t="s">
        <v>1087</v>
      </c>
      <c r="F899" s="223" t="s">
        <v>27</v>
      </c>
      <c r="G899" s="223" t="s">
        <v>1219</v>
      </c>
    </row>
    <row r="900" spans="1:7" x14ac:dyDescent="0.3">
      <c r="A900" s="223">
        <v>899</v>
      </c>
      <c r="B900" s="223" t="s">
        <v>1124</v>
      </c>
      <c r="C900" s="223" t="s">
        <v>9</v>
      </c>
      <c r="D900" s="223" t="s">
        <v>1223</v>
      </c>
      <c r="E900" s="223" t="s">
        <v>1087</v>
      </c>
      <c r="F900" s="223" t="s">
        <v>1096</v>
      </c>
      <c r="G900" s="223" t="s">
        <v>1126</v>
      </c>
    </row>
    <row r="901" spans="1:7" x14ac:dyDescent="0.3">
      <c r="A901" s="223">
        <v>900</v>
      </c>
      <c r="B901" s="223" t="s">
        <v>1124</v>
      </c>
      <c r="C901" s="223" t="s">
        <v>9</v>
      </c>
      <c r="D901" s="223" t="s">
        <v>1223</v>
      </c>
      <c r="E901" s="223" t="s">
        <v>1087</v>
      </c>
      <c r="F901" s="223" t="s">
        <v>1090</v>
      </c>
      <c r="G901" s="223" t="s">
        <v>1128</v>
      </c>
    </row>
    <row r="902" spans="1:7" x14ac:dyDescent="0.3">
      <c r="A902" s="223">
        <v>901</v>
      </c>
      <c r="B902" s="223" t="s">
        <v>1124</v>
      </c>
      <c r="C902" s="223" t="s">
        <v>9</v>
      </c>
      <c r="D902" s="223" t="s">
        <v>1223</v>
      </c>
      <c r="E902" s="223" t="s">
        <v>21</v>
      </c>
      <c r="F902" s="223" t="s">
        <v>1093</v>
      </c>
      <c r="G902" s="223" t="s">
        <v>1219</v>
      </c>
    </row>
    <row r="903" spans="1:7" x14ac:dyDescent="0.3">
      <c r="A903" s="223">
        <v>902</v>
      </c>
      <c r="B903" s="223" t="s">
        <v>1124</v>
      </c>
      <c r="C903" s="223" t="s">
        <v>9</v>
      </c>
      <c r="D903" s="223" t="s">
        <v>1223</v>
      </c>
      <c r="E903" s="223" t="s">
        <v>21</v>
      </c>
      <c r="F903" s="223" t="s">
        <v>27</v>
      </c>
      <c r="G903" s="223" t="s">
        <v>1219</v>
      </c>
    </row>
    <row r="904" spans="1:7" x14ac:dyDescent="0.3">
      <c r="A904" s="223">
        <v>903</v>
      </c>
      <c r="B904" s="223" t="s">
        <v>1124</v>
      </c>
      <c r="C904" s="223" t="s">
        <v>9</v>
      </c>
      <c r="D904" s="223" t="s">
        <v>1223</v>
      </c>
      <c r="E904" s="223" t="s">
        <v>21</v>
      </c>
      <c r="F904" s="223" t="s">
        <v>1096</v>
      </c>
      <c r="G904" s="223" t="s">
        <v>1198</v>
      </c>
    </row>
    <row r="905" spans="1:7" x14ac:dyDescent="0.3">
      <c r="A905" s="223">
        <v>904</v>
      </c>
      <c r="B905" s="223" t="s">
        <v>1124</v>
      </c>
      <c r="C905" s="223" t="s">
        <v>9</v>
      </c>
      <c r="D905" s="223" t="s">
        <v>1223</v>
      </c>
      <c r="E905" s="223" t="s">
        <v>21</v>
      </c>
      <c r="F905" s="223" t="s">
        <v>1090</v>
      </c>
      <c r="G905" s="223" t="s">
        <v>1192</v>
      </c>
    </row>
    <row r="906" spans="1:7" x14ac:dyDescent="0.3">
      <c r="A906" s="223">
        <v>905</v>
      </c>
      <c r="B906" s="223" t="s">
        <v>1124</v>
      </c>
      <c r="C906" s="223" t="s">
        <v>9</v>
      </c>
      <c r="D906" s="223" t="s">
        <v>12</v>
      </c>
      <c r="E906" s="223" t="s">
        <v>1087</v>
      </c>
      <c r="F906" s="223" t="s">
        <v>1093</v>
      </c>
      <c r="G906" s="223" t="s">
        <v>1219</v>
      </c>
    </row>
    <row r="907" spans="1:7" x14ac:dyDescent="0.3">
      <c r="A907" s="223">
        <v>906</v>
      </c>
      <c r="B907" s="223" t="s">
        <v>1124</v>
      </c>
      <c r="C907" s="223" t="s">
        <v>9</v>
      </c>
      <c r="D907" s="223" t="s">
        <v>12</v>
      </c>
      <c r="E907" s="223" t="s">
        <v>1087</v>
      </c>
      <c r="F907" s="223" t="s">
        <v>27</v>
      </c>
      <c r="G907" s="223" t="s">
        <v>1219</v>
      </c>
    </row>
    <row r="908" spans="1:7" x14ac:dyDescent="0.3">
      <c r="A908" s="223">
        <v>907</v>
      </c>
      <c r="B908" s="223" t="s">
        <v>1124</v>
      </c>
      <c r="C908" s="223" t="s">
        <v>9</v>
      </c>
      <c r="D908" s="223" t="s">
        <v>12</v>
      </c>
      <c r="E908" s="223" t="s">
        <v>1087</v>
      </c>
      <c r="F908" s="223" t="s">
        <v>1096</v>
      </c>
      <c r="G908" s="223" t="s">
        <v>1126</v>
      </c>
    </row>
    <row r="909" spans="1:7" x14ac:dyDescent="0.3">
      <c r="A909" s="223">
        <v>908</v>
      </c>
      <c r="B909" s="223" t="s">
        <v>1124</v>
      </c>
      <c r="C909" s="223" t="s">
        <v>9</v>
      </c>
      <c r="D909" s="223" t="s">
        <v>12</v>
      </c>
      <c r="E909" s="223" t="s">
        <v>1087</v>
      </c>
      <c r="F909" s="223" t="s">
        <v>1090</v>
      </c>
      <c r="G909" s="223" t="s">
        <v>1128</v>
      </c>
    </row>
    <row r="910" spans="1:7" x14ac:dyDescent="0.3">
      <c r="A910" s="223">
        <v>909</v>
      </c>
      <c r="B910" s="223" t="s">
        <v>1124</v>
      </c>
      <c r="C910" s="223" t="s">
        <v>9</v>
      </c>
      <c r="D910" s="223" t="s">
        <v>12</v>
      </c>
      <c r="E910" s="223" t="s">
        <v>21</v>
      </c>
      <c r="F910" s="223" t="s">
        <v>1093</v>
      </c>
      <c r="G910" s="223" t="s">
        <v>1219</v>
      </c>
    </row>
    <row r="911" spans="1:7" x14ac:dyDescent="0.3">
      <c r="A911" s="223">
        <v>910</v>
      </c>
      <c r="B911" s="223" t="s">
        <v>1124</v>
      </c>
      <c r="C911" s="223" t="s">
        <v>9</v>
      </c>
      <c r="D911" s="223" t="s">
        <v>12</v>
      </c>
      <c r="E911" s="223" t="s">
        <v>21</v>
      </c>
      <c r="F911" s="223" t="s">
        <v>27</v>
      </c>
      <c r="G911" s="223" t="s">
        <v>1219</v>
      </c>
    </row>
    <row r="912" spans="1:7" x14ac:dyDescent="0.3">
      <c r="A912" s="223">
        <v>911</v>
      </c>
      <c r="B912" s="223" t="s">
        <v>1124</v>
      </c>
      <c r="C912" s="223" t="s">
        <v>9</v>
      </c>
      <c r="D912" s="223" t="s">
        <v>12</v>
      </c>
      <c r="E912" s="223" t="s">
        <v>21</v>
      </c>
      <c r="F912" s="223" t="s">
        <v>1096</v>
      </c>
      <c r="G912" s="223" t="s">
        <v>1198</v>
      </c>
    </row>
    <row r="913" spans="1:7" x14ac:dyDescent="0.3">
      <c r="A913" s="223">
        <v>912</v>
      </c>
      <c r="B913" s="223" t="s">
        <v>1124</v>
      </c>
      <c r="C913" s="223" t="s">
        <v>9</v>
      </c>
      <c r="D913" s="223" t="s">
        <v>12</v>
      </c>
      <c r="E913" s="223" t="s">
        <v>21</v>
      </c>
      <c r="F913" s="223" t="s">
        <v>1090</v>
      </c>
      <c r="G913" s="223" t="s">
        <v>1192</v>
      </c>
    </row>
    <row r="914" spans="1:7" x14ac:dyDescent="0.3">
      <c r="A914" s="223">
        <v>913</v>
      </c>
      <c r="B914" s="223" t="s">
        <v>1124</v>
      </c>
      <c r="C914" s="223" t="s">
        <v>1227</v>
      </c>
      <c r="D914" s="223" t="s">
        <v>1218</v>
      </c>
      <c r="E914" s="223" t="s">
        <v>1087</v>
      </c>
      <c r="F914" s="223" t="s">
        <v>1093</v>
      </c>
      <c r="G914" s="223" t="s">
        <v>1205</v>
      </c>
    </row>
    <row r="915" spans="1:7" x14ac:dyDescent="0.3">
      <c r="A915" s="223">
        <v>914</v>
      </c>
      <c r="B915" s="223" t="s">
        <v>1124</v>
      </c>
      <c r="C915" s="223" t="s">
        <v>1227</v>
      </c>
      <c r="D915" s="223" t="s">
        <v>1218</v>
      </c>
      <c r="E915" s="223" t="s">
        <v>1087</v>
      </c>
      <c r="F915" s="223" t="s">
        <v>27</v>
      </c>
      <c r="G915" s="223" t="s">
        <v>1125</v>
      </c>
    </row>
    <row r="916" spans="1:7" x14ac:dyDescent="0.3">
      <c r="A916" s="223">
        <v>915</v>
      </c>
      <c r="B916" s="223" t="s">
        <v>1124</v>
      </c>
      <c r="C916" s="223" t="s">
        <v>1227</v>
      </c>
      <c r="D916" s="223" t="s">
        <v>1218</v>
      </c>
      <c r="E916" s="223" t="s">
        <v>1087</v>
      </c>
      <c r="F916" s="223" t="s">
        <v>1096</v>
      </c>
      <c r="G916" s="223" t="s">
        <v>1199</v>
      </c>
    </row>
    <row r="917" spans="1:7" x14ac:dyDescent="0.3">
      <c r="A917" s="223">
        <v>916</v>
      </c>
      <c r="B917" s="223" t="s">
        <v>1124</v>
      </c>
      <c r="C917" s="223" t="s">
        <v>1227</v>
      </c>
      <c r="D917" s="223" t="s">
        <v>1218</v>
      </c>
      <c r="E917" s="223" t="s">
        <v>1087</v>
      </c>
      <c r="F917" s="223" t="s">
        <v>1090</v>
      </c>
      <c r="G917" s="223" t="s">
        <v>1219</v>
      </c>
    </row>
    <row r="918" spans="1:7" x14ac:dyDescent="0.3">
      <c r="A918" s="223">
        <v>917</v>
      </c>
      <c r="B918" s="223" t="s">
        <v>1124</v>
      </c>
      <c r="C918" s="223" t="s">
        <v>1227</v>
      </c>
      <c r="D918" s="223" t="s">
        <v>1218</v>
      </c>
      <c r="E918" s="223" t="s">
        <v>21</v>
      </c>
      <c r="F918" s="223" t="s">
        <v>1093</v>
      </c>
      <c r="G918" s="223" t="s">
        <v>1219</v>
      </c>
    </row>
    <row r="919" spans="1:7" x14ac:dyDescent="0.3">
      <c r="A919" s="223">
        <v>918</v>
      </c>
      <c r="B919" s="223" t="s">
        <v>1124</v>
      </c>
      <c r="C919" s="223" t="s">
        <v>1227</v>
      </c>
      <c r="D919" s="223" t="s">
        <v>1218</v>
      </c>
      <c r="E919" s="223" t="s">
        <v>21</v>
      </c>
      <c r="F919" s="223" t="s">
        <v>27</v>
      </c>
      <c r="G919" s="223" t="s">
        <v>1202</v>
      </c>
    </row>
    <row r="920" spans="1:7" x14ac:dyDescent="0.3">
      <c r="A920" s="223">
        <v>919</v>
      </c>
      <c r="B920" s="223" t="s">
        <v>1124</v>
      </c>
      <c r="C920" s="223" t="s">
        <v>1227</v>
      </c>
      <c r="D920" s="223" t="s">
        <v>1218</v>
      </c>
      <c r="E920" s="223" t="s">
        <v>21</v>
      </c>
      <c r="F920" s="223" t="s">
        <v>1096</v>
      </c>
      <c r="G920" s="223" t="s">
        <v>1200</v>
      </c>
    </row>
    <row r="921" spans="1:7" x14ac:dyDescent="0.3">
      <c r="A921" s="223">
        <v>920</v>
      </c>
      <c r="B921" s="223" t="s">
        <v>1124</v>
      </c>
      <c r="C921" s="223" t="s">
        <v>1227</v>
      </c>
      <c r="D921" s="223" t="s">
        <v>1218</v>
      </c>
      <c r="E921" s="223" t="s">
        <v>21</v>
      </c>
      <c r="F921" s="223" t="s">
        <v>1090</v>
      </c>
      <c r="G921" s="223" t="s">
        <v>1219</v>
      </c>
    </row>
    <row r="922" spans="1:7" x14ac:dyDescent="0.3">
      <c r="A922" s="223">
        <v>921</v>
      </c>
      <c r="B922" s="223" t="s">
        <v>1124</v>
      </c>
      <c r="C922" s="223" t="s">
        <v>1227</v>
      </c>
      <c r="D922" s="223" t="s">
        <v>1220</v>
      </c>
      <c r="E922" s="223" t="s">
        <v>1087</v>
      </c>
      <c r="F922" s="223" t="s">
        <v>1093</v>
      </c>
      <c r="G922" s="223" t="s">
        <v>1205</v>
      </c>
    </row>
    <row r="923" spans="1:7" x14ac:dyDescent="0.3">
      <c r="A923" s="223">
        <v>922</v>
      </c>
      <c r="B923" s="223" t="s">
        <v>1124</v>
      </c>
      <c r="C923" s="223" t="s">
        <v>1227</v>
      </c>
      <c r="D923" s="223" t="s">
        <v>1220</v>
      </c>
      <c r="E923" s="223" t="s">
        <v>1087</v>
      </c>
      <c r="F923" s="223" t="s">
        <v>27</v>
      </c>
      <c r="G923" s="223" t="s">
        <v>1125</v>
      </c>
    </row>
    <row r="924" spans="1:7" x14ac:dyDescent="0.3">
      <c r="A924" s="223">
        <v>923</v>
      </c>
      <c r="B924" s="223" t="s">
        <v>1124</v>
      </c>
      <c r="C924" s="223" t="s">
        <v>1227</v>
      </c>
      <c r="D924" s="223" t="s">
        <v>1220</v>
      </c>
      <c r="E924" s="223" t="s">
        <v>1087</v>
      </c>
      <c r="F924" s="223" t="s">
        <v>1096</v>
      </c>
      <c r="G924" s="223" t="s">
        <v>1199</v>
      </c>
    </row>
    <row r="925" spans="1:7" x14ac:dyDescent="0.3">
      <c r="A925" s="223">
        <v>924</v>
      </c>
      <c r="B925" s="223" t="s">
        <v>1124</v>
      </c>
      <c r="C925" s="223" t="s">
        <v>1227</v>
      </c>
      <c r="D925" s="223" t="s">
        <v>1220</v>
      </c>
      <c r="E925" s="223" t="s">
        <v>1087</v>
      </c>
      <c r="F925" s="223" t="s">
        <v>1090</v>
      </c>
      <c r="G925" s="223" t="s">
        <v>1219</v>
      </c>
    </row>
    <row r="926" spans="1:7" x14ac:dyDescent="0.3">
      <c r="A926" s="223">
        <v>925</v>
      </c>
      <c r="B926" s="223" t="s">
        <v>1124</v>
      </c>
      <c r="C926" s="223" t="s">
        <v>1227</v>
      </c>
      <c r="D926" s="223" t="s">
        <v>1220</v>
      </c>
      <c r="E926" s="223" t="s">
        <v>21</v>
      </c>
      <c r="F926" s="223" t="s">
        <v>1093</v>
      </c>
      <c r="G926" s="223" t="s">
        <v>1219</v>
      </c>
    </row>
    <row r="927" spans="1:7" x14ac:dyDescent="0.3">
      <c r="A927" s="223">
        <v>926</v>
      </c>
      <c r="B927" s="223" t="s">
        <v>1124</v>
      </c>
      <c r="C927" s="223" t="s">
        <v>1227</v>
      </c>
      <c r="D927" s="223" t="s">
        <v>1220</v>
      </c>
      <c r="E927" s="223" t="s">
        <v>21</v>
      </c>
      <c r="F927" s="223" t="s">
        <v>27</v>
      </c>
      <c r="G927" s="223" t="s">
        <v>1202</v>
      </c>
    </row>
    <row r="928" spans="1:7" x14ac:dyDescent="0.3">
      <c r="A928" s="223">
        <v>927</v>
      </c>
      <c r="B928" s="223" t="s">
        <v>1124</v>
      </c>
      <c r="C928" s="223" t="s">
        <v>1227</v>
      </c>
      <c r="D928" s="223" t="s">
        <v>1220</v>
      </c>
      <c r="E928" s="223" t="s">
        <v>21</v>
      </c>
      <c r="F928" s="223" t="s">
        <v>1096</v>
      </c>
      <c r="G928" s="223" t="s">
        <v>1200</v>
      </c>
    </row>
    <row r="929" spans="1:7" x14ac:dyDescent="0.3">
      <c r="A929" s="223">
        <v>928</v>
      </c>
      <c r="B929" s="223" t="s">
        <v>1124</v>
      </c>
      <c r="C929" s="223" t="s">
        <v>1227</v>
      </c>
      <c r="D929" s="223" t="s">
        <v>1220</v>
      </c>
      <c r="E929" s="223" t="s">
        <v>21</v>
      </c>
      <c r="F929" s="223" t="s">
        <v>1090</v>
      </c>
      <c r="G929" s="223" t="s">
        <v>1219</v>
      </c>
    </row>
    <row r="930" spans="1:7" x14ac:dyDescent="0.3">
      <c r="A930" s="223">
        <v>929</v>
      </c>
      <c r="B930" s="223" t="s">
        <v>1124</v>
      </c>
      <c r="C930" s="223" t="s">
        <v>1227</v>
      </c>
      <c r="D930" s="223" t="s">
        <v>1221</v>
      </c>
      <c r="E930" s="223" t="s">
        <v>1087</v>
      </c>
      <c r="F930" s="223" t="s">
        <v>1093</v>
      </c>
      <c r="G930" s="223" t="s">
        <v>1205</v>
      </c>
    </row>
    <row r="931" spans="1:7" x14ac:dyDescent="0.3">
      <c r="A931" s="223">
        <v>930</v>
      </c>
      <c r="B931" s="223" t="s">
        <v>1124</v>
      </c>
      <c r="C931" s="223" t="s">
        <v>1227</v>
      </c>
      <c r="D931" s="223" t="s">
        <v>1221</v>
      </c>
      <c r="E931" s="223" t="s">
        <v>1087</v>
      </c>
      <c r="F931" s="223" t="s">
        <v>27</v>
      </c>
      <c r="G931" s="223" t="s">
        <v>1125</v>
      </c>
    </row>
    <row r="932" spans="1:7" x14ac:dyDescent="0.3">
      <c r="A932" s="223">
        <v>931</v>
      </c>
      <c r="B932" s="223" t="s">
        <v>1124</v>
      </c>
      <c r="C932" s="223" t="s">
        <v>1227</v>
      </c>
      <c r="D932" s="223" t="s">
        <v>1221</v>
      </c>
      <c r="E932" s="223" t="s">
        <v>1087</v>
      </c>
      <c r="F932" s="223" t="s">
        <v>1096</v>
      </c>
      <c r="G932" s="223" t="s">
        <v>1199</v>
      </c>
    </row>
    <row r="933" spans="1:7" x14ac:dyDescent="0.3">
      <c r="A933" s="223">
        <v>932</v>
      </c>
      <c r="B933" s="223" t="s">
        <v>1124</v>
      </c>
      <c r="C933" s="223" t="s">
        <v>1227</v>
      </c>
      <c r="D933" s="223" t="s">
        <v>1221</v>
      </c>
      <c r="E933" s="223" t="s">
        <v>1087</v>
      </c>
      <c r="F933" s="223" t="s">
        <v>1090</v>
      </c>
      <c r="G933" s="223" t="s">
        <v>1219</v>
      </c>
    </row>
    <row r="934" spans="1:7" x14ac:dyDescent="0.3">
      <c r="A934" s="223">
        <v>933</v>
      </c>
      <c r="B934" s="223" t="s">
        <v>1124</v>
      </c>
      <c r="C934" s="223" t="s">
        <v>1227</v>
      </c>
      <c r="D934" s="223" t="s">
        <v>1221</v>
      </c>
      <c r="E934" s="223" t="s">
        <v>21</v>
      </c>
      <c r="F934" s="223" t="s">
        <v>1093</v>
      </c>
      <c r="G934" s="223" t="s">
        <v>1219</v>
      </c>
    </row>
    <row r="935" spans="1:7" x14ac:dyDescent="0.3">
      <c r="A935" s="223">
        <v>934</v>
      </c>
      <c r="B935" s="223" t="s">
        <v>1124</v>
      </c>
      <c r="C935" s="223" t="s">
        <v>1227</v>
      </c>
      <c r="D935" s="223" t="s">
        <v>1221</v>
      </c>
      <c r="E935" s="223" t="s">
        <v>21</v>
      </c>
      <c r="F935" s="223" t="s">
        <v>27</v>
      </c>
      <c r="G935" s="223" t="s">
        <v>1202</v>
      </c>
    </row>
    <row r="936" spans="1:7" x14ac:dyDescent="0.3">
      <c r="A936" s="223">
        <v>935</v>
      </c>
      <c r="B936" s="223" t="s">
        <v>1124</v>
      </c>
      <c r="C936" s="223" t="s">
        <v>1227</v>
      </c>
      <c r="D936" s="223" t="s">
        <v>1221</v>
      </c>
      <c r="E936" s="223" t="s">
        <v>21</v>
      </c>
      <c r="F936" s="223" t="s">
        <v>1096</v>
      </c>
      <c r="G936" s="223" t="s">
        <v>1200</v>
      </c>
    </row>
    <row r="937" spans="1:7" x14ac:dyDescent="0.3">
      <c r="A937" s="223">
        <v>936</v>
      </c>
      <c r="B937" s="223" t="s">
        <v>1124</v>
      </c>
      <c r="C937" s="223" t="s">
        <v>1227</v>
      </c>
      <c r="D937" s="223" t="s">
        <v>1221</v>
      </c>
      <c r="E937" s="223" t="s">
        <v>21</v>
      </c>
      <c r="F937" s="223" t="s">
        <v>1090</v>
      </c>
      <c r="G937" s="223" t="s">
        <v>1219</v>
      </c>
    </row>
    <row r="938" spans="1:7" x14ac:dyDescent="0.3">
      <c r="A938" s="223">
        <v>937</v>
      </c>
      <c r="B938" s="223" t="s">
        <v>1124</v>
      </c>
      <c r="C938" s="223" t="s">
        <v>1227</v>
      </c>
      <c r="D938" s="223" t="s">
        <v>1222</v>
      </c>
      <c r="E938" s="223" t="s">
        <v>1087</v>
      </c>
      <c r="F938" s="223" t="s">
        <v>1093</v>
      </c>
      <c r="G938" s="223" t="s">
        <v>1205</v>
      </c>
    </row>
    <row r="939" spans="1:7" x14ac:dyDescent="0.3">
      <c r="A939" s="223">
        <v>938</v>
      </c>
      <c r="B939" s="223" t="s">
        <v>1124</v>
      </c>
      <c r="C939" s="223" t="s">
        <v>1227</v>
      </c>
      <c r="D939" s="223" t="s">
        <v>1222</v>
      </c>
      <c r="E939" s="223" t="s">
        <v>1087</v>
      </c>
      <c r="F939" s="223" t="s">
        <v>27</v>
      </c>
      <c r="G939" s="223" t="s">
        <v>1125</v>
      </c>
    </row>
    <row r="940" spans="1:7" x14ac:dyDescent="0.3">
      <c r="A940" s="223">
        <v>939</v>
      </c>
      <c r="B940" s="223" t="s">
        <v>1124</v>
      </c>
      <c r="C940" s="223" t="s">
        <v>1227</v>
      </c>
      <c r="D940" s="223" t="s">
        <v>1222</v>
      </c>
      <c r="E940" s="223" t="s">
        <v>1087</v>
      </c>
      <c r="F940" s="223" t="s">
        <v>1096</v>
      </c>
      <c r="G940" s="223" t="s">
        <v>1199</v>
      </c>
    </row>
    <row r="941" spans="1:7" x14ac:dyDescent="0.3">
      <c r="A941" s="223">
        <v>940</v>
      </c>
      <c r="B941" s="223" t="s">
        <v>1124</v>
      </c>
      <c r="C941" s="223" t="s">
        <v>1227</v>
      </c>
      <c r="D941" s="223" t="s">
        <v>1222</v>
      </c>
      <c r="E941" s="223" t="s">
        <v>1087</v>
      </c>
      <c r="F941" s="223" t="s">
        <v>1090</v>
      </c>
      <c r="G941" s="223" t="s">
        <v>1219</v>
      </c>
    </row>
    <row r="942" spans="1:7" x14ac:dyDescent="0.3">
      <c r="A942" s="223">
        <v>941</v>
      </c>
      <c r="B942" s="223" t="s">
        <v>1124</v>
      </c>
      <c r="C942" s="223" t="s">
        <v>1227</v>
      </c>
      <c r="D942" s="223" t="s">
        <v>1222</v>
      </c>
      <c r="E942" s="223" t="s">
        <v>21</v>
      </c>
      <c r="F942" s="223" t="s">
        <v>1093</v>
      </c>
      <c r="G942" s="223" t="s">
        <v>1219</v>
      </c>
    </row>
    <row r="943" spans="1:7" x14ac:dyDescent="0.3">
      <c r="A943" s="223">
        <v>942</v>
      </c>
      <c r="B943" s="223" t="s">
        <v>1124</v>
      </c>
      <c r="C943" s="223" t="s">
        <v>1227</v>
      </c>
      <c r="D943" s="223" t="s">
        <v>1222</v>
      </c>
      <c r="E943" s="223" t="s">
        <v>21</v>
      </c>
      <c r="F943" s="223" t="s">
        <v>27</v>
      </c>
      <c r="G943" s="223" t="s">
        <v>1202</v>
      </c>
    </row>
    <row r="944" spans="1:7" x14ac:dyDescent="0.3">
      <c r="A944" s="223">
        <v>943</v>
      </c>
      <c r="B944" s="223" t="s">
        <v>1124</v>
      </c>
      <c r="C944" s="223" t="s">
        <v>1227</v>
      </c>
      <c r="D944" s="223" t="s">
        <v>1222</v>
      </c>
      <c r="E944" s="223" t="s">
        <v>21</v>
      </c>
      <c r="F944" s="223" t="s">
        <v>1096</v>
      </c>
      <c r="G944" s="223" t="s">
        <v>1200</v>
      </c>
    </row>
    <row r="945" spans="1:7" x14ac:dyDescent="0.3">
      <c r="A945" s="223">
        <v>944</v>
      </c>
      <c r="B945" s="223" t="s">
        <v>1124</v>
      </c>
      <c r="C945" s="223" t="s">
        <v>1227</v>
      </c>
      <c r="D945" s="223" t="s">
        <v>1222</v>
      </c>
      <c r="E945" s="223" t="s">
        <v>21</v>
      </c>
      <c r="F945" s="223" t="s">
        <v>1090</v>
      </c>
      <c r="G945" s="223" t="s">
        <v>1219</v>
      </c>
    </row>
    <row r="946" spans="1:7" x14ac:dyDescent="0.3">
      <c r="A946" s="223">
        <v>945</v>
      </c>
      <c r="B946" s="223" t="s">
        <v>1124</v>
      </c>
      <c r="C946" s="223" t="s">
        <v>1227</v>
      </c>
      <c r="D946" s="223" t="s">
        <v>1223</v>
      </c>
      <c r="E946" s="223" t="s">
        <v>1087</v>
      </c>
      <c r="F946" s="223" t="s">
        <v>1093</v>
      </c>
      <c r="G946" s="223" t="s">
        <v>1219</v>
      </c>
    </row>
    <row r="947" spans="1:7" x14ac:dyDescent="0.3">
      <c r="A947" s="223">
        <v>946</v>
      </c>
      <c r="B947" s="223" t="s">
        <v>1124</v>
      </c>
      <c r="C947" s="223" t="s">
        <v>1227</v>
      </c>
      <c r="D947" s="223" t="s">
        <v>1223</v>
      </c>
      <c r="E947" s="223" t="s">
        <v>1087</v>
      </c>
      <c r="F947" s="223" t="s">
        <v>27</v>
      </c>
      <c r="G947" s="223" t="s">
        <v>1219</v>
      </c>
    </row>
    <row r="948" spans="1:7" x14ac:dyDescent="0.3">
      <c r="A948" s="223">
        <v>947</v>
      </c>
      <c r="B948" s="223" t="s">
        <v>1124</v>
      </c>
      <c r="C948" s="223" t="s">
        <v>1227</v>
      </c>
      <c r="D948" s="223" t="s">
        <v>1223</v>
      </c>
      <c r="E948" s="223" t="s">
        <v>1087</v>
      </c>
      <c r="F948" s="223" t="s">
        <v>1096</v>
      </c>
      <c r="G948" s="223" t="s">
        <v>1126</v>
      </c>
    </row>
    <row r="949" spans="1:7" x14ac:dyDescent="0.3">
      <c r="A949" s="223">
        <v>948</v>
      </c>
      <c r="B949" s="223" t="s">
        <v>1124</v>
      </c>
      <c r="C949" s="223" t="s">
        <v>1227</v>
      </c>
      <c r="D949" s="223" t="s">
        <v>1223</v>
      </c>
      <c r="E949" s="223" t="s">
        <v>1087</v>
      </c>
      <c r="F949" s="223" t="s">
        <v>1090</v>
      </c>
      <c r="G949" s="223" t="s">
        <v>1128</v>
      </c>
    </row>
    <row r="950" spans="1:7" x14ac:dyDescent="0.3">
      <c r="A950" s="223">
        <v>949</v>
      </c>
      <c r="B950" s="223" t="s">
        <v>1124</v>
      </c>
      <c r="C950" s="223" t="s">
        <v>1227</v>
      </c>
      <c r="D950" s="223" t="s">
        <v>1223</v>
      </c>
      <c r="E950" s="223" t="s">
        <v>21</v>
      </c>
      <c r="F950" s="223" t="s">
        <v>1093</v>
      </c>
      <c r="G950" s="223" t="s">
        <v>1219</v>
      </c>
    </row>
    <row r="951" spans="1:7" x14ac:dyDescent="0.3">
      <c r="A951" s="223">
        <v>950</v>
      </c>
      <c r="B951" s="223" t="s">
        <v>1124</v>
      </c>
      <c r="C951" s="223" t="s">
        <v>1227</v>
      </c>
      <c r="D951" s="223" t="s">
        <v>1223</v>
      </c>
      <c r="E951" s="223" t="s">
        <v>21</v>
      </c>
      <c r="F951" s="223" t="s">
        <v>27</v>
      </c>
      <c r="G951" s="223" t="s">
        <v>1219</v>
      </c>
    </row>
    <row r="952" spans="1:7" x14ac:dyDescent="0.3">
      <c r="A952" s="223">
        <v>951</v>
      </c>
      <c r="B952" s="223" t="s">
        <v>1124</v>
      </c>
      <c r="C952" s="223" t="s">
        <v>1227</v>
      </c>
      <c r="D952" s="223" t="s">
        <v>1223</v>
      </c>
      <c r="E952" s="223" t="s">
        <v>21</v>
      </c>
      <c r="F952" s="223" t="s">
        <v>1096</v>
      </c>
      <c r="G952" s="223" t="s">
        <v>1198</v>
      </c>
    </row>
    <row r="953" spans="1:7" x14ac:dyDescent="0.3">
      <c r="A953" s="223">
        <v>952</v>
      </c>
      <c r="B953" s="223" t="s">
        <v>1124</v>
      </c>
      <c r="C953" s="223" t="s">
        <v>1227</v>
      </c>
      <c r="D953" s="223" t="s">
        <v>1223</v>
      </c>
      <c r="E953" s="223" t="s">
        <v>21</v>
      </c>
      <c r="F953" s="223" t="s">
        <v>1090</v>
      </c>
      <c r="G953" s="223" t="s">
        <v>1192</v>
      </c>
    </row>
    <row r="954" spans="1:7" x14ac:dyDescent="0.3">
      <c r="A954" s="223">
        <v>953</v>
      </c>
      <c r="B954" s="223" t="s">
        <v>1124</v>
      </c>
      <c r="C954" s="223" t="s">
        <v>1227</v>
      </c>
      <c r="D954" s="223" t="s">
        <v>12</v>
      </c>
      <c r="E954" s="223" t="s">
        <v>1087</v>
      </c>
      <c r="F954" s="223" t="s">
        <v>1093</v>
      </c>
      <c r="G954" s="223" t="s">
        <v>1219</v>
      </c>
    </row>
    <row r="955" spans="1:7" x14ac:dyDescent="0.3">
      <c r="A955" s="223">
        <v>954</v>
      </c>
      <c r="B955" s="223" t="s">
        <v>1124</v>
      </c>
      <c r="C955" s="223" t="s">
        <v>1227</v>
      </c>
      <c r="D955" s="223" t="s">
        <v>12</v>
      </c>
      <c r="E955" s="223" t="s">
        <v>1087</v>
      </c>
      <c r="F955" s="223" t="s">
        <v>27</v>
      </c>
      <c r="G955" s="223" t="s">
        <v>1219</v>
      </c>
    </row>
    <row r="956" spans="1:7" x14ac:dyDescent="0.3">
      <c r="A956" s="223">
        <v>955</v>
      </c>
      <c r="B956" s="223" t="s">
        <v>1124</v>
      </c>
      <c r="C956" s="223" t="s">
        <v>1227</v>
      </c>
      <c r="D956" s="223" t="s">
        <v>12</v>
      </c>
      <c r="E956" s="223" t="s">
        <v>1087</v>
      </c>
      <c r="F956" s="223" t="s">
        <v>1096</v>
      </c>
      <c r="G956" s="223" t="s">
        <v>1126</v>
      </c>
    </row>
    <row r="957" spans="1:7" x14ac:dyDescent="0.3">
      <c r="A957" s="223">
        <v>956</v>
      </c>
      <c r="B957" s="223" t="s">
        <v>1124</v>
      </c>
      <c r="C957" s="223" t="s">
        <v>1227</v>
      </c>
      <c r="D957" s="223" t="s">
        <v>12</v>
      </c>
      <c r="E957" s="223" t="s">
        <v>1087</v>
      </c>
      <c r="F957" s="223" t="s">
        <v>1090</v>
      </c>
      <c r="G957" s="223" t="s">
        <v>1128</v>
      </c>
    </row>
    <row r="958" spans="1:7" x14ac:dyDescent="0.3">
      <c r="A958" s="223">
        <v>957</v>
      </c>
      <c r="B958" s="223" t="s">
        <v>1124</v>
      </c>
      <c r="C958" s="223" t="s">
        <v>1227</v>
      </c>
      <c r="D958" s="223" t="s">
        <v>12</v>
      </c>
      <c r="E958" s="223" t="s">
        <v>21</v>
      </c>
      <c r="F958" s="223" t="s">
        <v>1093</v>
      </c>
      <c r="G958" s="223" t="s">
        <v>1219</v>
      </c>
    </row>
    <row r="959" spans="1:7" x14ac:dyDescent="0.3">
      <c r="A959" s="223">
        <v>958</v>
      </c>
      <c r="B959" s="223" t="s">
        <v>1124</v>
      </c>
      <c r="C959" s="223" t="s">
        <v>1227</v>
      </c>
      <c r="D959" s="223" t="s">
        <v>12</v>
      </c>
      <c r="E959" s="223" t="s">
        <v>21</v>
      </c>
      <c r="F959" s="223" t="s">
        <v>27</v>
      </c>
      <c r="G959" s="223" t="s">
        <v>1219</v>
      </c>
    </row>
    <row r="960" spans="1:7" x14ac:dyDescent="0.3">
      <c r="A960" s="223">
        <v>959</v>
      </c>
      <c r="B960" s="223" t="s">
        <v>1124</v>
      </c>
      <c r="C960" s="223" t="s">
        <v>1227</v>
      </c>
      <c r="D960" s="223" t="s">
        <v>12</v>
      </c>
      <c r="E960" s="223" t="s">
        <v>21</v>
      </c>
      <c r="F960" s="223" t="s">
        <v>1096</v>
      </c>
      <c r="G960" s="223" t="s">
        <v>1198</v>
      </c>
    </row>
    <row r="961" spans="1:7" x14ac:dyDescent="0.3">
      <c r="A961" s="223">
        <v>960</v>
      </c>
      <c r="B961" s="223" t="s">
        <v>1124</v>
      </c>
      <c r="C961" s="223" t="s">
        <v>1227</v>
      </c>
      <c r="D961" s="223" t="s">
        <v>12</v>
      </c>
      <c r="E961" s="223" t="s">
        <v>21</v>
      </c>
      <c r="F961" s="223" t="s">
        <v>1090</v>
      </c>
      <c r="G961" s="223" t="s">
        <v>1192</v>
      </c>
    </row>
    <row r="962" spans="1:7" x14ac:dyDescent="0.3">
      <c r="A962" s="223">
        <v>961</v>
      </c>
      <c r="B962" s="223" t="s">
        <v>1124</v>
      </c>
      <c r="C962" s="223" t="s">
        <v>1228</v>
      </c>
      <c r="D962" s="223" t="s">
        <v>1218</v>
      </c>
      <c r="E962" s="223" t="s">
        <v>1087</v>
      </c>
      <c r="F962" s="223" t="s">
        <v>1093</v>
      </c>
      <c r="G962" s="223" t="s">
        <v>1205</v>
      </c>
    </row>
    <row r="963" spans="1:7" x14ac:dyDescent="0.3">
      <c r="A963" s="223">
        <v>962</v>
      </c>
      <c r="B963" s="223" t="s">
        <v>1124</v>
      </c>
      <c r="C963" s="223" t="s">
        <v>1228</v>
      </c>
      <c r="D963" s="223" t="s">
        <v>1218</v>
      </c>
      <c r="E963" s="223" t="s">
        <v>1087</v>
      </c>
      <c r="F963" s="223" t="s">
        <v>27</v>
      </c>
      <c r="G963" s="223" t="s">
        <v>1125</v>
      </c>
    </row>
    <row r="964" spans="1:7" x14ac:dyDescent="0.3">
      <c r="A964" s="223">
        <v>963</v>
      </c>
      <c r="B964" s="223" t="s">
        <v>1124</v>
      </c>
      <c r="C964" s="223" t="s">
        <v>1228</v>
      </c>
      <c r="D964" s="223" t="s">
        <v>1218</v>
      </c>
      <c r="E964" s="223" t="s">
        <v>1087</v>
      </c>
      <c r="F964" s="223" t="s">
        <v>1096</v>
      </c>
      <c r="G964" s="223" t="s">
        <v>1199</v>
      </c>
    </row>
    <row r="965" spans="1:7" x14ac:dyDescent="0.3">
      <c r="A965" s="223">
        <v>964</v>
      </c>
      <c r="B965" s="223" t="s">
        <v>1124</v>
      </c>
      <c r="C965" s="223" t="s">
        <v>1228</v>
      </c>
      <c r="D965" s="223" t="s">
        <v>1218</v>
      </c>
      <c r="E965" s="223" t="s">
        <v>1087</v>
      </c>
      <c r="F965" s="223" t="s">
        <v>1090</v>
      </c>
      <c r="G965" s="223" t="s">
        <v>1219</v>
      </c>
    </row>
    <row r="966" spans="1:7" x14ac:dyDescent="0.3">
      <c r="A966" s="223">
        <v>965</v>
      </c>
      <c r="B966" s="223" t="s">
        <v>1124</v>
      </c>
      <c r="C966" s="223" t="s">
        <v>1228</v>
      </c>
      <c r="D966" s="223" t="s">
        <v>1218</v>
      </c>
      <c r="E966" s="223" t="s">
        <v>21</v>
      </c>
      <c r="F966" s="223" t="s">
        <v>1093</v>
      </c>
      <c r="G966" s="223" t="s">
        <v>1219</v>
      </c>
    </row>
    <row r="967" spans="1:7" x14ac:dyDescent="0.3">
      <c r="A967" s="223">
        <v>966</v>
      </c>
      <c r="B967" s="223" t="s">
        <v>1124</v>
      </c>
      <c r="C967" s="223" t="s">
        <v>1228</v>
      </c>
      <c r="D967" s="223" t="s">
        <v>1218</v>
      </c>
      <c r="E967" s="223" t="s">
        <v>21</v>
      </c>
      <c r="F967" s="223" t="s">
        <v>27</v>
      </c>
      <c r="G967" s="223" t="s">
        <v>1202</v>
      </c>
    </row>
    <row r="968" spans="1:7" x14ac:dyDescent="0.3">
      <c r="A968" s="223">
        <v>967</v>
      </c>
      <c r="B968" s="223" t="s">
        <v>1124</v>
      </c>
      <c r="C968" s="223" t="s">
        <v>1228</v>
      </c>
      <c r="D968" s="223" t="s">
        <v>1218</v>
      </c>
      <c r="E968" s="223" t="s">
        <v>21</v>
      </c>
      <c r="F968" s="223" t="s">
        <v>1096</v>
      </c>
      <c r="G968" s="223" t="s">
        <v>1200</v>
      </c>
    </row>
    <row r="969" spans="1:7" x14ac:dyDescent="0.3">
      <c r="A969" s="223">
        <v>968</v>
      </c>
      <c r="B969" s="223" t="s">
        <v>1124</v>
      </c>
      <c r="C969" s="223" t="s">
        <v>1228</v>
      </c>
      <c r="D969" s="223" t="s">
        <v>1218</v>
      </c>
      <c r="E969" s="223" t="s">
        <v>21</v>
      </c>
      <c r="F969" s="223" t="s">
        <v>1090</v>
      </c>
      <c r="G969" s="223" t="s">
        <v>1219</v>
      </c>
    </row>
    <row r="970" spans="1:7" x14ac:dyDescent="0.3">
      <c r="A970" s="223">
        <v>969</v>
      </c>
      <c r="B970" s="223" t="s">
        <v>1124</v>
      </c>
      <c r="C970" s="223" t="s">
        <v>1228</v>
      </c>
      <c r="D970" s="223" t="s">
        <v>1220</v>
      </c>
      <c r="E970" s="223" t="s">
        <v>1087</v>
      </c>
      <c r="F970" s="223" t="s">
        <v>1093</v>
      </c>
      <c r="G970" s="223" t="s">
        <v>1205</v>
      </c>
    </row>
    <row r="971" spans="1:7" x14ac:dyDescent="0.3">
      <c r="A971" s="223">
        <v>970</v>
      </c>
      <c r="B971" s="223" t="s">
        <v>1124</v>
      </c>
      <c r="C971" s="223" t="s">
        <v>1228</v>
      </c>
      <c r="D971" s="223" t="s">
        <v>1220</v>
      </c>
      <c r="E971" s="223" t="s">
        <v>1087</v>
      </c>
      <c r="F971" s="223" t="s">
        <v>27</v>
      </c>
      <c r="G971" s="223" t="s">
        <v>1125</v>
      </c>
    </row>
    <row r="972" spans="1:7" x14ac:dyDescent="0.3">
      <c r="A972" s="223">
        <v>971</v>
      </c>
      <c r="B972" s="223" t="s">
        <v>1124</v>
      </c>
      <c r="C972" s="223" t="s">
        <v>1228</v>
      </c>
      <c r="D972" s="223" t="s">
        <v>1220</v>
      </c>
      <c r="E972" s="223" t="s">
        <v>1087</v>
      </c>
      <c r="F972" s="223" t="s">
        <v>1096</v>
      </c>
      <c r="G972" s="223" t="s">
        <v>1199</v>
      </c>
    </row>
    <row r="973" spans="1:7" x14ac:dyDescent="0.3">
      <c r="A973" s="223">
        <v>972</v>
      </c>
      <c r="B973" s="223" t="s">
        <v>1124</v>
      </c>
      <c r="C973" s="223" t="s">
        <v>1228</v>
      </c>
      <c r="D973" s="223" t="s">
        <v>1220</v>
      </c>
      <c r="E973" s="223" t="s">
        <v>1087</v>
      </c>
      <c r="F973" s="223" t="s">
        <v>1090</v>
      </c>
      <c r="G973" s="223" t="s">
        <v>1219</v>
      </c>
    </row>
    <row r="974" spans="1:7" x14ac:dyDescent="0.3">
      <c r="A974" s="223">
        <v>973</v>
      </c>
      <c r="B974" s="223" t="s">
        <v>1124</v>
      </c>
      <c r="C974" s="223" t="s">
        <v>1228</v>
      </c>
      <c r="D974" s="223" t="s">
        <v>1220</v>
      </c>
      <c r="E974" s="223" t="s">
        <v>21</v>
      </c>
      <c r="F974" s="223" t="s">
        <v>1093</v>
      </c>
      <c r="G974" s="223" t="s">
        <v>1219</v>
      </c>
    </row>
    <row r="975" spans="1:7" x14ac:dyDescent="0.3">
      <c r="A975" s="223">
        <v>974</v>
      </c>
      <c r="B975" s="223" t="s">
        <v>1124</v>
      </c>
      <c r="C975" s="223" t="s">
        <v>1228</v>
      </c>
      <c r="D975" s="223" t="s">
        <v>1220</v>
      </c>
      <c r="E975" s="223" t="s">
        <v>21</v>
      </c>
      <c r="F975" s="223" t="s">
        <v>27</v>
      </c>
      <c r="G975" s="223" t="s">
        <v>1202</v>
      </c>
    </row>
    <row r="976" spans="1:7" x14ac:dyDescent="0.3">
      <c r="A976" s="223">
        <v>975</v>
      </c>
      <c r="B976" s="223" t="s">
        <v>1124</v>
      </c>
      <c r="C976" s="223" t="s">
        <v>1228</v>
      </c>
      <c r="D976" s="223" t="s">
        <v>1220</v>
      </c>
      <c r="E976" s="223" t="s">
        <v>21</v>
      </c>
      <c r="F976" s="223" t="s">
        <v>1096</v>
      </c>
      <c r="G976" s="223" t="s">
        <v>1200</v>
      </c>
    </row>
    <row r="977" spans="1:7" x14ac:dyDescent="0.3">
      <c r="A977" s="223">
        <v>976</v>
      </c>
      <c r="B977" s="223" t="s">
        <v>1124</v>
      </c>
      <c r="C977" s="223" t="s">
        <v>1228</v>
      </c>
      <c r="D977" s="223" t="s">
        <v>1220</v>
      </c>
      <c r="E977" s="223" t="s">
        <v>21</v>
      </c>
      <c r="F977" s="223" t="s">
        <v>1090</v>
      </c>
      <c r="G977" s="223" t="s">
        <v>1219</v>
      </c>
    </row>
    <row r="978" spans="1:7" x14ac:dyDescent="0.3">
      <c r="A978" s="223">
        <v>977</v>
      </c>
      <c r="B978" s="223" t="s">
        <v>1124</v>
      </c>
      <c r="C978" s="223" t="s">
        <v>1228</v>
      </c>
      <c r="D978" s="223" t="s">
        <v>1221</v>
      </c>
      <c r="E978" s="223" t="s">
        <v>1087</v>
      </c>
      <c r="F978" s="223" t="s">
        <v>1093</v>
      </c>
      <c r="G978" s="223" t="s">
        <v>1205</v>
      </c>
    </row>
    <row r="979" spans="1:7" x14ac:dyDescent="0.3">
      <c r="A979" s="223">
        <v>978</v>
      </c>
      <c r="B979" s="223" t="s">
        <v>1124</v>
      </c>
      <c r="C979" s="223" t="s">
        <v>1228</v>
      </c>
      <c r="D979" s="223" t="s">
        <v>1221</v>
      </c>
      <c r="E979" s="223" t="s">
        <v>1087</v>
      </c>
      <c r="F979" s="223" t="s">
        <v>27</v>
      </c>
      <c r="G979" s="223" t="s">
        <v>1125</v>
      </c>
    </row>
    <row r="980" spans="1:7" x14ac:dyDescent="0.3">
      <c r="A980" s="223">
        <v>979</v>
      </c>
      <c r="B980" s="223" t="s">
        <v>1124</v>
      </c>
      <c r="C980" s="223" t="s">
        <v>1228</v>
      </c>
      <c r="D980" s="223" t="s">
        <v>1221</v>
      </c>
      <c r="E980" s="223" t="s">
        <v>1087</v>
      </c>
      <c r="F980" s="223" t="s">
        <v>1096</v>
      </c>
      <c r="G980" s="223" t="s">
        <v>1199</v>
      </c>
    </row>
    <row r="981" spans="1:7" x14ac:dyDescent="0.3">
      <c r="A981" s="223">
        <v>980</v>
      </c>
      <c r="B981" s="223" t="s">
        <v>1124</v>
      </c>
      <c r="C981" s="223" t="s">
        <v>1228</v>
      </c>
      <c r="D981" s="223" t="s">
        <v>1221</v>
      </c>
      <c r="E981" s="223" t="s">
        <v>1087</v>
      </c>
      <c r="F981" s="223" t="s">
        <v>1090</v>
      </c>
      <c r="G981" s="223" t="s">
        <v>1219</v>
      </c>
    </row>
    <row r="982" spans="1:7" x14ac:dyDescent="0.3">
      <c r="A982" s="223">
        <v>981</v>
      </c>
      <c r="B982" s="223" t="s">
        <v>1124</v>
      </c>
      <c r="C982" s="223" t="s">
        <v>1228</v>
      </c>
      <c r="D982" s="223" t="s">
        <v>1221</v>
      </c>
      <c r="E982" s="223" t="s">
        <v>21</v>
      </c>
      <c r="F982" s="223" t="s">
        <v>1093</v>
      </c>
      <c r="G982" s="223" t="s">
        <v>1219</v>
      </c>
    </row>
    <row r="983" spans="1:7" x14ac:dyDescent="0.3">
      <c r="A983" s="223">
        <v>982</v>
      </c>
      <c r="B983" s="223" t="s">
        <v>1124</v>
      </c>
      <c r="C983" s="223" t="s">
        <v>1228</v>
      </c>
      <c r="D983" s="223" t="s">
        <v>1221</v>
      </c>
      <c r="E983" s="223" t="s">
        <v>21</v>
      </c>
      <c r="F983" s="223" t="s">
        <v>27</v>
      </c>
      <c r="G983" s="223" t="s">
        <v>1202</v>
      </c>
    </row>
    <row r="984" spans="1:7" x14ac:dyDescent="0.3">
      <c r="A984" s="223">
        <v>983</v>
      </c>
      <c r="B984" s="223" t="s">
        <v>1124</v>
      </c>
      <c r="C984" s="223" t="s">
        <v>1228</v>
      </c>
      <c r="D984" s="223" t="s">
        <v>1221</v>
      </c>
      <c r="E984" s="223" t="s">
        <v>21</v>
      </c>
      <c r="F984" s="223" t="s">
        <v>1096</v>
      </c>
      <c r="G984" s="223" t="s">
        <v>1200</v>
      </c>
    </row>
    <row r="985" spans="1:7" x14ac:dyDescent="0.3">
      <c r="A985" s="223">
        <v>984</v>
      </c>
      <c r="B985" s="223" t="s">
        <v>1124</v>
      </c>
      <c r="C985" s="223" t="s">
        <v>1228</v>
      </c>
      <c r="D985" s="223" t="s">
        <v>1221</v>
      </c>
      <c r="E985" s="223" t="s">
        <v>21</v>
      </c>
      <c r="F985" s="223" t="s">
        <v>1090</v>
      </c>
      <c r="G985" s="223" t="s">
        <v>1219</v>
      </c>
    </row>
    <row r="986" spans="1:7" x14ac:dyDescent="0.3">
      <c r="A986" s="223">
        <v>985</v>
      </c>
      <c r="B986" s="223" t="s">
        <v>1124</v>
      </c>
      <c r="C986" s="223" t="s">
        <v>1228</v>
      </c>
      <c r="D986" s="223" t="s">
        <v>1222</v>
      </c>
      <c r="E986" s="223" t="s">
        <v>1087</v>
      </c>
      <c r="F986" s="223" t="s">
        <v>1093</v>
      </c>
      <c r="G986" s="223" t="s">
        <v>1205</v>
      </c>
    </row>
    <row r="987" spans="1:7" x14ac:dyDescent="0.3">
      <c r="A987" s="223">
        <v>986</v>
      </c>
      <c r="B987" s="223" t="s">
        <v>1124</v>
      </c>
      <c r="C987" s="223" t="s">
        <v>1228</v>
      </c>
      <c r="D987" s="223" t="s">
        <v>1222</v>
      </c>
      <c r="E987" s="223" t="s">
        <v>1087</v>
      </c>
      <c r="F987" s="223" t="s">
        <v>27</v>
      </c>
      <c r="G987" s="223" t="s">
        <v>1125</v>
      </c>
    </row>
    <row r="988" spans="1:7" x14ac:dyDescent="0.3">
      <c r="A988" s="223">
        <v>987</v>
      </c>
      <c r="B988" s="223" t="s">
        <v>1124</v>
      </c>
      <c r="C988" s="223" t="s">
        <v>1228</v>
      </c>
      <c r="D988" s="223" t="s">
        <v>1222</v>
      </c>
      <c r="E988" s="223" t="s">
        <v>1087</v>
      </c>
      <c r="F988" s="223" t="s">
        <v>1096</v>
      </c>
      <c r="G988" s="223" t="s">
        <v>1199</v>
      </c>
    </row>
    <row r="989" spans="1:7" x14ac:dyDescent="0.3">
      <c r="A989" s="223">
        <v>988</v>
      </c>
      <c r="B989" s="223" t="s">
        <v>1124</v>
      </c>
      <c r="C989" s="223" t="s">
        <v>1228</v>
      </c>
      <c r="D989" s="223" t="s">
        <v>1222</v>
      </c>
      <c r="E989" s="223" t="s">
        <v>1087</v>
      </c>
      <c r="F989" s="223" t="s">
        <v>1090</v>
      </c>
      <c r="G989" s="223" t="s">
        <v>1219</v>
      </c>
    </row>
    <row r="990" spans="1:7" x14ac:dyDescent="0.3">
      <c r="A990" s="223">
        <v>989</v>
      </c>
      <c r="B990" s="223" t="s">
        <v>1124</v>
      </c>
      <c r="C990" s="223" t="s">
        <v>1228</v>
      </c>
      <c r="D990" s="223" t="s">
        <v>1222</v>
      </c>
      <c r="E990" s="223" t="s">
        <v>21</v>
      </c>
      <c r="F990" s="223" t="s">
        <v>1093</v>
      </c>
      <c r="G990" s="223" t="s">
        <v>1219</v>
      </c>
    </row>
    <row r="991" spans="1:7" x14ac:dyDescent="0.3">
      <c r="A991" s="223">
        <v>990</v>
      </c>
      <c r="B991" s="223" t="s">
        <v>1124</v>
      </c>
      <c r="C991" s="223" t="s">
        <v>1228</v>
      </c>
      <c r="D991" s="223" t="s">
        <v>1222</v>
      </c>
      <c r="E991" s="223" t="s">
        <v>21</v>
      </c>
      <c r="F991" s="223" t="s">
        <v>27</v>
      </c>
      <c r="G991" s="223" t="s">
        <v>1202</v>
      </c>
    </row>
    <row r="992" spans="1:7" x14ac:dyDescent="0.3">
      <c r="A992" s="223">
        <v>991</v>
      </c>
      <c r="B992" s="223" t="s">
        <v>1124</v>
      </c>
      <c r="C992" s="223" t="s">
        <v>1228</v>
      </c>
      <c r="D992" s="223" t="s">
        <v>1222</v>
      </c>
      <c r="E992" s="223" t="s">
        <v>21</v>
      </c>
      <c r="F992" s="223" t="s">
        <v>1096</v>
      </c>
      <c r="G992" s="223" t="s">
        <v>1200</v>
      </c>
    </row>
    <row r="993" spans="1:7" x14ac:dyDescent="0.3">
      <c r="A993" s="223">
        <v>992</v>
      </c>
      <c r="B993" s="223" t="s">
        <v>1124</v>
      </c>
      <c r="C993" s="223" t="s">
        <v>1228</v>
      </c>
      <c r="D993" s="223" t="s">
        <v>1222</v>
      </c>
      <c r="E993" s="223" t="s">
        <v>21</v>
      </c>
      <c r="F993" s="223" t="s">
        <v>1090</v>
      </c>
      <c r="G993" s="223" t="s">
        <v>1219</v>
      </c>
    </row>
    <row r="994" spans="1:7" x14ac:dyDescent="0.3">
      <c r="A994" s="223">
        <v>993</v>
      </c>
      <c r="B994" s="223" t="s">
        <v>1124</v>
      </c>
      <c r="C994" s="223" t="s">
        <v>1228</v>
      </c>
      <c r="D994" s="223" t="s">
        <v>1223</v>
      </c>
      <c r="E994" s="223" t="s">
        <v>1087</v>
      </c>
      <c r="F994" s="223" t="s">
        <v>1093</v>
      </c>
      <c r="G994" s="223" t="s">
        <v>1219</v>
      </c>
    </row>
    <row r="995" spans="1:7" x14ac:dyDescent="0.3">
      <c r="A995" s="223">
        <v>994</v>
      </c>
      <c r="B995" s="223" t="s">
        <v>1124</v>
      </c>
      <c r="C995" s="223" t="s">
        <v>1228</v>
      </c>
      <c r="D995" s="223" t="s">
        <v>1223</v>
      </c>
      <c r="E995" s="223" t="s">
        <v>1087</v>
      </c>
      <c r="F995" s="223" t="s">
        <v>27</v>
      </c>
      <c r="G995" s="223" t="s">
        <v>1219</v>
      </c>
    </row>
    <row r="996" spans="1:7" x14ac:dyDescent="0.3">
      <c r="A996" s="223">
        <v>995</v>
      </c>
      <c r="B996" s="223" t="s">
        <v>1124</v>
      </c>
      <c r="C996" s="223" t="s">
        <v>1228</v>
      </c>
      <c r="D996" s="223" t="s">
        <v>1223</v>
      </c>
      <c r="E996" s="223" t="s">
        <v>1087</v>
      </c>
      <c r="F996" s="223" t="s">
        <v>1096</v>
      </c>
      <c r="G996" s="223" t="s">
        <v>1126</v>
      </c>
    </row>
    <row r="997" spans="1:7" x14ac:dyDescent="0.3">
      <c r="A997" s="223">
        <v>996</v>
      </c>
      <c r="B997" s="223" t="s">
        <v>1124</v>
      </c>
      <c r="C997" s="223" t="s">
        <v>1228</v>
      </c>
      <c r="D997" s="223" t="s">
        <v>1223</v>
      </c>
      <c r="E997" s="223" t="s">
        <v>1087</v>
      </c>
      <c r="F997" s="223" t="s">
        <v>1090</v>
      </c>
      <c r="G997" s="223" t="s">
        <v>1128</v>
      </c>
    </row>
    <row r="998" spans="1:7" x14ac:dyDescent="0.3">
      <c r="A998" s="223">
        <v>997</v>
      </c>
      <c r="B998" s="223" t="s">
        <v>1124</v>
      </c>
      <c r="C998" s="223" t="s">
        <v>1228</v>
      </c>
      <c r="D998" s="223" t="s">
        <v>1223</v>
      </c>
      <c r="E998" s="223" t="s">
        <v>21</v>
      </c>
      <c r="F998" s="223" t="s">
        <v>1093</v>
      </c>
      <c r="G998" s="223" t="s">
        <v>1219</v>
      </c>
    </row>
    <row r="999" spans="1:7" x14ac:dyDescent="0.3">
      <c r="A999" s="223">
        <v>998</v>
      </c>
      <c r="B999" s="223" t="s">
        <v>1124</v>
      </c>
      <c r="C999" s="223" t="s">
        <v>1228</v>
      </c>
      <c r="D999" s="223" t="s">
        <v>1223</v>
      </c>
      <c r="E999" s="223" t="s">
        <v>21</v>
      </c>
      <c r="F999" s="223" t="s">
        <v>27</v>
      </c>
      <c r="G999" s="223" t="s">
        <v>1219</v>
      </c>
    </row>
    <row r="1000" spans="1:7" x14ac:dyDescent="0.3">
      <c r="A1000" s="223">
        <v>999</v>
      </c>
      <c r="B1000" s="223" t="s">
        <v>1124</v>
      </c>
      <c r="C1000" s="223" t="s">
        <v>1228</v>
      </c>
      <c r="D1000" s="223" t="s">
        <v>1223</v>
      </c>
      <c r="E1000" s="223" t="s">
        <v>21</v>
      </c>
      <c r="F1000" s="223" t="s">
        <v>1096</v>
      </c>
      <c r="G1000" s="223" t="s">
        <v>1198</v>
      </c>
    </row>
    <row r="1001" spans="1:7" x14ac:dyDescent="0.3">
      <c r="A1001" s="223">
        <v>1000</v>
      </c>
      <c r="B1001" s="223" t="s">
        <v>1124</v>
      </c>
      <c r="C1001" s="223" t="s">
        <v>1228</v>
      </c>
      <c r="D1001" s="223" t="s">
        <v>1223</v>
      </c>
      <c r="E1001" s="223" t="s">
        <v>21</v>
      </c>
      <c r="F1001" s="223" t="s">
        <v>1090</v>
      </c>
      <c r="G1001" s="223" t="s">
        <v>1192</v>
      </c>
    </row>
    <row r="1002" spans="1:7" x14ac:dyDescent="0.3">
      <c r="A1002" s="223">
        <v>1001</v>
      </c>
      <c r="B1002" s="223" t="s">
        <v>1124</v>
      </c>
      <c r="C1002" s="223" t="s">
        <v>1228</v>
      </c>
      <c r="D1002" s="223" t="s">
        <v>12</v>
      </c>
      <c r="E1002" s="223" t="s">
        <v>1087</v>
      </c>
      <c r="F1002" s="223" t="s">
        <v>1093</v>
      </c>
      <c r="G1002" s="223" t="s">
        <v>1219</v>
      </c>
    </row>
    <row r="1003" spans="1:7" x14ac:dyDescent="0.3">
      <c r="A1003" s="223">
        <v>1002</v>
      </c>
      <c r="B1003" s="223" t="s">
        <v>1124</v>
      </c>
      <c r="C1003" s="223" t="s">
        <v>1228</v>
      </c>
      <c r="D1003" s="223" t="s">
        <v>12</v>
      </c>
      <c r="E1003" s="223" t="s">
        <v>1087</v>
      </c>
      <c r="F1003" s="223" t="s">
        <v>27</v>
      </c>
      <c r="G1003" s="223" t="s">
        <v>1219</v>
      </c>
    </row>
    <row r="1004" spans="1:7" x14ac:dyDescent="0.3">
      <c r="A1004" s="223">
        <v>1003</v>
      </c>
      <c r="B1004" s="223" t="s">
        <v>1124</v>
      </c>
      <c r="C1004" s="223" t="s">
        <v>1228</v>
      </c>
      <c r="D1004" s="223" t="s">
        <v>12</v>
      </c>
      <c r="E1004" s="223" t="s">
        <v>1087</v>
      </c>
      <c r="F1004" s="223" t="s">
        <v>1096</v>
      </c>
      <c r="G1004" s="223" t="s">
        <v>1126</v>
      </c>
    </row>
    <row r="1005" spans="1:7" x14ac:dyDescent="0.3">
      <c r="A1005" s="223">
        <v>1004</v>
      </c>
      <c r="B1005" s="223" t="s">
        <v>1124</v>
      </c>
      <c r="C1005" s="223" t="s">
        <v>1228</v>
      </c>
      <c r="D1005" s="223" t="s">
        <v>12</v>
      </c>
      <c r="E1005" s="223" t="s">
        <v>1087</v>
      </c>
      <c r="F1005" s="223" t="s">
        <v>1090</v>
      </c>
      <c r="G1005" s="223" t="s">
        <v>1128</v>
      </c>
    </row>
    <row r="1006" spans="1:7" x14ac:dyDescent="0.3">
      <c r="A1006" s="223">
        <v>1005</v>
      </c>
      <c r="B1006" s="223" t="s">
        <v>1124</v>
      </c>
      <c r="C1006" s="223" t="s">
        <v>1228</v>
      </c>
      <c r="D1006" s="223" t="s">
        <v>12</v>
      </c>
      <c r="E1006" s="223" t="s">
        <v>21</v>
      </c>
      <c r="F1006" s="223" t="s">
        <v>1093</v>
      </c>
      <c r="G1006" s="223" t="s">
        <v>1219</v>
      </c>
    </row>
    <row r="1007" spans="1:7" x14ac:dyDescent="0.3">
      <c r="A1007" s="223">
        <v>1006</v>
      </c>
      <c r="B1007" s="223" t="s">
        <v>1124</v>
      </c>
      <c r="C1007" s="223" t="s">
        <v>1228</v>
      </c>
      <c r="D1007" s="223" t="s">
        <v>12</v>
      </c>
      <c r="E1007" s="223" t="s">
        <v>21</v>
      </c>
      <c r="F1007" s="223" t="s">
        <v>27</v>
      </c>
      <c r="G1007" s="223" t="s">
        <v>1219</v>
      </c>
    </row>
    <row r="1008" spans="1:7" x14ac:dyDescent="0.3">
      <c r="A1008" s="223">
        <v>1007</v>
      </c>
      <c r="B1008" s="223" t="s">
        <v>1124</v>
      </c>
      <c r="C1008" s="223" t="s">
        <v>1228</v>
      </c>
      <c r="D1008" s="223" t="s">
        <v>12</v>
      </c>
      <c r="E1008" s="223" t="s">
        <v>21</v>
      </c>
      <c r="F1008" s="223" t="s">
        <v>1096</v>
      </c>
      <c r="G1008" s="223" t="s">
        <v>1198</v>
      </c>
    </row>
    <row r="1009" spans="1:7" x14ac:dyDescent="0.3">
      <c r="A1009" s="223">
        <v>1008</v>
      </c>
      <c r="B1009" s="223" t="s">
        <v>1124</v>
      </c>
      <c r="C1009" s="223" t="s">
        <v>1228</v>
      </c>
      <c r="D1009" s="223" t="s">
        <v>12</v>
      </c>
      <c r="E1009" s="223" t="s">
        <v>21</v>
      </c>
      <c r="F1009" s="223" t="s">
        <v>1090</v>
      </c>
      <c r="G1009" s="223" t="s">
        <v>1192</v>
      </c>
    </row>
    <row r="1010" spans="1:7" x14ac:dyDescent="0.3">
      <c r="A1010" s="223">
        <v>1009</v>
      </c>
      <c r="B1010" s="223" t="s">
        <v>1130</v>
      </c>
      <c r="C1010" s="223" t="s">
        <v>1217</v>
      </c>
      <c r="D1010" s="223" t="s">
        <v>1218</v>
      </c>
      <c r="E1010" s="223" t="s">
        <v>1087</v>
      </c>
      <c r="F1010" s="223" t="s">
        <v>1093</v>
      </c>
      <c r="G1010" s="223" t="s">
        <v>1129</v>
      </c>
    </row>
    <row r="1011" spans="1:7" x14ac:dyDescent="0.3">
      <c r="A1011" s="223">
        <v>1010</v>
      </c>
      <c r="B1011" s="223" t="s">
        <v>1130</v>
      </c>
      <c r="C1011" s="223" t="s">
        <v>1217</v>
      </c>
      <c r="D1011" s="223" t="s">
        <v>1218</v>
      </c>
      <c r="E1011" s="223" t="s">
        <v>1087</v>
      </c>
      <c r="F1011" s="223" t="s">
        <v>27</v>
      </c>
      <c r="G1011" s="223" t="s">
        <v>1219</v>
      </c>
    </row>
    <row r="1012" spans="1:7" x14ac:dyDescent="0.3">
      <c r="A1012" s="223">
        <v>1011</v>
      </c>
      <c r="B1012" s="223" t="s">
        <v>1130</v>
      </c>
      <c r="C1012" s="223" t="s">
        <v>1217</v>
      </c>
      <c r="D1012" s="223" t="s">
        <v>1218</v>
      </c>
      <c r="E1012" s="223" t="s">
        <v>1087</v>
      </c>
      <c r="F1012" s="223" t="s">
        <v>1096</v>
      </c>
      <c r="G1012" s="223" t="s">
        <v>1133</v>
      </c>
    </row>
    <row r="1013" spans="1:7" x14ac:dyDescent="0.3">
      <c r="A1013" s="223">
        <v>1012</v>
      </c>
      <c r="B1013" s="223" t="s">
        <v>1130</v>
      </c>
      <c r="C1013" s="223" t="s">
        <v>1217</v>
      </c>
      <c r="D1013" s="223" t="s">
        <v>1218</v>
      </c>
      <c r="E1013" s="223" t="s">
        <v>1087</v>
      </c>
      <c r="F1013" s="223" t="s">
        <v>1090</v>
      </c>
      <c r="G1013" s="223" t="s">
        <v>1219</v>
      </c>
    </row>
    <row r="1014" spans="1:7" x14ac:dyDescent="0.3">
      <c r="A1014" s="223">
        <v>1013</v>
      </c>
      <c r="B1014" s="223" t="s">
        <v>1130</v>
      </c>
      <c r="C1014" s="223" t="s">
        <v>1217</v>
      </c>
      <c r="D1014" s="223" t="s">
        <v>1218</v>
      </c>
      <c r="E1014" s="223" t="s">
        <v>21</v>
      </c>
      <c r="F1014" s="223" t="s">
        <v>1093</v>
      </c>
      <c r="G1014" s="223" t="s">
        <v>1219</v>
      </c>
    </row>
    <row r="1015" spans="1:7" x14ac:dyDescent="0.3">
      <c r="A1015" s="223">
        <v>1014</v>
      </c>
      <c r="B1015" s="223" t="s">
        <v>1130</v>
      </c>
      <c r="C1015" s="223" t="s">
        <v>1217</v>
      </c>
      <c r="D1015" s="223" t="s">
        <v>1218</v>
      </c>
      <c r="E1015" s="223" t="s">
        <v>21</v>
      </c>
      <c r="F1015" s="223" t="s">
        <v>27</v>
      </c>
      <c r="G1015" s="223" t="s">
        <v>1186</v>
      </c>
    </row>
    <row r="1016" spans="1:7" x14ac:dyDescent="0.3">
      <c r="A1016" s="223">
        <v>1015</v>
      </c>
      <c r="B1016" s="223" t="s">
        <v>1130</v>
      </c>
      <c r="C1016" s="223" t="s">
        <v>1217</v>
      </c>
      <c r="D1016" s="223" t="s">
        <v>1218</v>
      </c>
      <c r="E1016" s="223" t="s">
        <v>21</v>
      </c>
      <c r="F1016" s="223" t="s">
        <v>1096</v>
      </c>
      <c r="G1016" s="223" t="s">
        <v>1219</v>
      </c>
    </row>
    <row r="1017" spans="1:7" x14ac:dyDescent="0.3">
      <c r="A1017" s="223">
        <v>1016</v>
      </c>
      <c r="B1017" s="223" t="s">
        <v>1130</v>
      </c>
      <c r="C1017" s="223" t="s">
        <v>1217</v>
      </c>
      <c r="D1017" s="223" t="s">
        <v>1218</v>
      </c>
      <c r="E1017" s="223" t="s">
        <v>21</v>
      </c>
      <c r="F1017" s="223" t="s">
        <v>1090</v>
      </c>
      <c r="G1017" s="223" t="s">
        <v>1219</v>
      </c>
    </row>
    <row r="1018" spans="1:7" x14ac:dyDescent="0.3">
      <c r="A1018" s="223">
        <v>1017</v>
      </c>
      <c r="B1018" s="223" t="s">
        <v>1130</v>
      </c>
      <c r="C1018" s="223" t="s">
        <v>1217</v>
      </c>
      <c r="D1018" s="223" t="s">
        <v>1220</v>
      </c>
      <c r="E1018" s="223" t="s">
        <v>1087</v>
      </c>
      <c r="F1018" s="223" t="s">
        <v>1093</v>
      </c>
      <c r="G1018" s="223" t="s">
        <v>1129</v>
      </c>
    </row>
    <row r="1019" spans="1:7" x14ac:dyDescent="0.3">
      <c r="A1019" s="223">
        <v>1018</v>
      </c>
      <c r="B1019" s="223" t="s">
        <v>1130</v>
      </c>
      <c r="C1019" s="223" t="s">
        <v>1217</v>
      </c>
      <c r="D1019" s="223" t="s">
        <v>1220</v>
      </c>
      <c r="E1019" s="223" t="s">
        <v>1087</v>
      </c>
      <c r="F1019" s="223" t="s">
        <v>27</v>
      </c>
      <c r="G1019" s="223" t="s">
        <v>1219</v>
      </c>
    </row>
    <row r="1020" spans="1:7" x14ac:dyDescent="0.3">
      <c r="A1020" s="223">
        <v>1019</v>
      </c>
      <c r="B1020" s="223" t="s">
        <v>1130</v>
      </c>
      <c r="C1020" s="223" t="s">
        <v>1217</v>
      </c>
      <c r="D1020" s="223" t="s">
        <v>1220</v>
      </c>
      <c r="E1020" s="223" t="s">
        <v>1087</v>
      </c>
      <c r="F1020" s="223" t="s">
        <v>1096</v>
      </c>
      <c r="G1020" s="223" t="s">
        <v>1133</v>
      </c>
    </row>
    <row r="1021" spans="1:7" x14ac:dyDescent="0.3">
      <c r="A1021" s="223">
        <v>1020</v>
      </c>
      <c r="B1021" s="223" t="s">
        <v>1130</v>
      </c>
      <c r="C1021" s="223" t="s">
        <v>1217</v>
      </c>
      <c r="D1021" s="223" t="s">
        <v>1220</v>
      </c>
      <c r="E1021" s="223" t="s">
        <v>1087</v>
      </c>
      <c r="F1021" s="223" t="s">
        <v>1090</v>
      </c>
      <c r="G1021" s="223" t="s">
        <v>1219</v>
      </c>
    </row>
    <row r="1022" spans="1:7" x14ac:dyDescent="0.3">
      <c r="A1022" s="223">
        <v>1021</v>
      </c>
      <c r="B1022" s="223" t="s">
        <v>1130</v>
      </c>
      <c r="C1022" s="223" t="s">
        <v>1217</v>
      </c>
      <c r="D1022" s="223" t="s">
        <v>1220</v>
      </c>
      <c r="E1022" s="223" t="s">
        <v>21</v>
      </c>
      <c r="F1022" s="223" t="s">
        <v>1093</v>
      </c>
      <c r="G1022" s="223" t="s">
        <v>1219</v>
      </c>
    </row>
    <row r="1023" spans="1:7" x14ac:dyDescent="0.3">
      <c r="A1023" s="223">
        <v>1022</v>
      </c>
      <c r="B1023" s="223" t="s">
        <v>1130</v>
      </c>
      <c r="C1023" s="223" t="s">
        <v>1217</v>
      </c>
      <c r="D1023" s="223" t="s">
        <v>1220</v>
      </c>
      <c r="E1023" s="223" t="s">
        <v>21</v>
      </c>
      <c r="F1023" s="223" t="s">
        <v>27</v>
      </c>
      <c r="G1023" s="223" t="s">
        <v>1186</v>
      </c>
    </row>
    <row r="1024" spans="1:7" x14ac:dyDescent="0.3">
      <c r="A1024" s="223">
        <v>1023</v>
      </c>
      <c r="B1024" s="223" t="s">
        <v>1130</v>
      </c>
      <c r="C1024" s="223" t="s">
        <v>1217</v>
      </c>
      <c r="D1024" s="223" t="s">
        <v>1220</v>
      </c>
      <c r="E1024" s="223" t="s">
        <v>21</v>
      </c>
      <c r="F1024" s="223" t="s">
        <v>1096</v>
      </c>
      <c r="G1024" s="223" t="s">
        <v>1219</v>
      </c>
    </row>
    <row r="1025" spans="1:7" x14ac:dyDescent="0.3">
      <c r="A1025" s="223">
        <v>1024</v>
      </c>
      <c r="B1025" s="223" t="s">
        <v>1130</v>
      </c>
      <c r="C1025" s="223" t="s">
        <v>1217</v>
      </c>
      <c r="D1025" s="223" t="s">
        <v>1220</v>
      </c>
      <c r="E1025" s="223" t="s">
        <v>21</v>
      </c>
      <c r="F1025" s="223" t="s">
        <v>1090</v>
      </c>
      <c r="G1025" s="223" t="s">
        <v>1219</v>
      </c>
    </row>
    <row r="1026" spans="1:7" x14ac:dyDescent="0.3">
      <c r="A1026" s="223">
        <v>1025</v>
      </c>
      <c r="B1026" s="223" t="s">
        <v>1130</v>
      </c>
      <c r="C1026" s="223" t="s">
        <v>1217</v>
      </c>
      <c r="D1026" s="223" t="s">
        <v>1221</v>
      </c>
      <c r="E1026" s="223" t="s">
        <v>1087</v>
      </c>
      <c r="F1026" s="223" t="s">
        <v>1093</v>
      </c>
      <c r="G1026" s="223" t="s">
        <v>1129</v>
      </c>
    </row>
    <row r="1027" spans="1:7" x14ac:dyDescent="0.3">
      <c r="A1027" s="223">
        <v>1026</v>
      </c>
      <c r="B1027" s="223" t="s">
        <v>1130</v>
      </c>
      <c r="C1027" s="223" t="s">
        <v>1217</v>
      </c>
      <c r="D1027" s="223" t="s">
        <v>1221</v>
      </c>
      <c r="E1027" s="223" t="s">
        <v>1087</v>
      </c>
      <c r="F1027" s="223" t="s">
        <v>27</v>
      </c>
      <c r="G1027" s="223" t="s">
        <v>1219</v>
      </c>
    </row>
    <row r="1028" spans="1:7" x14ac:dyDescent="0.3">
      <c r="A1028" s="223">
        <v>1027</v>
      </c>
      <c r="B1028" s="223" t="s">
        <v>1130</v>
      </c>
      <c r="C1028" s="223" t="s">
        <v>1217</v>
      </c>
      <c r="D1028" s="223" t="s">
        <v>1221</v>
      </c>
      <c r="E1028" s="223" t="s">
        <v>1087</v>
      </c>
      <c r="F1028" s="223" t="s">
        <v>1096</v>
      </c>
      <c r="G1028" s="223" t="s">
        <v>1133</v>
      </c>
    </row>
    <row r="1029" spans="1:7" x14ac:dyDescent="0.3">
      <c r="A1029" s="223">
        <v>1028</v>
      </c>
      <c r="B1029" s="223" t="s">
        <v>1130</v>
      </c>
      <c r="C1029" s="223" t="s">
        <v>1217</v>
      </c>
      <c r="D1029" s="223" t="s">
        <v>1221</v>
      </c>
      <c r="E1029" s="223" t="s">
        <v>1087</v>
      </c>
      <c r="F1029" s="223" t="s">
        <v>1090</v>
      </c>
      <c r="G1029" s="223" t="s">
        <v>1219</v>
      </c>
    </row>
    <row r="1030" spans="1:7" x14ac:dyDescent="0.3">
      <c r="A1030" s="223">
        <v>1029</v>
      </c>
      <c r="B1030" s="223" t="s">
        <v>1130</v>
      </c>
      <c r="C1030" s="223" t="s">
        <v>1217</v>
      </c>
      <c r="D1030" s="223" t="s">
        <v>1221</v>
      </c>
      <c r="E1030" s="223" t="s">
        <v>21</v>
      </c>
      <c r="F1030" s="223" t="s">
        <v>1093</v>
      </c>
      <c r="G1030" s="223" t="s">
        <v>1219</v>
      </c>
    </row>
    <row r="1031" spans="1:7" x14ac:dyDescent="0.3">
      <c r="A1031" s="223">
        <v>1030</v>
      </c>
      <c r="B1031" s="223" t="s">
        <v>1130</v>
      </c>
      <c r="C1031" s="223" t="s">
        <v>1217</v>
      </c>
      <c r="D1031" s="223" t="s">
        <v>1221</v>
      </c>
      <c r="E1031" s="223" t="s">
        <v>21</v>
      </c>
      <c r="F1031" s="223" t="s">
        <v>27</v>
      </c>
      <c r="G1031" s="223" t="s">
        <v>1186</v>
      </c>
    </row>
    <row r="1032" spans="1:7" x14ac:dyDescent="0.3">
      <c r="A1032" s="223">
        <v>1031</v>
      </c>
      <c r="B1032" s="223" t="s">
        <v>1130</v>
      </c>
      <c r="C1032" s="223" t="s">
        <v>1217</v>
      </c>
      <c r="D1032" s="223" t="s">
        <v>1221</v>
      </c>
      <c r="E1032" s="223" t="s">
        <v>21</v>
      </c>
      <c r="F1032" s="223" t="s">
        <v>1096</v>
      </c>
      <c r="G1032" s="223" t="s">
        <v>1219</v>
      </c>
    </row>
    <row r="1033" spans="1:7" x14ac:dyDescent="0.3">
      <c r="A1033" s="223">
        <v>1032</v>
      </c>
      <c r="B1033" s="223" t="s">
        <v>1130</v>
      </c>
      <c r="C1033" s="223" t="s">
        <v>1217</v>
      </c>
      <c r="D1033" s="223" t="s">
        <v>1221</v>
      </c>
      <c r="E1033" s="223" t="s">
        <v>21</v>
      </c>
      <c r="F1033" s="223" t="s">
        <v>1090</v>
      </c>
      <c r="G1033" s="223" t="s">
        <v>1219</v>
      </c>
    </row>
    <row r="1034" spans="1:7" x14ac:dyDescent="0.3">
      <c r="A1034" s="223">
        <v>1033</v>
      </c>
      <c r="B1034" s="223" t="s">
        <v>1130</v>
      </c>
      <c r="C1034" s="223" t="s">
        <v>1217</v>
      </c>
      <c r="D1034" s="223" t="s">
        <v>1222</v>
      </c>
      <c r="E1034" s="223" t="s">
        <v>1087</v>
      </c>
      <c r="F1034" s="223" t="s">
        <v>1093</v>
      </c>
      <c r="G1034" s="223" t="s">
        <v>1129</v>
      </c>
    </row>
    <row r="1035" spans="1:7" x14ac:dyDescent="0.3">
      <c r="A1035" s="223">
        <v>1034</v>
      </c>
      <c r="B1035" s="223" t="s">
        <v>1130</v>
      </c>
      <c r="C1035" s="223" t="s">
        <v>1217</v>
      </c>
      <c r="D1035" s="223" t="s">
        <v>1222</v>
      </c>
      <c r="E1035" s="223" t="s">
        <v>1087</v>
      </c>
      <c r="F1035" s="223" t="s">
        <v>27</v>
      </c>
      <c r="G1035" s="223" t="s">
        <v>1219</v>
      </c>
    </row>
    <row r="1036" spans="1:7" x14ac:dyDescent="0.3">
      <c r="A1036" s="223">
        <v>1035</v>
      </c>
      <c r="B1036" s="223" t="s">
        <v>1130</v>
      </c>
      <c r="C1036" s="223" t="s">
        <v>1217</v>
      </c>
      <c r="D1036" s="223" t="s">
        <v>1222</v>
      </c>
      <c r="E1036" s="223" t="s">
        <v>1087</v>
      </c>
      <c r="F1036" s="223" t="s">
        <v>1096</v>
      </c>
      <c r="G1036" s="223" t="s">
        <v>1133</v>
      </c>
    </row>
    <row r="1037" spans="1:7" x14ac:dyDescent="0.3">
      <c r="A1037" s="223">
        <v>1036</v>
      </c>
      <c r="B1037" s="223" t="s">
        <v>1130</v>
      </c>
      <c r="C1037" s="223" t="s">
        <v>1217</v>
      </c>
      <c r="D1037" s="223" t="s">
        <v>1222</v>
      </c>
      <c r="E1037" s="223" t="s">
        <v>1087</v>
      </c>
      <c r="F1037" s="223" t="s">
        <v>1090</v>
      </c>
      <c r="G1037" s="223" t="s">
        <v>1219</v>
      </c>
    </row>
    <row r="1038" spans="1:7" x14ac:dyDescent="0.3">
      <c r="A1038" s="223">
        <v>1037</v>
      </c>
      <c r="B1038" s="223" t="s">
        <v>1130</v>
      </c>
      <c r="C1038" s="223" t="s">
        <v>1217</v>
      </c>
      <c r="D1038" s="223" t="s">
        <v>1222</v>
      </c>
      <c r="E1038" s="223" t="s">
        <v>21</v>
      </c>
      <c r="F1038" s="223" t="s">
        <v>1093</v>
      </c>
      <c r="G1038" s="223" t="s">
        <v>1219</v>
      </c>
    </row>
    <row r="1039" spans="1:7" x14ac:dyDescent="0.3">
      <c r="A1039" s="223">
        <v>1038</v>
      </c>
      <c r="B1039" s="223" t="s">
        <v>1130</v>
      </c>
      <c r="C1039" s="223" t="s">
        <v>1217</v>
      </c>
      <c r="D1039" s="223" t="s">
        <v>1222</v>
      </c>
      <c r="E1039" s="223" t="s">
        <v>21</v>
      </c>
      <c r="F1039" s="223" t="s">
        <v>27</v>
      </c>
      <c r="G1039" s="223" t="s">
        <v>1186</v>
      </c>
    </row>
    <row r="1040" spans="1:7" x14ac:dyDescent="0.3">
      <c r="A1040" s="223">
        <v>1039</v>
      </c>
      <c r="B1040" s="223" t="s">
        <v>1130</v>
      </c>
      <c r="C1040" s="223" t="s">
        <v>1217</v>
      </c>
      <c r="D1040" s="223" t="s">
        <v>1222</v>
      </c>
      <c r="E1040" s="223" t="s">
        <v>21</v>
      </c>
      <c r="F1040" s="223" t="s">
        <v>1096</v>
      </c>
      <c r="G1040" s="223" t="s">
        <v>1219</v>
      </c>
    </row>
    <row r="1041" spans="1:7" x14ac:dyDescent="0.3">
      <c r="A1041" s="223">
        <v>1040</v>
      </c>
      <c r="B1041" s="223" t="s">
        <v>1130</v>
      </c>
      <c r="C1041" s="223" t="s">
        <v>1217</v>
      </c>
      <c r="D1041" s="223" t="s">
        <v>1222</v>
      </c>
      <c r="E1041" s="223" t="s">
        <v>21</v>
      </c>
      <c r="F1041" s="223" t="s">
        <v>1090</v>
      </c>
      <c r="G1041" s="223" t="s">
        <v>1219</v>
      </c>
    </row>
    <row r="1042" spans="1:7" x14ac:dyDescent="0.3">
      <c r="A1042" s="223">
        <v>1041</v>
      </c>
      <c r="B1042" s="223" t="s">
        <v>1130</v>
      </c>
      <c r="C1042" s="223" t="s">
        <v>1217</v>
      </c>
      <c r="D1042" s="223" t="s">
        <v>1223</v>
      </c>
      <c r="E1042" s="223" t="s">
        <v>1087</v>
      </c>
      <c r="F1042" s="223" t="s">
        <v>1093</v>
      </c>
      <c r="G1042" s="223" t="s">
        <v>1187</v>
      </c>
    </row>
    <row r="1043" spans="1:7" x14ac:dyDescent="0.3">
      <c r="A1043" s="223">
        <v>1042</v>
      </c>
      <c r="B1043" s="223" t="s">
        <v>1130</v>
      </c>
      <c r="C1043" s="223" t="s">
        <v>1217</v>
      </c>
      <c r="D1043" s="223" t="s">
        <v>1223</v>
      </c>
      <c r="E1043" s="223" t="s">
        <v>1087</v>
      </c>
      <c r="F1043" s="223" t="s">
        <v>27</v>
      </c>
      <c r="G1043" s="223" t="s">
        <v>1136</v>
      </c>
    </row>
    <row r="1044" spans="1:7" x14ac:dyDescent="0.3">
      <c r="A1044" s="223">
        <v>1043</v>
      </c>
      <c r="B1044" s="223" t="s">
        <v>1130</v>
      </c>
      <c r="C1044" s="223" t="s">
        <v>1217</v>
      </c>
      <c r="D1044" s="223" t="s">
        <v>1223</v>
      </c>
      <c r="E1044" s="223" t="s">
        <v>1087</v>
      </c>
      <c r="F1044" s="223" t="s">
        <v>1096</v>
      </c>
      <c r="G1044" s="223" t="s">
        <v>1131</v>
      </c>
    </row>
    <row r="1045" spans="1:7" x14ac:dyDescent="0.3">
      <c r="A1045" s="223">
        <v>1044</v>
      </c>
      <c r="B1045" s="223" t="s">
        <v>1130</v>
      </c>
      <c r="C1045" s="223" t="s">
        <v>1217</v>
      </c>
      <c r="D1045" s="223" t="s">
        <v>1223</v>
      </c>
      <c r="E1045" s="223" t="s">
        <v>1087</v>
      </c>
      <c r="F1045" s="223" t="s">
        <v>1090</v>
      </c>
      <c r="G1045" s="223" t="s">
        <v>1219</v>
      </c>
    </row>
    <row r="1046" spans="1:7" x14ac:dyDescent="0.3">
      <c r="A1046" s="223">
        <v>1045</v>
      </c>
      <c r="B1046" s="223" t="s">
        <v>1130</v>
      </c>
      <c r="C1046" s="223" t="s">
        <v>1217</v>
      </c>
      <c r="D1046" s="223" t="s">
        <v>1223</v>
      </c>
      <c r="E1046" s="223" t="s">
        <v>21</v>
      </c>
      <c r="F1046" s="223" t="s">
        <v>1093</v>
      </c>
      <c r="G1046" s="223" t="s">
        <v>1219</v>
      </c>
    </row>
    <row r="1047" spans="1:7" x14ac:dyDescent="0.3">
      <c r="A1047" s="223">
        <v>1046</v>
      </c>
      <c r="B1047" s="223" t="s">
        <v>1130</v>
      </c>
      <c r="C1047" s="223" t="s">
        <v>1217</v>
      </c>
      <c r="D1047" s="223" t="s">
        <v>1223</v>
      </c>
      <c r="E1047" s="223" t="s">
        <v>21</v>
      </c>
      <c r="F1047" s="223" t="s">
        <v>27</v>
      </c>
      <c r="G1047" s="223" t="s">
        <v>1219</v>
      </c>
    </row>
    <row r="1048" spans="1:7" x14ac:dyDescent="0.3">
      <c r="A1048" s="223">
        <v>1047</v>
      </c>
      <c r="B1048" s="223" t="s">
        <v>1130</v>
      </c>
      <c r="C1048" s="223" t="s">
        <v>1217</v>
      </c>
      <c r="D1048" s="223" t="s">
        <v>1223</v>
      </c>
      <c r="E1048" s="223" t="s">
        <v>21</v>
      </c>
      <c r="F1048" s="223" t="s">
        <v>1096</v>
      </c>
      <c r="G1048" s="223" t="s">
        <v>1135</v>
      </c>
    </row>
    <row r="1049" spans="1:7" x14ac:dyDescent="0.3">
      <c r="A1049" s="223">
        <v>1048</v>
      </c>
      <c r="B1049" s="223" t="s">
        <v>1130</v>
      </c>
      <c r="C1049" s="223" t="s">
        <v>1217</v>
      </c>
      <c r="D1049" s="223" t="s">
        <v>1223</v>
      </c>
      <c r="E1049" s="223" t="s">
        <v>21</v>
      </c>
      <c r="F1049" s="223" t="s">
        <v>1090</v>
      </c>
      <c r="G1049" s="223" t="s">
        <v>1134</v>
      </c>
    </row>
    <row r="1050" spans="1:7" x14ac:dyDescent="0.3">
      <c r="A1050" s="223">
        <v>1049</v>
      </c>
      <c r="B1050" s="223" t="s">
        <v>1130</v>
      </c>
      <c r="C1050" s="223" t="s">
        <v>1217</v>
      </c>
      <c r="D1050" s="223" t="s">
        <v>12</v>
      </c>
      <c r="E1050" s="223" t="s">
        <v>1087</v>
      </c>
      <c r="F1050" s="223" t="s">
        <v>1093</v>
      </c>
      <c r="G1050" s="223" t="s">
        <v>1187</v>
      </c>
    </row>
    <row r="1051" spans="1:7" x14ac:dyDescent="0.3">
      <c r="A1051" s="223">
        <v>1050</v>
      </c>
      <c r="B1051" s="223" t="s">
        <v>1130</v>
      </c>
      <c r="C1051" s="223" t="s">
        <v>1217</v>
      </c>
      <c r="D1051" s="223" t="s">
        <v>12</v>
      </c>
      <c r="E1051" s="223" t="s">
        <v>1087</v>
      </c>
      <c r="F1051" s="223" t="s">
        <v>27</v>
      </c>
      <c r="G1051" s="223" t="s">
        <v>1136</v>
      </c>
    </row>
    <row r="1052" spans="1:7" x14ac:dyDescent="0.3">
      <c r="A1052" s="223">
        <v>1051</v>
      </c>
      <c r="B1052" s="223" t="s">
        <v>1130</v>
      </c>
      <c r="C1052" s="223" t="s">
        <v>1217</v>
      </c>
      <c r="D1052" s="223" t="s">
        <v>12</v>
      </c>
      <c r="E1052" s="223" t="s">
        <v>1087</v>
      </c>
      <c r="F1052" s="223" t="s">
        <v>1096</v>
      </c>
      <c r="G1052" s="223" t="s">
        <v>1131</v>
      </c>
    </row>
    <row r="1053" spans="1:7" x14ac:dyDescent="0.3">
      <c r="A1053" s="223">
        <v>1052</v>
      </c>
      <c r="B1053" s="223" t="s">
        <v>1130</v>
      </c>
      <c r="C1053" s="223" t="s">
        <v>1217</v>
      </c>
      <c r="D1053" s="223" t="s">
        <v>12</v>
      </c>
      <c r="E1053" s="223" t="s">
        <v>1087</v>
      </c>
      <c r="F1053" s="223" t="s">
        <v>1090</v>
      </c>
      <c r="G1053" s="223" t="s">
        <v>1219</v>
      </c>
    </row>
    <row r="1054" spans="1:7" x14ac:dyDescent="0.3">
      <c r="A1054" s="223">
        <v>1053</v>
      </c>
      <c r="B1054" s="223" t="s">
        <v>1130</v>
      </c>
      <c r="C1054" s="223" t="s">
        <v>1217</v>
      </c>
      <c r="D1054" s="223" t="s">
        <v>12</v>
      </c>
      <c r="E1054" s="223" t="s">
        <v>21</v>
      </c>
      <c r="F1054" s="223" t="s">
        <v>1093</v>
      </c>
      <c r="G1054" s="223" t="s">
        <v>1219</v>
      </c>
    </row>
    <row r="1055" spans="1:7" x14ac:dyDescent="0.3">
      <c r="A1055" s="223">
        <v>1054</v>
      </c>
      <c r="B1055" s="223" t="s">
        <v>1130</v>
      </c>
      <c r="C1055" s="223" t="s">
        <v>1217</v>
      </c>
      <c r="D1055" s="223" t="s">
        <v>12</v>
      </c>
      <c r="E1055" s="223" t="s">
        <v>21</v>
      </c>
      <c r="F1055" s="223" t="s">
        <v>27</v>
      </c>
      <c r="G1055" s="223" t="s">
        <v>1219</v>
      </c>
    </row>
    <row r="1056" spans="1:7" x14ac:dyDescent="0.3">
      <c r="A1056" s="223">
        <v>1055</v>
      </c>
      <c r="B1056" s="223" t="s">
        <v>1130</v>
      </c>
      <c r="C1056" s="223" t="s">
        <v>1217</v>
      </c>
      <c r="D1056" s="223" t="s">
        <v>12</v>
      </c>
      <c r="E1056" s="223" t="s">
        <v>21</v>
      </c>
      <c r="F1056" s="223" t="s">
        <v>1096</v>
      </c>
      <c r="G1056" s="223" t="s">
        <v>1135</v>
      </c>
    </row>
    <row r="1057" spans="1:7" x14ac:dyDescent="0.3">
      <c r="A1057" s="223">
        <v>1056</v>
      </c>
      <c r="B1057" s="223" t="s">
        <v>1130</v>
      </c>
      <c r="C1057" s="223" t="s">
        <v>1217</v>
      </c>
      <c r="D1057" s="223" t="s">
        <v>12</v>
      </c>
      <c r="E1057" s="223" t="s">
        <v>21</v>
      </c>
      <c r="F1057" s="223" t="s">
        <v>1090</v>
      </c>
      <c r="G1057" s="223" t="s">
        <v>1134</v>
      </c>
    </row>
    <row r="1058" spans="1:7" x14ac:dyDescent="0.3">
      <c r="A1058" s="223">
        <v>1057</v>
      </c>
      <c r="B1058" s="223" t="s">
        <v>1130</v>
      </c>
      <c r="C1058" s="223" t="s">
        <v>1224</v>
      </c>
      <c r="D1058" s="223" t="s">
        <v>1218</v>
      </c>
      <c r="E1058" s="223" t="s">
        <v>1087</v>
      </c>
      <c r="F1058" s="223" t="s">
        <v>1093</v>
      </c>
      <c r="G1058" s="223" t="s">
        <v>1129</v>
      </c>
    </row>
    <row r="1059" spans="1:7" x14ac:dyDescent="0.3">
      <c r="A1059" s="223">
        <v>1058</v>
      </c>
      <c r="B1059" s="223" t="s">
        <v>1130</v>
      </c>
      <c r="C1059" s="223" t="s">
        <v>1224</v>
      </c>
      <c r="D1059" s="223" t="s">
        <v>1218</v>
      </c>
      <c r="E1059" s="223" t="s">
        <v>1087</v>
      </c>
      <c r="F1059" s="223" t="s">
        <v>27</v>
      </c>
      <c r="G1059" s="223" t="s">
        <v>1219</v>
      </c>
    </row>
    <row r="1060" spans="1:7" x14ac:dyDescent="0.3">
      <c r="A1060" s="223">
        <v>1059</v>
      </c>
      <c r="B1060" s="223" t="s">
        <v>1130</v>
      </c>
      <c r="C1060" s="223" t="s">
        <v>1224</v>
      </c>
      <c r="D1060" s="223" t="s">
        <v>1218</v>
      </c>
      <c r="E1060" s="223" t="s">
        <v>1087</v>
      </c>
      <c r="F1060" s="223" t="s">
        <v>1096</v>
      </c>
      <c r="G1060" s="223" t="s">
        <v>1133</v>
      </c>
    </row>
    <row r="1061" spans="1:7" x14ac:dyDescent="0.3">
      <c r="A1061" s="223">
        <v>1060</v>
      </c>
      <c r="B1061" s="223" t="s">
        <v>1130</v>
      </c>
      <c r="C1061" s="223" t="s">
        <v>1224</v>
      </c>
      <c r="D1061" s="223" t="s">
        <v>1218</v>
      </c>
      <c r="E1061" s="223" t="s">
        <v>1087</v>
      </c>
      <c r="F1061" s="223" t="s">
        <v>1090</v>
      </c>
      <c r="G1061" s="223" t="s">
        <v>1219</v>
      </c>
    </row>
    <row r="1062" spans="1:7" x14ac:dyDescent="0.3">
      <c r="A1062" s="223">
        <v>1061</v>
      </c>
      <c r="B1062" s="223" t="s">
        <v>1130</v>
      </c>
      <c r="C1062" s="223" t="s">
        <v>1224</v>
      </c>
      <c r="D1062" s="223" t="s">
        <v>1218</v>
      </c>
      <c r="E1062" s="223" t="s">
        <v>21</v>
      </c>
      <c r="F1062" s="223" t="s">
        <v>1093</v>
      </c>
      <c r="G1062" s="223" t="s">
        <v>1219</v>
      </c>
    </row>
    <row r="1063" spans="1:7" x14ac:dyDescent="0.3">
      <c r="A1063" s="223">
        <v>1062</v>
      </c>
      <c r="B1063" s="223" t="s">
        <v>1130</v>
      </c>
      <c r="C1063" s="223" t="s">
        <v>1224</v>
      </c>
      <c r="D1063" s="223" t="s">
        <v>1218</v>
      </c>
      <c r="E1063" s="223" t="s">
        <v>21</v>
      </c>
      <c r="F1063" s="223" t="s">
        <v>27</v>
      </c>
      <c r="G1063" s="223" t="s">
        <v>1186</v>
      </c>
    </row>
    <row r="1064" spans="1:7" x14ac:dyDescent="0.3">
      <c r="A1064" s="223">
        <v>1063</v>
      </c>
      <c r="B1064" s="223" t="s">
        <v>1130</v>
      </c>
      <c r="C1064" s="223" t="s">
        <v>1224</v>
      </c>
      <c r="D1064" s="223" t="s">
        <v>1218</v>
      </c>
      <c r="E1064" s="223" t="s">
        <v>21</v>
      </c>
      <c r="F1064" s="223" t="s">
        <v>1096</v>
      </c>
      <c r="G1064" s="223" t="s">
        <v>1219</v>
      </c>
    </row>
    <row r="1065" spans="1:7" x14ac:dyDescent="0.3">
      <c r="A1065" s="223">
        <v>1064</v>
      </c>
      <c r="B1065" s="223" t="s">
        <v>1130</v>
      </c>
      <c r="C1065" s="223" t="s">
        <v>1224</v>
      </c>
      <c r="D1065" s="223" t="s">
        <v>1218</v>
      </c>
      <c r="E1065" s="223" t="s">
        <v>21</v>
      </c>
      <c r="F1065" s="223" t="s">
        <v>1090</v>
      </c>
      <c r="G1065" s="223" t="s">
        <v>1219</v>
      </c>
    </row>
    <row r="1066" spans="1:7" x14ac:dyDescent="0.3">
      <c r="A1066" s="223">
        <v>1065</v>
      </c>
      <c r="B1066" s="223" t="s">
        <v>1130</v>
      </c>
      <c r="C1066" s="223" t="s">
        <v>1224</v>
      </c>
      <c r="D1066" s="223" t="s">
        <v>1220</v>
      </c>
      <c r="E1066" s="223" t="s">
        <v>1087</v>
      </c>
      <c r="F1066" s="223" t="s">
        <v>1093</v>
      </c>
      <c r="G1066" s="223" t="s">
        <v>1129</v>
      </c>
    </row>
    <row r="1067" spans="1:7" x14ac:dyDescent="0.3">
      <c r="A1067" s="223">
        <v>1066</v>
      </c>
      <c r="B1067" s="223" t="s">
        <v>1130</v>
      </c>
      <c r="C1067" s="223" t="s">
        <v>1224</v>
      </c>
      <c r="D1067" s="223" t="s">
        <v>1220</v>
      </c>
      <c r="E1067" s="223" t="s">
        <v>1087</v>
      </c>
      <c r="F1067" s="223" t="s">
        <v>27</v>
      </c>
      <c r="G1067" s="223" t="s">
        <v>1219</v>
      </c>
    </row>
    <row r="1068" spans="1:7" x14ac:dyDescent="0.3">
      <c r="A1068" s="223">
        <v>1067</v>
      </c>
      <c r="B1068" s="223" t="s">
        <v>1130</v>
      </c>
      <c r="C1068" s="223" t="s">
        <v>1224</v>
      </c>
      <c r="D1068" s="223" t="s">
        <v>1220</v>
      </c>
      <c r="E1068" s="223" t="s">
        <v>1087</v>
      </c>
      <c r="F1068" s="223" t="s">
        <v>1096</v>
      </c>
      <c r="G1068" s="223" t="s">
        <v>1133</v>
      </c>
    </row>
    <row r="1069" spans="1:7" x14ac:dyDescent="0.3">
      <c r="A1069" s="223">
        <v>1068</v>
      </c>
      <c r="B1069" s="223" t="s">
        <v>1130</v>
      </c>
      <c r="C1069" s="223" t="s">
        <v>1224</v>
      </c>
      <c r="D1069" s="223" t="s">
        <v>1220</v>
      </c>
      <c r="E1069" s="223" t="s">
        <v>1087</v>
      </c>
      <c r="F1069" s="223" t="s">
        <v>1090</v>
      </c>
      <c r="G1069" s="223" t="s">
        <v>1219</v>
      </c>
    </row>
    <row r="1070" spans="1:7" x14ac:dyDescent="0.3">
      <c r="A1070" s="223">
        <v>1069</v>
      </c>
      <c r="B1070" s="223" t="s">
        <v>1130</v>
      </c>
      <c r="C1070" s="223" t="s">
        <v>1224</v>
      </c>
      <c r="D1070" s="223" t="s">
        <v>1220</v>
      </c>
      <c r="E1070" s="223" t="s">
        <v>21</v>
      </c>
      <c r="F1070" s="223" t="s">
        <v>1093</v>
      </c>
      <c r="G1070" s="223" t="s">
        <v>1219</v>
      </c>
    </row>
    <row r="1071" spans="1:7" x14ac:dyDescent="0.3">
      <c r="A1071" s="223">
        <v>1070</v>
      </c>
      <c r="B1071" s="223" t="s">
        <v>1130</v>
      </c>
      <c r="C1071" s="223" t="s">
        <v>1224</v>
      </c>
      <c r="D1071" s="223" t="s">
        <v>1220</v>
      </c>
      <c r="E1071" s="223" t="s">
        <v>21</v>
      </c>
      <c r="F1071" s="223" t="s">
        <v>27</v>
      </c>
      <c r="G1071" s="223" t="s">
        <v>1186</v>
      </c>
    </row>
    <row r="1072" spans="1:7" x14ac:dyDescent="0.3">
      <c r="A1072" s="223">
        <v>1071</v>
      </c>
      <c r="B1072" s="223" t="s">
        <v>1130</v>
      </c>
      <c r="C1072" s="223" t="s">
        <v>1224</v>
      </c>
      <c r="D1072" s="223" t="s">
        <v>1220</v>
      </c>
      <c r="E1072" s="223" t="s">
        <v>21</v>
      </c>
      <c r="F1072" s="223" t="s">
        <v>1096</v>
      </c>
      <c r="G1072" s="223" t="s">
        <v>1219</v>
      </c>
    </row>
    <row r="1073" spans="1:7" x14ac:dyDescent="0.3">
      <c r="A1073" s="223">
        <v>1072</v>
      </c>
      <c r="B1073" s="223" t="s">
        <v>1130</v>
      </c>
      <c r="C1073" s="223" t="s">
        <v>1224</v>
      </c>
      <c r="D1073" s="223" t="s">
        <v>1220</v>
      </c>
      <c r="E1073" s="223" t="s">
        <v>21</v>
      </c>
      <c r="F1073" s="223" t="s">
        <v>1090</v>
      </c>
      <c r="G1073" s="223" t="s">
        <v>1219</v>
      </c>
    </row>
    <row r="1074" spans="1:7" x14ac:dyDescent="0.3">
      <c r="A1074" s="223">
        <v>1073</v>
      </c>
      <c r="B1074" s="223" t="s">
        <v>1130</v>
      </c>
      <c r="C1074" s="223" t="s">
        <v>1224</v>
      </c>
      <c r="D1074" s="223" t="s">
        <v>1221</v>
      </c>
      <c r="E1074" s="223" t="s">
        <v>1087</v>
      </c>
      <c r="F1074" s="223" t="s">
        <v>1093</v>
      </c>
      <c r="G1074" s="223" t="s">
        <v>1129</v>
      </c>
    </row>
    <row r="1075" spans="1:7" x14ac:dyDescent="0.3">
      <c r="A1075" s="223">
        <v>1074</v>
      </c>
      <c r="B1075" s="223" t="s">
        <v>1130</v>
      </c>
      <c r="C1075" s="223" t="s">
        <v>1224</v>
      </c>
      <c r="D1075" s="223" t="s">
        <v>1221</v>
      </c>
      <c r="E1075" s="223" t="s">
        <v>1087</v>
      </c>
      <c r="F1075" s="223" t="s">
        <v>27</v>
      </c>
      <c r="G1075" s="223" t="s">
        <v>1219</v>
      </c>
    </row>
    <row r="1076" spans="1:7" x14ac:dyDescent="0.3">
      <c r="A1076" s="223">
        <v>1075</v>
      </c>
      <c r="B1076" s="223" t="s">
        <v>1130</v>
      </c>
      <c r="C1076" s="223" t="s">
        <v>1224</v>
      </c>
      <c r="D1076" s="223" t="s">
        <v>1221</v>
      </c>
      <c r="E1076" s="223" t="s">
        <v>1087</v>
      </c>
      <c r="F1076" s="223" t="s">
        <v>1096</v>
      </c>
      <c r="G1076" s="223" t="s">
        <v>1133</v>
      </c>
    </row>
    <row r="1077" spans="1:7" x14ac:dyDescent="0.3">
      <c r="A1077" s="223">
        <v>1076</v>
      </c>
      <c r="B1077" s="223" t="s">
        <v>1130</v>
      </c>
      <c r="C1077" s="223" t="s">
        <v>1224</v>
      </c>
      <c r="D1077" s="223" t="s">
        <v>1221</v>
      </c>
      <c r="E1077" s="223" t="s">
        <v>1087</v>
      </c>
      <c r="F1077" s="223" t="s">
        <v>1090</v>
      </c>
      <c r="G1077" s="223" t="s">
        <v>1219</v>
      </c>
    </row>
    <row r="1078" spans="1:7" x14ac:dyDescent="0.3">
      <c r="A1078" s="223">
        <v>1077</v>
      </c>
      <c r="B1078" s="223" t="s">
        <v>1130</v>
      </c>
      <c r="C1078" s="223" t="s">
        <v>1224</v>
      </c>
      <c r="D1078" s="223" t="s">
        <v>1221</v>
      </c>
      <c r="E1078" s="223" t="s">
        <v>21</v>
      </c>
      <c r="F1078" s="223" t="s">
        <v>1093</v>
      </c>
      <c r="G1078" s="223" t="s">
        <v>1219</v>
      </c>
    </row>
    <row r="1079" spans="1:7" x14ac:dyDescent="0.3">
      <c r="A1079" s="223">
        <v>1078</v>
      </c>
      <c r="B1079" s="223" t="s">
        <v>1130</v>
      </c>
      <c r="C1079" s="223" t="s">
        <v>1224</v>
      </c>
      <c r="D1079" s="223" t="s">
        <v>1221</v>
      </c>
      <c r="E1079" s="223" t="s">
        <v>21</v>
      </c>
      <c r="F1079" s="223" t="s">
        <v>27</v>
      </c>
      <c r="G1079" s="223" t="s">
        <v>1186</v>
      </c>
    </row>
    <row r="1080" spans="1:7" x14ac:dyDescent="0.3">
      <c r="A1080" s="223">
        <v>1079</v>
      </c>
      <c r="B1080" s="223" t="s">
        <v>1130</v>
      </c>
      <c r="C1080" s="223" t="s">
        <v>1224</v>
      </c>
      <c r="D1080" s="223" t="s">
        <v>1221</v>
      </c>
      <c r="E1080" s="223" t="s">
        <v>21</v>
      </c>
      <c r="F1080" s="223" t="s">
        <v>1096</v>
      </c>
      <c r="G1080" s="223" t="s">
        <v>1219</v>
      </c>
    </row>
    <row r="1081" spans="1:7" x14ac:dyDescent="0.3">
      <c r="A1081" s="223">
        <v>1080</v>
      </c>
      <c r="B1081" s="223" t="s">
        <v>1130</v>
      </c>
      <c r="C1081" s="223" t="s">
        <v>1224</v>
      </c>
      <c r="D1081" s="223" t="s">
        <v>1221</v>
      </c>
      <c r="E1081" s="223" t="s">
        <v>21</v>
      </c>
      <c r="F1081" s="223" t="s">
        <v>1090</v>
      </c>
      <c r="G1081" s="223" t="s">
        <v>1219</v>
      </c>
    </row>
    <row r="1082" spans="1:7" x14ac:dyDescent="0.3">
      <c r="A1082" s="223">
        <v>1081</v>
      </c>
      <c r="B1082" s="223" t="s">
        <v>1130</v>
      </c>
      <c r="C1082" s="223" t="s">
        <v>1224</v>
      </c>
      <c r="D1082" s="223" t="s">
        <v>1222</v>
      </c>
      <c r="E1082" s="223" t="s">
        <v>1087</v>
      </c>
      <c r="F1082" s="223" t="s">
        <v>1093</v>
      </c>
      <c r="G1082" s="223" t="s">
        <v>1129</v>
      </c>
    </row>
    <row r="1083" spans="1:7" x14ac:dyDescent="0.3">
      <c r="A1083" s="223">
        <v>1082</v>
      </c>
      <c r="B1083" s="223" t="s">
        <v>1130</v>
      </c>
      <c r="C1083" s="223" t="s">
        <v>1224</v>
      </c>
      <c r="D1083" s="223" t="s">
        <v>1222</v>
      </c>
      <c r="E1083" s="223" t="s">
        <v>1087</v>
      </c>
      <c r="F1083" s="223" t="s">
        <v>27</v>
      </c>
      <c r="G1083" s="223" t="s">
        <v>1219</v>
      </c>
    </row>
    <row r="1084" spans="1:7" x14ac:dyDescent="0.3">
      <c r="A1084" s="223">
        <v>1083</v>
      </c>
      <c r="B1084" s="223" t="s">
        <v>1130</v>
      </c>
      <c r="C1084" s="223" t="s">
        <v>1224</v>
      </c>
      <c r="D1084" s="223" t="s">
        <v>1222</v>
      </c>
      <c r="E1084" s="223" t="s">
        <v>1087</v>
      </c>
      <c r="F1084" s="223" t="s">
        <v>1096</v>
      </c>
      <c r="G1084" s="223" t="s">
        <v>1133</v>
      </c>
    </row>
    <row r="1085" spans="1:7" x14ac:dyDescent="0.3">
      <c r="A1085" s="223">
        <v>1084</v>
      </c>
      <c r="B1085" s="223" t="s">
        <v>1130</v>
      </c>
      <c r="C1085" s="223" t="s">
        <v>1224</v>
      </c>
      <c r="D1085" s="223" t="s">
        <v>1222</v>
      </c>
      <c r="E1085" s="223" t="s">
        <v>1087</v>
      </c>
      <c r="F1085" s="223" t="s">
        <v>1090</v>
      </c>
      <c r="G1085" s="223" t="s">
        <v>1219</v>
      </c>
    </row>
    <row r="1086" spans="1:7" x14ac:dyDescent="0.3">
      <c r="A1086" s="223">
        <v>1085</v>
      </c>
      <c r="B1086" s="223" t="s">
        <v>1130</v>
      </c>
      <c r="C1086" s="223" t="s">
        <v>1224</v>
      </c>
      <c r="D1086" s="223" t="s">
        <v>1222</v>
      </c>
      <c r="E1086" s="223" t="s">
        <v>21</v>
      </c>
      <c r="F1086" s="223" t="s">
        <v>1093</v>
      </c>
      <c r="G1086" s="223" t="s">
        <v>1219</v>
      </c>
    </row>
    <row r="1087" spans="1:7" x14ac:dyDescent="0.3">
      <c r="A1087" s="223">
        <v>1086</v>
      </c>
      <c r="B1087" s="223" t="s">
        <v>1130</v>
      </c>
      <c r="C1087" s="223" t="s">
        <v>1224</v>
      </c>
      <c r="D1087" s="223" t="s">
        <v>1222</v>
      </c>
      <c r="E1087" s="223" t="s">
        <v>21</v>
      </c>
      <c r="F1087" s="223" t="s">
        <v>27</v>
      </c>
      <c r="G1087" s="223" t="s">
        <v>1186</v>
      </c>
    </row>
    <row r="1088" spans="1:7" x14ac:dyDescent="0.3">
      <c r="A1088" s="223">
        <v>1087</v>
      </c>
      <c r="B1088" s="223" t="s">
        <v>1130</v>
      </c>
      <c r="C1088" s="223" t="s">
        <v>1224</v>
      </c>
      <c r="D1088" s="223" t="s">
        <v>1222</v>
      </c>
      <c r="E1088" s="223" t="s">
        <v>21</v>
      </c>
      <c r="F1088" s="223" t="s">
        <v>1096</v>
      </c>
      <c r="G1088" s="223" t="s">
        <v>1219</v>
      </c>
    </row>
    <row r="1089" spans="1:7" x14ac:dyDescent="0.3">
      <c r="A1089" s="223">
        <v>1088</v>
      </c>
      <c r="B1089" s="223" t="s">
        <v>1130</v>
      </c>
      <c r="C1089" s="223" t="s">
        <v>1224</v>
      </c>
      <c r="D1089" s="223" t="s">
        <v>1222</v>
      </c>
      <c r="E1089" s="223" t="s">
        <v>21</v>
      </c>
      <c r="F1089" s="223" t="s">
        <v>1090</v>
      </c>
      <c r="G1089" s="223" t="s">
        <v>1219</v>
      </c>
    </row>
    <row r="1090" spans="1:7" x14ac:dyDescent="0.3">
      <c r="A1090" s="223">
        <v>1089</v>
      </c>
      <c r="B1090" s="223" t="s">
        <v>1130</v>
      </c>
      <c r="C1090" s="223" t="s">
        <v>1224</v>
      </c>
      <c r="D1090" s="223" t="s">
        <v>1223</v>
      </c>
      <c r="E1090" s="223" t="s">
        <v>1087</v>
      </c>
      <c r="F1090" s="223" t="s">
        <v>1093</v>
      </c>
      <c r="G1090" s="223" t="s">
        <v>1187</v>
      </c>
    </row>
    <row r="1091" spans="1:7" x14ac:dyDescent="0.3">
      <c r="A1091" s="223">
        <v>1090</v>
      </c>
      <c r="B1091" s="223" t="s">
        <v>1130</v>
      </c>
      <c r="C1091" s="223" t="s">
        <v>1224</v>
      </c>
      <c r="D1091" s="223" t="s">
        <v>1223</v>
      </c>
      <c r="E1091" s="223" t="s">
        <v>1087</v>
      </c>
      <c r="F1091" s="223" t="s">
        <v>27</v>
      </c>
      <c r="G1091" s="223" t="s">
        <v>1136</v>
      </c>
    </row>
    <row r="1092" spans="1:7" x14ac:dyDescent="0.3">
      <c r="A1092" s="223">
        <v>1091</v>
      </c>
      <c r="B1092" s="223" t="s">
        <v>1130</v>
      </c>
      <c r="C1092" s="223" t="s">
        <v>1224</v>
      </c>
      <c r="D1092" s="223" t="s">
        <v>1223</v>
      </c>
      <c r="E1092" s="223" t="s">
        <v>1087</v>
      </c>
      <c r="F1092" s="223" t="s">
        <v>1096</v>
      </c>
      <c r="G1092" s="223" t="s">
        <v>1131</v>
      </c>
    </row>
    <row r="1093" spans="1:7" x14ac:dyDescent="0.3">
      <c r="A1093" s="223">
        <v>1092</v>
      </c>
      <c r="B1093" s="223" t="s">
        <v>1130</v>
      </c>
      <c r="C1093" s="223" t="s">
        <v>1224</v>
      </c>
      <c r="D1093" s="223" t="s">
        <v>1223</v>
      </c>
      <c r="E1093" s="223" t="s">
        <v>1087</v>
      </c>
      <c r="F1093" s="223" t="s">
        <v>1090</v>
      </c>
      <c r="G1093" s="223" t="s">
        <v>1219</v>
      </c>
    </row>
    <row r="1094" spans="1:7" x14ac:dyDescent="0.3">
      <c r="A1094" s="223">
        <v>1093</v>
      </c>
      <c r="B1094" s="223" t="s">
        <v>1130</v>
      </c>
      <c r="C1094" s="223" t="s">
        <v>1224</v>
      </c>
      <c r="D1094" s="223" t="s">
        <v>1223</v>
      </c>
      <c r="E1094" s="223" t="s">
        <v>21</v>
      </c>
      <c r="F1094" s="223" t="s">
        <v>1093</v>
      </c>
      <c r="G1094" s="223" t="s">
        <v>1219</v>
      </c>
    </row>
    <row r="1095" spans="1:7" x14ac:dyDescent="0.3">
      <c r="A1095" s="223">
        <v>1094</v>
      </c>
      <c r="B1095" s="223" t="s">
        <v>1130</v>
      </c>
      <c r="C1095" s="223" t="s">
        <v>1224</v>
      </c>
      <c r="D1095" s="223" t="s">
        <v>1223</v>
      </c>
      <c r="E1095" s="223" t="s">
        <v>21</v>
      </c>
      <c r="F1095" s="223" t="s">
        <v>27</v>
      </c>
      <c r="G1095" s="223" t="s">
        <v>1219</v>
      </c>
    </row>
    <row r="1096" spans="1:7" x14ac:dyDescent="0.3">
      <c r="A1096" s="223">
        <v>1095</v>
      </c>
      <c r="B1096" s="223" t="s">
        <v>1130</v>
      </c>
      <c r="C1096" s="223" t="s">
        <v>1224</v>
      </c>
      <c r="D1096" s="223" t="s">
        <v>1223</v>
      </c>
      <c r="E1096" s="223" t="s">
        <v>21</v>
      </c>
      <c r="F1096" s="223" t="s">
        <v>1096</v>
      </c>
      <c r="G1096" s="223" t="s">
        <v>1135</v>
      </c>
    </row>
    <row r="1097" spans="1:7" x14ac:dyDescent="0.3">
      <c r="A1097" s="223">
        <v>1096</v>
      </c>
      <c r="B1097" s="223" t="s">
        <v>1130</v>
      </c>
      <c r="C1097" s="223" t="s">
        <v>1224</v>
      </c>
      <c r="D1097" s="223" t="s">
        <v>1223</v>
      </c>
      <c r="E1097" s="223" t="s">
        <v>21</v>
      </c>
      <c r="F1097" s="223" t="s">
        <v>1090</v>
      </c>
      <c r="G1097" s="223" t="s">
        <v>1134</v>
      </c>
    </row>
    <row r="1098" spans="1:7" x14ac:dyDescent="0.3">
      <c r="A1098" s="223">
        <v>1097</v>
      </c>
      <c r="B1098" s="223" t="s">
        <v>1130</v>
      </c>
      <c r="C1098" s="223" t="s">
        <v>1224</v>
      </c>
      <c r="D1098" s="223" t="s">
        <v>12</v>
      </c>
      <c r="E1098" s="223" t="s">
        <v>1087</v>
      </c>
      <c r="F1098" s="223" t="s">
        <v>1093</v>
      </c>
      <c r="G1098" s="223" t="s">
        <v>1187</v>
      </c>
    </row>
    <row r="1099" spans="1:7" x14ac:dyDescent="0.3">
      <c r="A1099" s="223">
        <v>1098</v>
      </c>
      <c r="B1099" s="223" t="s">
        <v>1130</v>
      </c>
      <c r="C1099" s="223" t="s">
        <v>1224</v>
      </c>
      <c r="D1099" s="223" t="s">
        <v>12</v>
      </c>
      <c r="E1099" s="223" t="s">
        <v>1087</v>
      </c>
      <c r="F1099" s="223" t="s">
        <v>27</v>
      </c>
      <c r="G1099" s="223" t="s">
        <v>1136</v>
      </c>
    </row>
    <row r="1100" spans="1:7" x14ac:dyDescent="0.3">
      <c r="A1100" s="223">
        <v>1099</v>
      </c>
      <c r="B1100" s="223" t="s">
        <v>1130</v>
      </c>
      <c r="C1100" s="223" t="s">
        <v>1224</v>
      </c>
      <c r="D1100" s="223" t="s">
        <v>12</v>
      </c>
      <c r="E1100" s="223" t="s">
        <v>1087</v>
      </c>
      <c r="F1100" s="223" t="s">
        <v>1096</v>
      </c>
      <c r="G1100" s="223" t="s">
        <v>1131</v>
      </c>
    </row>
    <row r="1101" spans="1:7" x14ac:dyDescent="0.3">
      <c r="A1101" s="223">
        <v>1100</v>
      </c>
      <c r="B1101" s="223" t="s">
        <v>1130</v>
      </c>
      <c r="C1101" s="223" t="s">
        <v>1224</v>
      </c>
      <c r="D1101" s="223" t="s">
        <v>12</v>
      </c>
      <c r="E1101" s="223" t="s">
        <v>1087</v>
      </c>
      <c r="F1101" s="223" t="s">
        <v>1090</v>
      </c>
      <c r="G1101" s="223" t="s">
        <v>1219</v>
      </c>
    </row>
    <row r="1102" spans="1:7" x14ac:dyDescent="0.3">
      <c r="A1102" s="223">
        <v>1101</v>
      </c>
      <c r="B1102" s="223" t="s">
        <v>1130</v>
      </c>
      <c r="C1102" s="223" t="s">
        <v>1224</v>
      </c>
      <c r="D1102" s="223" t="s">
        <v>12</v>
      </c>
      <c r="E1102" s="223" t="s">
        <v>21</v>
      </c>
      <c r="F1102" s="223" t="s">
        <v>1093</v>
      </c>
      <c r="G1102" s="223" t="s">
        <v>1219</v>
      </c>
    </row>
    <row r="1103" spans="1:7" x14ac:dyDescent="0.3">
      <c r="A1103" s="223">
        <v>1102</v>
      </c>
      <c r="B1103" s="223" t="s">
        <v>1130</v>
      </c>
      <c r="C1103" s="223" t="s">
        <v>1224</v>
      </c>
      <c r="D1103" s="223" t="s">
        <v>12</v>
      </c>
      <c r="E1103" s="223" t="s">
        <v>21</v>
      </c>
      <c r="F1103" s="223" t="s">
        <v>27</v>
      </c>
      <c r="G1103" s="223" t="s">
        <v>1219</v>
      </c>
    </row>
    <row r="1104" spans="1:7" x14ac:dyDescent="0.3">
      <c r="A1104" s="223">
        <v>1103</v>
      </c>
      <c r="B1104" s="223" t="s">
        <v>1130</v>
      </c>
      <c r="C1104" s="223" t="s">
        <v>1224</v>
      </c>
      <c r="D1104" s="223" t="s">
        <v>12</v>
      </c>
      <c r="E1104" s="223" t="s">
        <v>21</v>
      </c>
      <c r="F1104" s="223" t="s">
        <v>1096</v>
      </c>
      <c r="G1104" s="223" t="s">
        <v>1135</v>
      </c>
    </row>
    <row r="1105" spans="1:7" x14ac:dyDescent="0.3">
      <c r="A1105" s="223">
        <v>1104</v>
      </c>
      <c r="B1105" s="223" t="s">
        <v>1130</v>
      </c>
      <c r="C1105" s="223" t="s">
        <v>1224</v>
      </c>
      <c r="D1105" s="223" t="s">
        <v>12</v>
      </c>
      <c r="E1105" s="223" t="s">
        <v>21</v>
      </c>
      <c r="F1105" s="223" t="s">
        <v>1090</v>
      </c>
      <c r="G1105" s="223" t="s">
        <v>1134</v>
      </c>
    </row>
    <row r="1106" spans="1:7" x14ac:dyDescent="0.3">
      <c r="A1106" s="223">
        <v>1105</v>
      </c>
      <c r="B1106" s="223" t="s">
        <v>1130</v>
      </c>
      <c r="C1106" s="223" t="s">
        <v>1225</v>
      </c>
      <c r="D1106" s="223" t="s">
        <v>1218</v>
      </c>
      <c r="E1106" s="223" t="s">
        <v>1087</v>
      </c>
      <c r="F1106" s="223" t="s">
        <v>1093</v>
      </c>
      <c r="G1106" s="223" t="s">
        <v>1129</v>
      </c>
    </row>
    <row r="1107" spans="1:7" x14ac:dyDescent="0.3">
      <c r="A1107" s="223">
        <v>1106</v>
      </c>
      <c r="B1107" s="223" t="s">
        <v>1130</v>
      </c>
      <c r="C1107" s="223" t="s">
        <v>1225</v>
      </c>
      <c r="D1107" s="223" t="s">
        <v>1218</v>
      </c>
      <c r="E1107" s="223" t="s">
        <v>1087</v>
      </c>
      <c r="F1107" s="223" t="s">
        <v>27</v>
      </c>
      <c r="G1107" s="223" t="s">
        <v>1219</v>
      </c>
    </row>
    <row r="1108" spans="1:7" x14ac:dyDescent="0.3">
      <c r="A1108" s="223">
        <v>1107</v>
      </c>
      <c r="B1108" s="223" t="s">
        <v>1130</v>
      </c>
      <c r="C1108" s="223" t="s">
        <v>1225</v>
      </c>
      <c r="D1108" s="223" t="s">
        <v>1218</v>
      </c>
      <c r="E1108" s="223" t="s">
        <v>1087</v>
      </c>
      <c r="F1108" s="223" t="s">
        <v>1096</v>
      </c>
      <c r="G1108" s="223" t="s">
        <v>1133</v>
      </c>
    </row>
    <row r="1109" spans="1:7" x14ac:dyDescent="0.3">
      <c r="A1109" s="223">
        <v>1108</v>
      </c>
      <c r="B1109" s="223" t="s">
        <v>1130</v>
      </c>
      <c r="C1109" s="223" t="s">
        <v>1225</v>
      </c>
      <c r="D1109" s="223" t="s">
        <v>1218</v>
      </c>
      <c r="E1109" s="223" t="s">
        <v>1087</v>
      </c>
      <c r="F1109" s="223" t="s">
        <v>1090</v>
      </c>
      <c r="G1109" s="223" t="s">
        <v>1219</v>
      </c>
    </row>
    <row r="1110" spans="1:7" x14ac:dyDescent="0.3">
      <c r="A1110" s="223">
        <v>1109</v>
      </c>
      <c r="B1110" s="223" t="s">
        <v>1130</v>
      </c>
      <c r="C1110" s="223" t="s">
        <v>1225</v>
      </c>
      <c r="D1110" s="223" t="s">
        <v>1218</v>
      </c>
      <c r="E1110" s="223" t="s">
        <v>21</v>
      </c>
      <c r="F1110" s="223" t="s">
        <v>1093</v>
      </c>
      <c r="G1110" s="223" t="s">
        <v>1219</v>
      </c>
    </row>
    <row r="1111" spans="1:7" x14ac:dyDescent="0.3">
      <c r="A1111" s="223">
        <v>1110</v>
      </c>
      <c r="B1111" s="223" t="s">
        <v>1130</v>
      </c>
      <c r="C1111" s="223" t="s">
        <v>1225</v>
      </c>
      <c r="D1111" s="223" t="s">
        <v>1218</v>
      </c>
      <c r="E1111" s="223" t="s">
        <v>21</v>
      </c>
      <c r="F1111" s="223" t="s">
        <v>27</v>
      </c>
      <c r="G1111" s="223" t="s">
        <v>1186</v>
      </c>
    </row>
    <row r="1112" spans="1:7" x14ac:dyDescent="0.3">
      <c r="A1112" s="223">
        <v>1111</v>
      </c>
      <c r="B1112" s="223" t="s">
        <v>1130</v>
      </c>
      <c r="C1112" s="223" t="s">
        <v>1225</v>
      </c>
      <c r="D1112" s="223" t="s">
        <v>1218</v>
      </c>
      <c r="E1112" s="223" t="s">
        <v>21</v>
      </c>
      <c r="F1112" s="223" t="s">
        <v>1096</v>
      </c>
      <c r="G1112" s="223" t="s">
        <v>1219</v>
      </c>
    </row>
    <row r="1113" spans="1:7" x14ac:dyDescent="0.3">
      <c r="A1113" s="223">
        <v>1112</v>
      </c>
      <c r="B1113" s="223" t="s">
        <v>1130</v>
      </c>
      <c r="C1113" s="223" t="s">
        <v>1225</v>
      </c>
      <c r="D1113" s="223" t="s">
        <v>1218</v>
      </c>
      <c r="E1113" s="223" t="s">
        <v>21</v>
      </c>
      <c r="F1113" s="223" t="s">
        <v>1090</v>
      </c>
      <c r="G1113" s="223" t="s">
        <v>1219</v>
      </c>
    </row>
    <row r="1114" spans="1:7" x14ac:dyDescent="0.3">
      <c r="A1114" s="223">
        <v>1113</v>
      </c>
      <c r="B1114" s="223" t="s">
        <v>1130</v>
      </c>
      <c r="C1114" s="223" t="s">
        <v>1225</v>
      </c>
      <c r="D1114" s="223" t="s">
        <v>1220</v>
      </c>
      <c r="E1114" s="223" t="s">
        <v>1087</v>
      </c>
      <c r="F1114" s="223" t="s">
        <v>1093</v>
      </c>
      <c r="G1114" s="223" t="s">
        <v>1129</v>
      </c>
    </row>
    <row r="1115" spans="1:7" x14ac:dyDescent="0.3">
      <c r="A1115" s="223">
        <v>1114</v>
      </c>
      <c r="B1115" s="223" t="s">
        <v>1130</v>
      </c>
      <c r="C1115" s="223" t="s">
        <v>1225</v>
      </c>
      <c r="D1115" s="223" t="s">
        <v>1220</v>
      </c>
      <c r="E1115" s="223" t="s">
        <v>1087</v>
      </c>
      <c r="F1115" s="223" t="s">
        <v>27</v>
      </c>
      <c r="G1115" s="223" t="s">
        <v>1219</v>
      </c>
    </row>
    <row r="1116" spans="1:7" x14ac:dyDescent="0.3">
      <c r="A1116" s="223">
        <v>1115</v>
      </c>
      <c r="B1116" s="223" t="s">
        <v>1130</v>
      </c>
      <c r="C1116" s="223" t="s">
        <v>1225</v>
      </c>
      <c r="D1116" s="223" t="s">
        <v>1220</v>
      </c>
      <c r="E1116" s="223" t="s">
        <v>1087</v>
      </c>
      <c r="F1116" s="223" t="s">
        <v>1096</v>
      </c>
      <c r="G1116" s="223" t="s">
        <v>1133</v>
      </c>
    </row>
    <row r="1117" spans="1:7" x14ac:dyDescent="0.3">
      <c r="A1117" s="223">
        <v>1116</v>
      </c>
      <c r="B1117" s="223" t="s">
        <v>1130</v>
      </c>
      <c r="C1117" s="223" t="s">
        <v>1225</v>
      </c>
      <c r="D1117" s="223" t="s">
        <v>1220</v>
      </c>
      <c r="E1117" s="223" t="s">
        <v>1087</v>
      </c>
      <c r="F1117" s="223" t="s">
        <v>1090</v>
      </c>
      <c r="G1117" s="223" t="s">
        <v>1219</v>
      </c>
    </row>
    <row r="1118" spans="1:7" x14ac:dyDescent="0.3">
      <c r="A1118" s="223">
        <v>1117</v>
      </c>
      <c r="B1118" s="223" t="s">
        <v>1130</v>
      </c>
      <c r="C1118" s="223" t="s">
        <v>1225</v>
      </c>
      <c r="D1118" s="223" t="s">
        <v>1220</v>
      </c>
      <c r="E1118" s="223" t="s">
        <v>21</v>
      </c>
      <c r="F1118" s="223" t="s">
        <v>1093</v>
      </c>
      <c r="G1118" s="223" t="s">
        <v>1219</v>
      </c>
    </row>
    <row r="1119" spans="1:7" x14ac:dyDescent="0.3">
      <c r="A1119" s="223">
        <v>1118</v>
      </c>
      <c r="B1119" s="223" t="s">
        <v>1130</v>
      </c>
      <c r="C1119" s="223" t="s">
        <v>1225</v>
      </c>
      <c r="D1119" s="223" t="s">
        <v>1220</v>
      </c>
      <c r="E1119" s="223" t="s">
        <v>21</v>
      </c>
      <c r="F1119" s="223" t="s">
        <v>27</v>
      </c>
      <c r="G1119" s="223" t="s">
        <v>1186</v>
      </c>
    </row>
    <row r="1120" spans="1:7" x14ac:dyDescent="0.3">
      <c r="A1120" s="223">
        <v>1119</v>
      </c>
      <c r="B1120" s="223" t="s">
        <v>1130</v>
      </c>
      <c r="C1120" s="223" t="s">
        <v>1225</v>
      </c>
      <c r="D1120" s="223" t="s">
        <v>1220</v>
      </c>
      <c r="E1120" s="223" t="s">
        <v>21</v>
      </c>
      <c r="F1120" s="223" t="s">
        <v>1096</v>
      </c>
      <c r="G1120" s="223" t="s">
        <v>1219</v>
      </c>
    </row>
    <row r="1121" spans="1:7" x14ac:dyDescent="0.3">
      <c r="A1121" s="223">
        <v>1120</v>
      </c>
      <c r="B1121" s="223" t="s">
        <v>1130</v>
      </c>
      <c r="C1121" s="223" t="s">
        <v>1225</v>
      </c>
      <c r="D1121" s="223" t="s">
        <v>1220</v>
      </c>
      <c r="E1121" s="223" t="s">
        <v>21</v>
      </c>
      <c r="F1121" s="223" t="s">
        <v>1090</v>
      </c>
      <c r="G1121" s="223" t="s">
        <v>1219</v>
      </c>
    </row>
    <row r="1122" spans="1:7" x14ac:dyDescent="0.3">
      <c r="A1122" s="223">
        <v>1121</v>
      </c>
      <c r="B1122" s="223" t="s">
        <v>1130</v>
      </c>
      <c r="C1122" s="223" t="s">
        <v>1225</v>
      </c>
      <c r="D1122" s="223" t="s">
        <v>1221</v>
      </c>
      <c r="E1122" s="223" t="s">
        <v>1087</v>
      </c>
      <c r="F1122" s="223" t="s">
        <v>1093</v>
      </c>
      <c r="G1122" s="223" t="s">
        <v>1129</v>
      </c>
    </row>
    <row r="1123" spans="1:7" x14ac:dyDescent="0.3">
      <c r="A1123" s="223">
        <v>1122</v>
      </c>
      <c r="B1123" s="223" t="s">
        <v>1130</v>
      </c>
      <c r="C1123" s="223" t="s">
        <v>1225</v>
      </c>
      <c r="D1123" s="223" t="s">
        <v>1221</v>
      </c>
      <c r="E1123" s="223" t="s">
        <v>1087</v>
      </c>
      <c r="F1123" s="223" t="s">
        <v>27</v>
      </c>
      <c r="G1123" s="223" t="s">
        <v>1219</v>
      </c>
    </row>
    <row r="1124" spans="1:7" x14ac:dyDescent="0.3">
      <c r="A1124" s="223">
        <v>1123</v>
      </c>
      <c r="B1124" s="223" t="s">
        <v>1130</v>
      </c>
      <c r="C1124" s="223" t="s">
        <v>1225</v>
      </c>
      <c r="D1124" s="223" t="s">
        <v>1221</v>
      </c>
      <c r="E1124" s="223" t="s">
        <v>1087</v>
      </c>
      <c r="F1124" s="223" t="s">
        <v>1096</v>
      </c>
      <c r="G1124" s="223" t="s">
        <v>1133</v>
      </c>
    </row>
    <row r="1125" spans="1:7" x14ac:dyDescent="0.3">
      <c r="A1125" s="223">
        <v>1124</v>
      </c>
      <c r="B1125" s="223" t="s">
        <v>1130</v>
      </c>
      <c r="C1125" s="223" t="s">
        <v>1225</v>
      </c>
      <c r="D1125" s="223" t="s">
        <v>1221</v>
      </c>
      <c r="E1125" s="223" t="s">
        <v>1087</v>
      </c>
      <c r="F1125" s="223" t="s">
        <v>1090</v>
      </c>
      <c r="G1125" s="223" t="s">
        <v>1219</v>
      </c>
    </row>
    <row r="1126" spans="1:7" x14ac:dyDescent="0.3">
      <c r="A1126" s="223">
        <v>1125</v>
      </c>
      <c r="B1126" s="223" t="s">
        <v>1130</v>
      </c>
      <c r="C1126" s="223" t="s">
        <v>1225</v>
      </c>
      <c r="D1126" s="223" t="s">
        <v>1221</v>
      </c>
      <c r="E1126" s="223" t="s">
        <v>21</v>
      </c>
      <c r="F1126" s="223" t="s">
        <v>1093</v>
      </c>
      <c r="G1126" s="223" t="s">
        <v>1219</v>
      </c>
    </row>
    <row r="1127" spans="1:7" x14ac:dyDescent="0.3">
      <c r="A1127" s="223">
        <v>1126</v>
      </c>
      <c r="B1127" s="223" t="s">
        <v>1130</v>
      </c>
      <c r="C1127" s="223" t="s">
        <v>1225</v>
      </c>
      <c r="D1127" s="223" t="s">
        <v>1221</v>
      </c>
      <c r="E1127" s="223" t="s">
        <v>21</v>
      </c>
      <c r="F1127" s="223" t="s">
        <v>27</v>
      </c>
      <c r="G1127" s="223" t="s">
        <v>1186</v>
      </c>
    </row>
    <row r="1128" spans="1:7" x14ac:dyDescent="0.3">
      <c r="A1128" s="223">
        <v>1127</v>
      </c>
      <c r="B1128" s="223" t="s">
        <v>1130</v>
      </c>
      <c r="C1128" s="223" t="s">
        <v>1225</v>
      </c>
      <c r="D1128" s="223" t="s">
        <v>1221</v>
      </c>
      <c r="E1128" s="223" t="s">
        <v>21</v>
      </c>
      <c r="F1128" s="223" t="s">
        <v>1096</v>
      </c>
      <c r="G1128" s="223" t="s">
        <v>1219</v>
      </c>
    </row>
    <row r="1129" spans="1:7" x14ac:dyDescent="0.3">
      <c r="A1129" s="223">
        <v>1128</v>
      </c>
      <c r="B1129" s="223" t="s">
        <v>1130</v>
      </c>
      <c r="C1129" s="223" t="s">
        <v>1225</v>
      </c>
      <c r="D1129" s="223" t="s">
        <v>1221</v>
      </c>
      <c r="E1129" s="223" t="s">
        <v>21</v>
      </c>
      <c r="F1129" s="223" t="s">
        <v>1090</v>
      </c>
      <c r="G1129" s="223" t="s">
        <v>1219</v>
      </c>
    </row>
    <row r="1130" spans="1:7" x14ac:dyDescent="0.3">
      <c r="A1130" s="223">
        <v>1129</v>
      </c>
      <c r="B1130" s="223" t="s">
        <v>1130</v>
      </c>
      <c r="C1130" s="223" t="s">
        <v>1225</v>
      </c>
      <c r="D1130" s="223" t="s">
        <v>1222</v>
      </c>
      <c r="E1130" s="223" t="s">
        <v>1087</v>
      </c>
      <c r="F1130" s="223" t="s">
        <v>1093</v>
      </c>
      <c r="G1130" s="223" t="s">
        <v>1129</v>
      </c>
    </row>
    <row r="1131" spans="1:7" x14ac:dyDescent="0.3">
      <c r="A1131" s="223">
        <v>1130</v>
      </c>
      <c r="B1131" s="223" t="s">
        <v>1130</v>
      </c>
      <c r="C1131" s="223" t="s">
        <v>1225</v>
      </c>
      <c r="D1131" s="223" t="s">
        <v>1222</v>
      </c>
      <c r="E1131" s="223" t="s">
        <v>1087</v>
      </c>
      <c r="F1131" s="223" t="s">
        <v>27</v>
      </c>
      <c r="G1131" s="223" t="s">
        <v>1219</v>
      </c>
    </row>
    <row r="1132" spans="1:7" x14ac:dyDescent="0.3">
      <c r="A1132" s="223">
        <v>1131</v>
      </c>
      <c r="B1132" s="223" t="s">
        <v>1130</v>
      </c>
      <c r="C1132" s="223" t="s">
        <v>1225</v>
      </c>
      <c r="D1132" s="223" t="s">
        <v>1222</v>
      </c>
      <c r="E1132" s="223" t="s">
        <v>1087</v>
      </c>
      <c r="F1132" s="223" t="s">
        <v>1096</v>
      </c>
      <c r="G1132" s="223" t="s">
        <v>1133</v>
      </c>
    </row>
    <row r="1133" spans="1:7" x14ac:dyDescent="0.3">
      <c r="A1133" s="223">
        <v>1132</v>
      </c>
      <c r="B1133" s="223" t="s">
        <v>1130</v>
      </c>
      <c r="C1133" s="223" t="s">
        <v>1225</v>
      </c>
      <c r="D1133" s="223" t="s">
        <v>1222</v>
      </c>
      <c r="E1133" s="223" t="s">
        <v>1087</v>
      </c>
      <c r="F1133" s="223" t="s">
        <v>1090</v>
      </c>
      <c r="G1133" s="223" t="s">
        <v>1219</v>
      </c>
    </row>
    <row r="1134" spans="1:7" x14ac:dyDescent="0.3">
      <c r="A1134" s="223">
        <v>1133</v>
      </c>
      <c r="B1134" s="223" t="s">
        <v>1130</v>
      </c>
      <c r="C1134" s="223" t="s">
        <v>1225</v>
      </c>
      <c r="D1134" s="223" t="s">
        <v>1222</v>
      </c>
      <c r="E1134" s="223" t="s">
        <v>21</v>
      </c>
      <c r="F1134" s="223" t="s">
        <v>1093</v>
      </c>
      <c r="G1134" s="223" t="s">
        <v>1219</v>
      </c>
    </row>
    <row r="1135" spans="1:7" x14ac:dyDescent="0.3">
      <c r="A1135" s="223">
        <v>1134</v>
      </c>
      <c r="B1135" s="223" t="s">
        <v>1130</v>
      </c>
      <c r="C1135" s="223" t="s">
        <v>1225</v>
      </c>
      <c r="D1135" s="223" t="s">
        <v>1222</v>
      </c>
      <c r="E1135" s="223" t="s">
        <v>21</v>
      </c>
      <c r="F1135" s="223" t="s">
        <v>27</v>
      </c>
      <c r="G1135" s="223" t="s">
        <v>1186</v>
      </c>
    </row>
    <row r="1136" spans="1:7" x14ac:dyDescent="0.3">
      <c r="A1136" s="223">
        <v>1135</v>
      </c>
      <c r="B1136" s="223" t="s">
        <v>1130</v>
      </c>
      <c r="C1136" s="223" t="s">
        <v>1225</v>
      </c>
      <c r="D1136" s="223" t="s">
        <v>1222</v>
      </c>
      <c r="E1136" s="223" t="s">
        <v>21</v>
      </c>
      <c r="F1136" s="223" t="s">
        <v>1096</v>
      </c>
      <c r="G1136" s="223" t="s">
        <v>1219</v>
      </c>
    </row>
    <row r="1137" spans="1:7" x14ac:dyDescent="0.3">
      <c r="A1137" s="223">
        <v>1136</v>
      </c>
      <c r="B1137" s="223" t="s">
        <v>1130</v>
      </c>
      <c r="C1137" s="223" t="s">
        <v>1225</v>
      </c>
      <c r="D1137" s="223" t="s">
        <v>1222</v>
      </c>
      <c r="E1137" s="223" t="s">
        <v>21</v>
      </c>
      <c r="F1137" s="223" t="s">
        <v>1090</v>
      </c>
      <c r="G1137" s="223" t="s">
        <v>1219</v>
      </c>
    </row>
    <row r="1138" spans="1:7" x14ac:dyDescent="0.3">
      <c r="A1138" s="223">
        <v>1137</v>
      </c>
      <c r="B1138" s="223" t="s">
        <v>1130</v>
      </c>
      <c r="C1138" s="223" t="s">
        <v>1225</v>
      </c>
      <c r="D1138" s="223" t="s">
        <v>1223</v>
      </c>
      <c r="E1138" s="223" t="s">
        <v>1087</v>
      </c>
      <c r="F1138" s="223" t="s">
        <v>1093</v>
      </c>
      <c r="G1138" s="223" t="s">
        <v>1187</v>
      </c>
    </row>
    <row r="1139" spans="1:7" x14ac:dyDescent="0.3">
      <c r="A1139" s="223">
        <v>1138</v>
      </c>
      <c r="B1139" s="223" t="s">
        <v>1130</v>
      </c>
      <c r="C1139" s="223" t="s">
        <v>1225</v>
      </c>
      <c r="D1139" s="223" t="s">
        <v>1223</v>
      </c>
      <c r="E1139" s="223" t="s">
        <v>1087</v>
      </c>
      <c r="F1139" s="223" t="s">
        <v>27</v>
      </c>
      <c r="G1139" s="223" t="s">
        <v>1136</v>
      </c>
    </row>
    <row r="1140" spans="1:7" x14ac:dyDescent="0.3">
      <c r="A1140" s="223">
        <v>1139</v>
      </c>
      <c r="B1140" s="223" t="s">
        <v>1130</v>
      </c>
      <c r="C1140" s="223" t="s">
        <v>1225</v>
      </c>
      <c r="D1140" s="223" t="s">
        <v>1223</v>
      </c>
      <c r="E1140" s="223" t="s">
        <v>1087</v>
      </c>
      <c r="F1140" s="223" t="s">
        <v>1096</v>
      </c>
      <c r="G1140" s="223" t="s">
        <v>1131</v>
      </c>
    </row>
    <row r="1141" spans="1:7" x14ac:dyDescent="0.3">
      <c r="A1141" s="223">
        <v>1140</v>
      </c>
      <c r="B1141" s="223" t="s">
        <v>1130</v>
      </c>
      <c r="C1141" s="223" t="s">
        <v>1225</v>
      </c>
      <c r="D1141" s="223" t="s">
        <v>1223</v>
      </c>
      <c r="E1141" s="223" t="s">
        <v>1087</v>
      </c>
      <c r="F1141" s="223" t="s">
        <v>1090</v>
      </c>
      <c r="G1141" s="223" t="s">
        <v>1219</v>
      </c>
    </row>
    <row r="1142" spans="1:7" x14ac:dyDescent="0.3">
      <c r="A1142" s="223">
        <v>1141</v>
      </c>
      <c r="B1142" s="223" t="s">
        <v>1130</v>
      </c>
      <c r="C1142" s="223" t="s">
        <v>1225</v>
      </c>
      <c r="D1142" s="223" t="s">
        <v>1223</v>
      </c>
      <c r="E1142" s="223" t="s">
        <v>21</v>
      </c>
      <c r="F1142" s="223" t="s">
        <v>1093</v>
      </c>
      <c r="G1142" s="223" t="s">
        <v>1219</v>
      </c>
    </row>
    <row r="1143" spans="1:7" x14ac:dyDescent="0.3">
      <c r="A1143" s="223">
        <v>1142</v>
      </c>
      <c r="B1143" s="223" t="s">
        <v>1130</v>
      </c>
      <c r="C1143" s="223" t="s">
        <v>1225</v>
      </c>
      <c r="D1143" s="223" t="s">
        <v>1223</v>
      </c>
      <c r="E1143" s="223" t="s">
        <v>21</v>
      </c>
      <c r="F1143" s="223" t="s">
        <v>27</v>
      </c>
      <c r="G1143" s="223" t="s">
        <v>1219</v>
      </c>
    </row>
    <row r="1144" spans="1:7" x14ac:dyDescent="0.3">
      <c r="A1144" s="223">
        <v>1143</v>
      </c>
      <c r="B1144" s="223" t="s">
        <v>1130</v>
      </c>
      <c r="C1144" s="223" t="s">
        <v>1225</v>
      </c>
      <c r="D1144" s="223" t="s">
        <v>1223</v>
      </c>
      <c r="E1144" s="223" t="s">
        <v>21</v>
      </c>
      <c r="F1144" s="223" t="s">
        <v>1096</v>
      </c>
      <c r="G1144" s="223" t="s">
        <v>1135</v>
      </c>
    </row>
    <row r="1145" spans="1:7" x14ac:dyDescent="0.3">
      <c r="A1145" s="223">
        <v>1144</v>
      </c>
      <c r="B1145" s="223" t="s">
        <v>1130</v>
      </c>
      <c r="C1145" s="223" t="s">
        <v>1225</v>
      </c>
      <c r="D1145" s="223" t="s">
        <v>1223</v>
      </c>
      <c r="E1145" s="223" t="s">
        <v>21</v>
      </c>
      <c r="F1145" s="223" t="s">
        <v>1090</v>
      </c>
      <c r="G1145" s="223" t="s">
        <v>1134</v>
      </c>
    </row>
    <row r="1146" spans="1:7" x14ac:dyDescent="0.3">
      <c r="A1146" s="223">
        <v>1145</v>
      </c>
      <c r="B1146" s="223" t="s">
        <v>1130</v>
      </c>
      <c r="C1146" s="223" t="s">
        <v>1225</v>
      </c>
      <c r="D1146" s="223" t="s">
        <v>12</v>
      </c>
      <c r="E1146" s="223" t="s">
        <v>1087</v>
      </c>
      <c r="F1146" s="223" t="s">
        <v>1093</v>
      </c>
      <c r="G1146" s="223" t="s">
        <v>1187</v>
      </c>
    </row>
    <row r="1147" spans="1:7" x14ac:dyDescent="0.3">
      <c r="A1147" s="223">
        <v>1146</v>
      </c>
      <c r="B1147" s="223" t="s">
        <v>1130</v>
      </c>
      <c r="C1147" s="223" t="s">
        <v>1225</v>
      </c>
      <c r="D1147" s="223" t="s">
        <v>12</v>
      </c>
      <c r="E1147" s="223" t="s">
        <v>1087</v>
      </c>
      <c r="F1147" s="223" t="s">
        <v>27</v>
      </c>
      <c r="G1147" s="223" t="s">
        <v>1136</v>
      </c>
    </row>
    <row r="1148" spans="1:7" x14ac:dyDescent="0.3">
      <c r="A1148" s="223">
        <v>1147</v>
      </c>
      <c r="B1148" s="223" t="s">
        <v>1130</v>
      </c>
      <c r="C1148" s="223" t="s">
        <v>1225</v>
      </c>
      <c r="D1148" s="223" t="s">
        <v>12</v>
      </c>
      <c r="E1148" s="223" t="s">
        <v>1087</v>
      </c>
      <c r="F1148" s="223" t="s">
        <v>1096</v>
      </c>
      <c r="G1148" s="223" t="s">
        <v>1131</v>
      </c>
    </row>
    <row r="1149" spans="1:7" x14ac:dyDescent="0.3">
      <c r="A1149" s="223">
        <v>1148</v>
      </c>
      <c r="B1149" s="223" t="s">
        <v>1130</v>
      </c>
      <c r="C1149" s="223" t="s">
        <v>1225</v>
      </c>
      <c r="D1149" s="223" t="s">
        <v>12</v>
      </c>
      <c r="E1149" s="223" t="s">
        <v>1087</v>
      </c>
      <c r="F1149" s="223" t="s">
        <v>1090</v>
      </c>
      <c r="G1149" s="223" t="s">
        <v>1219</v>
      </c>
    </row>
    <row r="1150" spans="1:7" x14ac:dyDescent="0.3">
      <c r="A1150" s="223">
        <v>1149</v>
      </c>
      <c r="B1150" s="223" t="s">
        <v>1130</v>
      </c>
      <c r="C1150" s="223" t="s">
        <v>1225</v>
      </c>
      <c r="D1150" s="223" t="s">
        <v>12</v>
      </c>
      <c r="E1150" s="223" t="s">
        <v>21</v>
      </c>
      <c r="F1150" s="223" t="s">
        <v>1093</v>
      </c>
      <c r="G1150" s="223" t="s">
        <v>1219</v>
      </c>
    </row>
    <row r="1151" spans="1:7" x14ac:dyDescent="0.3">
      <c r="A1151" s="223">
        <v>1150</v>
      </c>
      <c r="B1151" s="223" t="s">
        <v>1130</v>
      </c>
      <c r="C1151" s="223" t="s">
        <v>1225</v>
      </c>
      <c r="D1151" s="223" t="s">
        <v>12</v>
      </c>
      <c r="E1151" s="223" t="s">
        <v>21</v>
      </c>
      <c r="F1151" s="223" t="s">
        <v>27</v>
      </c>
      <c r="G1151" s="223" t="s">
        <v>1219</v>
      </c>
    </row>
    <row r="1152" spans="1:7" x14ac:dyDescent="0.3">
      <c r="A1152" s="223">
        <v>1151</v>
      </c>
      <c r="B1152" s="223" t="s">
        <v>1130</v>
      </c>
      <c r="C1152" s="223" t="s">
        <v>1225</v>
      </c>
      <c r="D1152" s="223" t="s">
        <v>12</v>
      </c>
      <c r="E1152" s="223" t="s">
        <v>21</v>
      </c>
      <c r="F1152" s="223" t="s">
        <v>1096</v>
      </c>
      <c r="G1152" s="223" t="s">
        <v>1135</v>
      </c>
    </row>
    <row r="1153" spans="1:7" x14ac:dyDescent="0.3">
      <c r="A1153" s="223">
        <v>1152</v>
      </c>
      <c r="B1153" s="223" t="s">
        <v>1130</v>
      </c>
      <c r="C1153" s="223" t="s">
        <v>1225</v>
      </c>
      <c r="D1153" s="223" t="s">
        <v>12</v>
      </c>
      <c r="E1153" s="223" t="s">
        <v>21</v>
      </c>
      <c r="F1153" s="223" t="s">
        <v>1090</v>
      </c>
      <c r="G1153" s="223" t="s">
        <v>1134</v>
      </c>
    </row>
    <row r="1154" spans="1:7" x14ac:dyDescent="0.3">
      <c r="A1154" s="223">
        <v>1153</v>
      </c>
      <c r="B1154" s="223" t="s">
        <v>1130</v>
      </c>
      <c r="C1154" s="223" t="s">
        <v>1226</v>
      </c>
      <c r="D1154" s="223" t="s">
        <v>1218</v>
      </c>
      <c r="E1154" s="223" t="s">
        <v>1087</v>
      </c>
      <c r="F1154" s="223" t="s">
        <v>1093</v>
      </c>
      <c r="G1154" s="223" t="s">
        <v>1219</v>
      </c>
    </row>
    <row r="1155" spans="1:7" x14ac:dyDescent="0.3">
      <c r="A1155" s="223">
        <v>1154</v>
      </c>
      <c r="B1155" s="223" t="s">
        <v>1130</v>
      </c>
      <c r="C1155" s="223" t="s">
        <v>1226</v>
      </c>
      <c r="D1155" s="223" t="s">
        <v>1218</v>
      </c>
      <c r="E1155" s="223" t="s">
        <v>1087</v>
      </c>
      <c r="F1155" s="223" t="s">
        <v>27</v>
      </c>
      <c r="G1155" s="223" t="s">
        <v>1219</v>
      </c>
    </row>
    <row r="1156" spans="1:7" x14ac:dyDescent="0.3">
      <c r="A1156" s="223">
        <v>1155</v>
      </c>
      <c r="B1156" s="223" t="s">
        <v>1130</v>
      </c>
      <c r="C1156" s="223" t="s">
        <v>1226</v>
      </c>
      <c r="D1156" s="223" t="s">
        <v>1218</v>
      </c>
      <c r="E1156" s="223" t="s">
        <v>1087</v>
      </c>
      <c r="F1156" s="223" t="s">
        <v>1096</v>
      </c>
      <c r="G1156" s="223" t="s">
        <v>1219</v>
      </c>
    </row>
    <row r="1157" spans="1:7" x14ac:dyDescent="0.3">
      <c r="A1157" s="223">
        <v>1156</v>
      </c>
      <c r="B1157" s="223" t="s">
        <v>1130</v>
      </c>
      <c r="C1157" s="223" t="s">
        <v>1226</v>
      </c>
      <c r="D1157" s="223" t="s">
        <v>1218</v>
      </c>
      <c r="E1157" s="223" t="s">
        <v>1087</v>
      </c>
      <c r="F1157" s="223" t="s">
        <v>1090</v>
      </c>
      <c r="G1157" s="223" t="s">
        <v>1219</v>
      </c>
    </row>
    <row r="1158" spans="1:7" x14ac:dyDescent="0.3">
      <c r="A1158" s="223">
        <v>1157</v>
      </c>
      <c r="B1158" s="223" t="s">
        <v>1130</v>
      </c>
      <c r="C1158" s="223" t="s">
        <v>1226</v>
      </c>
      <c r="D1158" s="223" t="s">
        <v>1218</v>
      </c>
      <c r="E1158" s="223" t="s">
        <v>21</v>
      </c>
      <c r="F1158" s="223" t="s">
        <v>1093</v>
      </c>
      <c r="G1158" s="223" t="s">
        <v>1219</v>
      </c>
    </row>
    <row r="1159" spans="1:7" x14ac:dyDescent="0.3">
      <c r="A1159" s="223">
        <v>1158</v>
      </c>
      <c r="B1159" s="223" t="s">
        <v>1130</v>
      </c>
      <c r="C1159" s="223" t="s">
        <v>1226</v>
      </c>
      <c r="D1159" s="223" t="s">
        <v>1218</v>
      </c>
      <c r="E1159" s="223" t="s">
        <v>21</v>
      </c>
      <c r="F1159" s="223" t="s">
        <v>27</v>
      </c>
      <c r="G1159" s="223" t="s">
        <v>1219</v>
      </c>
    </row>
    <row r="1160" spans="1:7" x14ac:dyDescent="0.3">
      <c r="A1160" s="223">
        <v>1159</v>
      </c>
      <c r="B1160" s="223" t="s">
        <v>1130</v>
      </c>
      <c r="C1160" s="223" t="s">
        <v>1226</v>
      </c>
      <c r="D1160" s="223" t="s">
        <v>1218</v>
      </c>
      <c r="E1160" s="223" t="s">
        <v>21</v>
      </c>
      <c r="F1160" s="223" t="s">
        <v>1096</v>
      </c>
      <c r="G1160" s="223" t="s">
        <v>1219</v>
      </c>
    </row>
    <row r="1161" spans="1:7" x14ac:dyDescent="0.3">
      <c r="A1161" s="223">
        <v>1160</v>
      </c>
      <c r="B1161" s="223" t="s">
        <v>1130</v>
      </c>
      <c r="C1161" s="223" t="s">
        <v>1226</v>
      </c>
      <c r="D1161" s="223" t="s">
        <v>1218</v>
      </c>
      <c r="E1161" s="223" t="s">
        <v>21</v>
      </c>
      <c r="F1161" s="223" t="s">
        <v>1090</v>
      </c>
      <c r="G1161" s="223" t="s">
        <v>1219</v>
      </c>
    </row>
    <row r="1162" spans="1:7" x14ac:dyDescent="0.3">
      <c r="A1162" s="223">
        <v>1161</v>
      </c>
      <c r="B1162" s="223" t="s">
        <v>1130</v>
      </c>
      <c r="C1162" s="223" t="s">
        <v>1226</v>
      </c>
      <c r="D1162" s="223" t="s">
        <v>1220</v>
      </c>
      <c r="E1162" s="223" t="s">
        <v>1087</v>
      </c>
      <c r="F1162" s="223" t="s">
        <v>1093</v>
      </c>
      <c r="G1162" s="223" t="s">
        <v>1219</v>
      </c>
    </row>
    <row r="1163" spans="1:7" x14ac:dyDescent="0.3">
      <c r="A1163" s="223">
        <v>1162</v>
      </c>
      <c r="B1163" s="223" t="s">
        <v>1130</v>
      </c>
      <c r="C1163" s="223" t="s">
        <v>1226</v>
      </c>
      <c r="D1163" s="223" t="s">
        <v>1220</v>
      </c>
      <c r="E1163" s="223" t="s">
        <v>1087</v>
      </c>
      <c r="F1163" s="223" t="s">
        <v>27</v>
      </c>
      <c r="G1163" s="223" t="s">
        <v>1219</v>
      </c>
    </row>
    <row r="1164" spans="1:7" x14ac:dyDescent="0.3">
      <c r="A1164" s="223">
        <v>1163</v>
      </c>
      <c r="B1164" s="223" t="s">
        <v>1130</v>
      </c>
      <c r="C1164" s="223" t="s">
        <v>1226</v>
      </c>
      <c r="D1164" s="223" t="s">
        <v>1220</v>
      </c>
      <c r="E1164" s="223" t="s">
        <v>1087</v>
      </c>
      <c r="F1164" s="223" t="s">
        <v>1096</v>
      </c>
      <c r="G1164" s="223" t="s">
        <v>1219</v>
      </c>
    </row>
    <row r="1165" spans="1:7" x14ac:dyDescent="0.3">
      <c r="A1165" s="223">
        <v>1164</v>
      </c>
      <c r="B1165" s="223" t="s">
        <v>1130</v>
      </c>
      <c r="C1165" s="223" t="s">
        <v>1226</v>
      </c>
      <c r="D1165" s="223" t="s">
        <v>1220</v>
      </c>
      <c r="E1165" s="223" t="s">
        <v>1087</v>
      </c>
      <c r="F1165" s="223" t="s">
        <v>1090</v>
      </c>
      <c r="G1165" s="223" t="s">
        <v>1219</v>
      </c>
    </row>
    <row r="1166" spans="1:7" x14ac:dyDescent="0.3">
      <c r="A1166" s="223">
        <v>1165</v>
      </c>
      <c r="B1166" s="223" t="s">
        <v>1130</v>
      </c>
      <c r="C1166" s="223" t="s">
        <v>1226</v>
      </c>
      <c r="D1166" s="223" t="s">
        <v>1220</v>
      </c>
      <c r="E1166" s="223" t="s">
        <v>21</v>
      </c>
      <c r="F1166" s="223" t="s">
        <v>1093</v>
      </c>
      <c r="G1166" s="223" t="s">
        <v>1219</v>
      </c>
    </row>
    <row r="1167" spans="1:7" x14ac:dyDescent="0.3">
      <c r="A1167" s="223">
        <v>1166</v>
      </c>
      <c r="B1167" s="223" t="s">
        <v>1130</v>
      </c>
      <c r="C1167" s="223" t="s">
        <v>1226</v>
      </c>
      <c r="D1167" s="223" t="s">
        <v>1220</v>
      </c>
      <c r="E1167" s="223" t="s">
        <v>21</v>
      </c>
      <c r="F1167" s="223" t="s">
        <v>27</v>
      </c>
      <c r="G1167" s="223" t="s">
        <v>1219</v>
      </c>
    </row>
    <row r="1168" spans="1:7" x14ac:dyDescent="0.3">
      <c r="A1168" s="223">
        <v>1167</v>
      </c>
      <c r="B1168" s="223" t="s">
        <v>1130</v>
      </c>
      <c r="C1168" s="223" t="s">
        <v>1226</v>
      </c>
      <c r="D1168" s="223" t="s">
        <v>1220</v>
      </c>
      <c r="E1168" s="223" t="s">
        <v>21</v>
      </c>
      <c r="F1168" s="223" t="s">
        <v>1096</v>
      </c>
      <c r="G1168" s="223" t="s">
        <v>1219</v>
      </c>
    </row>
    <row r="1169" spans="1:7" x14ac:dyDescent="0.3">
      <c r="A1169" s="223">
        <v>1168</v>
      </c>
      <c r="B1169" s="223" t="s">
        <v>1130</v>
      </c>
      <c r="C1169" s="223" t="s">
        <v>1226</v>
      </c>
      <c r="D1169" s="223" t="s">
        <v>1220</v>
      </c>
      <c r="E1169" s="223" t="s">
        <v>21</v>
      </c>
      <c r="F1169" s="223" t="s">
        <v>1090</v>
      </c>
      <c r="G1169" s="223" t="s">
        <v>1219</v>
      </c>
    </row>
    <row r="1170" spans="1:7" x14ac:dyDescent="0.3">
      <c r="A1170" s="223">
        <v>1169</v>
      </c>
      <c r="B1170" s="223" t="s">
        <v>1130</v>
      </c>
      <c r="C1170" s="223" t="s">
        <v>1226</v>
      </c>
      <c r="D1170" s="223" t="s">
        <v>1221</v>
      </c>
      <c r="E1170" s="223" t="s">
        <v>1087</v>
      </c>
      <c r="F1170" s="223" t="s">
        <v>1093</v>
      </c>
      <c r="G1170" s="223" t="s">
        <v>1219</v>
      </c>
    </row>
    <row r="1171" spans="1:7" x14ac:dyDescent="0.3">
      <c r="A1171" s="223">
        <v>1170</v>
      </c>
      <c r="B1171" s="223" t="s">
        <v>1130</v>
      </c>
      <c r="C1171" s="223" t="s">
        <v>1226</v>
      </c>
      <c r="D1171" s="223" t="s">
        <v>1221</v>
      </c>
      <c r="E1171" s="223" t="s">
        <v>1087</v>
      </c>
      <c r="F1171" s="223" t="s">
        <v>27</v>
      </c>
      <c r="G1171" s="223" t="s">
        <v>1219</v>
      </c>
    </row>
    <row r="1172" spans="1:7" x14ac:dyDescent="0.3">
      <c r="A1172" s="223">
        <v>1171</v>
      </c>
      <c r="B1172" s="223" t="s">
        <v>1130</v>
      </c>
      <c r="C1172" s="223" t="s">
        <v>1226</v>
      </c>
      <c r="D1172" s="223" t="s">
        <v>1221</v>
      </c>
      <c r="E1172" s="223" t="s">
        <v>1087</v>
      </c>
      <c r="F1172" s="223" t="s">
        <v>1096</v>
      </c>
      <c r="G1172" s="223" t="s">
        <v>1219</v>
      </c>
    </row>
    <row r="1173" spans="1:7" x14ac:dyDescent="0.3">
      <c r="A1173" s="223">
        <v>1172</v>
      </c>
      <c r="B1173" s="223" t="s">
        <v>1130</v>
      </c>
      <c r="C1173" s="223" t="s">
        <v>1226</v>
      </c>
      <c r="D1173" s="223" t="s">
        <v>1221</v>
      </c>
      <c r="E1173" s="223" t="s">
        <v>1087</v>
      </c>
      <c r="F1173" s="223" t="s">
        <v>1090</v>
      </c>
      <c r="G1173" s="223" t="s">
        <v>1219</v>
      </c>
    </row>
    <row r="1174" spans="1:7" x14ac:dyDescent="0.3">
      <c r="A1174" s="223">
        <v>1173</v>
      </c>
      <c r="B1174" s="223" t="s">
        <v>1130</v>
      </c>
      <c r="C1174" s="223" t="s">
        <v>1226</v>
      </c>
      <c r="D1174" s="223" t="s">
        <v>1221</v>
      </c>
      <c r="E1174" s="223" t="s">
        <v>21</v>
      </c>
      <c r="F1174" s="223" t="s">
        <v>1093</v>
      </c>
      <c r="G1174" s="223" t="s">
        <v>1219</v>
      </c>
    </row>
    <row r="1175" spans="1:7" x14ac:dyDescent="0.3">
      <c r="A1175" s="223">
        <v>1174</v>
      </c>
      <c r="B1175" s="223" t="s">
        <v>1130</v>
      </c>
      <c r="C1175" s="223" t="s">
        <v>1226</v>
      </c>
      <c r="D1175" s="223" t="s">
        <v>1221</v>
      </c>
      <c r="E1175" s="223" t="s">
        <v>21</v>
      </c>
      <c r="F1175" s="223" t="s">
        <v>27</v>
      </c>
      <c r="G1175" s="223" t="s">
        <v>1219</v>
      </c>
    </row>
    <row r="1176" spans="1:7" x14ac:dyDescent="0.3">
      <c r="A1176" s="223">
        <v>1175</v>
      </c>
      <c r="B1176" s="223" t="s">
        <v>1130</v>
      </c>
      <c r="C1176" s="223" t="s">
        <v>1226</v>
      </c>
      <c r="D1176" s="223" t="s">
        <v>1221</v>
      </c>
      <c r="E1176" s="223" t="s">
        <v>21</v>
      </c>
      <c r="F1176" s="223" t="s">
        <v>1096</v>
      </c>
      <c r="G1176" s="223" t="s">
        <v>1219</v>
      </c>
    </row>
    <row r="1177" spans="1:7" x14ac:dyDescent="0.3">
      <c r="A1177" s="223">
        <v>1176</v>
      </c>
      <c r="B1177" s="223" t="s">
        <v>1130</v>
      </c>
      <c r="C1177" s="223" t="s">
        <v>1226</v>
      </c>
      <c r="D1177" s="223" t="s">
        <v>1221</v>
      </c>
      <c r="E1177" s="223" t="s">
        <v>21</v>
      </c>
      <c r="F1177" s="223" t="s">
        <v>1090</v>
      </c>
      <c r="G1177" s="223" t="s">
        <v>1219</v>
      </c>
    </row>
    <row r="1178" spans="1:7" x14ac:dyDescent="0.3">
      <c r="A1178" s="223">
        <v>1177</v>
      </c>
      <c r="B1178" s="223" t="s">
        <v>1130</v>
      </c>
      <c r="C1178" s="223" t="s">
        <v>1226</v>
      </c>
      <c r="D1178" s="223" t="s">
        <v>1222</v>
      </c>
      <c r="E1178" s="223" t="s">
        <v>1087</v>
      </c>
      <c r="F1178" s="223" t="s">
        <v>1093</v>
      </c>
      <c r="G1178" s="223" t="s">
        <v>1219</v>
      </c>
    </row>
    <row r="1179" spans="1:7" x14ac:dyDescent="0.3">
      <c r="A1179" s="223">
        <v>1178</v>
      </c>
      <c r="B1179" s="223" t="s">
        <v>1130</v>
      </c>
      <c r="C1179" s="223" t="s">
        <v>1226</v>
      </c>
      <c r="D1179" s="223" t="s">
        <v>1222</v>
      </c>
      <c r="E1179" s="223" t="s">
        <v>1087</v>
      </c>
      <c r="F1179" s="223" t="s">
        <v>27</v>
      </c>
      <c r="G1179" s="223" t="s">
        <v>1219</v>
      </c>
    </row>
    <row r="1180" spans="1:7" x14ac:dyDescent="0.3">
      <c r="A1180" s="223">
        <v>1179</v>
      </c>
      <c r="B1180" s="223" t="s">
        <v>1130</v>
      </c>
      <c r="C1180" s="223" t="s">
        <v>1226</v>
      </c>
      <c r="D1180" s="223" t="s">
        <v>1222</v>
      </c>
      <c r="E1180" s="223" t="s">
        <v>1087</v>
      </c>
      <c r="F1180" s="223" t="s">
        <v>1096</v>
      </c>
      <c r="G1180" s="223" t="s">
        <v>1219</v>
      </c>
    </row>
    <row r="1181" spans="1:7" x14ac:dyDescent="0.3">
      <c r="A1181" s="223">
        <v>1180</v>
      </c>
      <c r="B1181" s="223" t="s">
        <v>1130</v>
      </c>
      <c r="C1181" s="223" t="s">
        <v>1226</v>
      </c>
      <c r="D1181" s="223" t="s">
        <v>1222</v>
      </c>
      <c r="E1181" s="223" t="s">
        <v>1087</v>
      </c>
      <c r="F1181" s="223" t="s">
        <v>1090</v>
      </c>
      <c r="G1181" s="223" t="s">
        <v>1219</v>
      </c>
    </row>
    <row r="1182" spans="1:7" x14ac:dyDescent="0.3">
      <c r="A1182" s="223">
        <v>1181</v>
      </c>
      <c r="B1182" s="223" t="s">
        <v>1130</v>
      </c>
      <c r="C1182" s="223" t="s">
        <v>1226</v>
      </c>
      <c r="D1182" s="223" t="s">
        <v>1222</v>
      </c>
      <c r="E1182" s="223" t="s">
        <v>21</v>
      </c>
      <c r="F1182" s="223" t="s">
        <v>1093</v>
      </c>
      <c r="G1182" s="223" t="s">
        <v>1219</v>
      </c>
    </row>
    <row r="1183" spans="1:7" x14ac:dyDescent="0.3">
      <c r="A1183" s="223">
        <v>1182</v>
      </c>
      <c r="B1183" s="223" t="s">
        <v>1130</v>
      </c>
      <c r="C1183" s="223" t="s">
        <v>1226</v>
      </c>
      <c r="D1183" s="223" t="s">
        <v>1222</v>
      </c>
      <c r="E1183" s="223" t="s">
        <v>21</v>
      </c>
      <c r="F1183" s="223" t="s">
        <v>27</v>
      </c>
      <c r="G1183" s="223" t="s">
        <v>1219</v>
      </c>
    </row>
    <row r="1184" spans="1:7" x14ac:dyDescent="0.3">
      <c r="A1184" s="223">
        <v>1183</v>
      </c>
      <c r="B1184" s="223" t="s">
        <v>1130</v>
      </c>
      <c r="C1184" s="223" t="s">
        <v>1226</v>
      </c>
      <c r="D1184" s="223" t="s">
        <v>1222</v>
      </c>
      <c r="E1184" s="223" t="s">
        <v>21</v>
      </c>
      <c r="F1184" s="223" t="s">
        <v>1096</v>
      </c>
      <c r="G1184" s="223" t="s">
        <v>1219</v>
      </c>
    </row>
    <row r="1185" spans="1:7" x14ac:dyDescent="0.3">
      <c r="A1185" s="223">
        <v>1184</v>
      </c>
      <c r="B1185" s="223" t="s">
        <v>1130</v>
      </c>
      <c r="C1185" s="223" t="s">
        <v>1226</v>
      </c>
      <c r="D1185" s="223" t="s">
        <v>1222</v>
      </c>
      <c r="E1185" s="223" t="s">
        <v>21</v>
      </c>
      <c r="F1185" s="223" t="s">
        <v>1090</v>
      </c>
      <c r="G1185" s="223" t="s">
        <v>1219</v>
      </c>
    </row>
    <row r="1186" spans="1:7" x14ac:dyDescent="0.3">
      <c r="A1186" s="223">
        <v>1185</v>
      </c>
      <c r="B1186" s="223" t="s">
        <v>1130</v>
      </c>
      <c r="C1186" s="223" t="s">
        <v>1226</v>
      </c>
      <c r="D1186" s="223" t="s">
        <v>1223</v>
      </c>
      <c r="E1186" s="223" t="s">
        <v>1087</v>
      </c>
      <c r="F1186" s="223" t="s">
        <v>1093</v>
      </c>
      <c r="G1186" s="223" t="s">
        <v>1219</v>
      </c>
    </row>
    <row r="1187" spans="1:7" x14ac:dyDescent="0.3">
      <c r="A1187" s="223">
        <v>1186</v>
      </c>
      <c r="B1187" s="223" t="s">
        <v>1130</v>
      </c>
      <c r="C1187" s="223" t="s">
        <v>1226</v>
      </c>
      <c r="D1187" s="223" t="s">
        <v>1223</v>
      </c>
      <c r="E1187" s="223" t="s">
        <v>1087</v>
      </c>
      <c r="F1187" s="223" t="s">
        <v>27</v>
      </c>
      <c r="G1187" s="223" t="s">
        <v>1219</v>
      </c>
    </row>
    <row r="1188" spans="1:7" x14ac:dyDescent="0.3">
      <c r="A1188" s="223">
        <v>1187</v>
      </c>
      <c r="B1188" s="223" t="s">
        <v>1130</v>
      </c>
      <c r="C1188" s="223" t="s">
        <v>1226</v>
      </c>
      <c r="D1188" s="223" t="s">
        <v>1223</v>
      </c>
      <c r="E1188" s="223" t="s">
        <v>1087</v>
      </c>
      <c r="F1188" s="223" t="s">
        <v>1096</v>
      </c>
      <c r="G1188" s="223" t="s">
        <v>1219</v>
      </c>
    </row>
    <row r="1189" spans="1:7" x14ac:dyDescent="0.3">
      <c r="A1189" s="223">
        <v>1188</v>
      </c>
      <c r="B1189" s="223" t="s">
        <v>1130</v>
      </c>
      <c r="C1189" s="223" t="s">
        <v>1226</v>
      </c>
      <c r="D1189" s="223" t="s">
        <v>1223</v>
      </c>
      <c r="E1189" s="223" t="s">
        <v>1087</v>
      </c>
      <c r="F1189" s="223" t="s">
        <v>1090</v>
      </c>
      <c r="G1189" s="223" t="s">
        <v>1219</v>
      </c>
    </row>
    <row r="1190" spans="1:7" x14ac:dyDescent="0.3">
      <c r="A1190" s="223">
        <v>1189</v>
      </c>
      <c r="B1190" s="223" t="s">
        <v>1130</v>
      </c>
      <c r="C1190" s="223" t="s">
        <v>1226</v>
      </c>
      <c r="D1190" s="223" t="s">
        <v>1223</v>
      </c>
      <c r="E1190" s="223" t="s">
        <v>21</v>
      </c>
      <c r="F1190" s="223" t="s">
        <v>1093</v>
      </c>
      <c r="G1190" s="223" t="s">
        <v>1219</v>
      </c>
    </row>
    <row r="1191" spans="1:7" x14ac:dyDescent="0.3">
      <c r="A1191" s="223">
        <v>1190</v>
      </c>
      <c r="B1191" s="223" t="s">
        <v>1130</v>
      </c>
      <c r="C1191" s="223" t="s">
        <v>1226</v>
      </c>
      <c r="D1191" s="223" t="s">
        <v>1223</v>
      </c>
      <c r="E1191" s="223" t="s">
        <v>21</v>
      </c>
      <c r="F1191" s="223" t="s">
        <v>27</v>
      </c>
      <c r="G1191" s="223" t="s">
        <v>1219</v>
      </c>
    </row>
    <row r="1192" spans="1:7" x14ac:dyDescent="0.3">
      <c r="A1192" s="223">
        <v>1191</v>
      </c>
      <c r="B1192" s="223" t="s">
        <v>1130</v>
      </c>
      <c r="C1192" s="223" t="s">
        <v>1226</v>
      </c>
      <c r="D1192" s="223" t="s">
        <v>1223</v>
      </c>
      <c r="E1192" s="223" t="s">
        <v>21</v>
      </c>
      <c r="F1192" s="223" t="s">
        <v>1096</v>
      </c>
      <c r="G1192" s="223" t="s">
        <v>1219</v>
      </c>
    </row>
    <row r="1193" spans="1:7" x14ac:dyDescent="0.3">
      <c r="A1193" s="223">
        <v>1192</v>
      </c>
      <c r="B1193" s="223" t="s">
        <v>1130</v>
      </c>
      <c r="C1193" s="223" t="s">
        <v>1226</v>
      </c>
      <c r="D1193" s="223" t="s">
        <v>1223</v>
      </c>
      <c r="E1193" s="223" t="s">
        <v>21</v>
      </c>
      <c r="F1193" s="223" t="s">
        <v>1090</v>
      </c>
      <c r="G1193" s="223" t="s">
        <v>1219</v>
      </c>
    </row>
    <row r="1194" spans="1:7" x14ac:dyDescent="0.3">
      <c r="A1194" s="223">
        <v>1193</v>
      </c>
      <c r="B1194" s="223" t="s">
        <v>1130</v>
      </c>
      <c r="C1194" s="223" t="s">
        <v>1226</v>
      </c>
      <c r="D1194" s="223" t="s">
        <v>12</v>
      </c>
      <c r="E1194" s="223" t="s">
        <v>1087</v>
      </c>
      <c r="F1194" s="223" t="s">
        <v>1093</v>
      </c>
      <c r="G1194" s="223" t="s">
        <v>1219</v>
      </c>
    </row>
    <row r="1195" spans="1:7" x14ac:dyDescent="0.3">
      <c r="A1195" s="223">
        <v>1194</v>
      </c>
      <c r="B1195" s="223" t="s">
        <v>1130</v>
      </c>
      <c r="C1195" s="223" t="s">
        <v>1226</v>
      </c>
      <c r="D1195" s="223" t="s">
        <v>12</v>
      </c>
      <c r="E1195" s="223" t="s">
        <v>1087</v>
      </c>
      <c r="F1195" s="223" t="s">
        <v>27</v>
      </c>
      <c r="G1195" s="223" t="s">
        <v>1219</v>
      </c>
    </row>
    <row r="1196" spans="1:7" x14ac:dyDescent="0.3">
      <c r="A1196" s="223">
        <v>1195</v>
      </c>
      <c r="B1196" s="223" t="s">
        <v>1130</v>
      </c>
      <c r="C1196" s="223" t="s">
        <v>1226</v>
      </c>
      <c r="D1196" s="223" t="s">
        <v>12</v>
      </c>
      <c r="E1196" s="223" t="s">
        <v>1087</v>
      </c>
      <c r="F1196" s="223" t="s">
        <v>1096</v>
      </c>
      <c r="G1196" s="223" t="s">
        <v>1219</v>
      </c>
    </row>
    <row r="1197" spans="1:7" x14ac:dyDescent="0.3">
      <c r="A1197" s="223">
        <v>1196</v>
      </c>
      <c r="B1197" s="223" t="s">
        <v>1130</v>
      </c>
      <c r="C1197" s="223" t="s">
        <v>1226</v>
      </c>
      <c r="D1197" s="223" t="s">
        <v>12</v>
      </c>
      <c r="E1197" s="223" t="s">
        <v>1087</v>
      </c>
      <c r="F1197" s="223" t="s">
        <v>1090</v>
      </c>
      <c r="G1197" s="223" t="s">
        <v>1219</v>
      </c>
    </row>
    <row r="1198" spans="1:7" x14ac:dyDescent="0.3">
      <c r="A1198" s="223">
        <v>1197</v>
      </c>
      <c r="B1198" s="223" t="s">
        <v>1130</v>
      </c>
      <c r="C1198" s="223" t="s">
        <v>1226</v>
      </c>
      <c r="D1198" s="223" t="s">
        <v>12</v>
      </c>
      <c r="E1198" s="223" t="s">
        <v>21</v>
      </c>
      <c r="F1198" s="223" t="s">
        <v>1093</v>
      </c>
      <c r="G1198" s="223" t="s">
        <v>1219</v>
      </c>
    </row>
    <row r="1199" spans="1:7" x14ac:dyDescent="0.3">
      <c r="A1199" s="223">
        <v>1198</v>
      </c>
      <c r="B1199" s="223" t="s">
        <v>1130</v>
      </c>
      <c r="C1199" s="223" t="s">
        <v>1226</v>
      </c>
      <c r="D1199" s="223" t="s">
        <v>12</v>
      </c>
      <c r="E1199" s="223" t="s">
        <v>21</v>
      </c>
      <c r="F1199" s="223" t="s">
        <v>27</v>
      </c>
      <c r="G1199" s="223" t="s">
        <v>1219</v>
      </c>
    </row>
    <row r="1200" spans="1:7" x14ac:dyDescent="0.3">
      <c r="A1200" s="223">
        <v>1199</v>
      </c>
      <c r="B1200" s="223" t="s">
        <v>1130</v>
      </c>
      <c r="C1200" s="223" t="s">
        <v>1226</v>
      </c>
      <c r="D1200" s="223" t="s">
        <v>12</v>
      </c>
      <c r="E1200" s="223" t="s">
        <v>21</v>
      </c>
      <c r="F1200" s="223" t="s">
        <v>1096</v>
      </c>
      <c r="G1200" s="223" t="s">
        <v>1219</v>
      </c>
    </row>
    <row r="1201" spans="1:7" x14ac:dyDescent="0.3">
      <c r="A1201" s="223">
        <v>1200</v>
      </c>
      <c r="B1201" s="223" t="s">
        <v>1130</v>
      </c>
      <c r="C1201" s="223" t="s">
        <v>1226</v>
      </c>
      <c r="D1201" s="223" t="s">
        <v>12</v>
      </c>
      <c r="E1201" s="223" t="s">
        <v>21</v>
      </c>
      <c r="F1201" s="223" t="s">
        <v>1090</v>
      </c>
      <c r="G1201" s="223" t="s">
        <v>1219</v>
      </c>
    </row>
    <row r="1202" spans="1:7" x14ac:dyDescent="0.3">
      <c r="A1202" s="223">
        <v>1201</v>
      </c>
      <c r="B1202" s="223" t="s">
        <v>1130</v>
      </c>
      <c r="C1202" s="223" t="s">
        <v>9</v>
      </c>
      <c r="D1202" s="223" t="s">
        <v>1218</v>
      </c>
      <c r="E1202" s="223" t="s">
        <v>1087</v>
      </c>
      <c r="F1202" s="223" t="s">
        <v>1093</v>
      </c>
      <c r="G1202" s="223" t="s">
        <v>1219</v>
      </c>
    </row>
    <row r="1203" spans="1:7" x14ac:dyDescent="0.3">
      <c r="A1203" s="223">
        <v>1202</v>
      </c>
      <c r="B1203" s="223" t="s">
        <v>1130</v>
      </c>
      <c r="C1203" s="223" t="s">
        <v>9</v>
      </c>
      <c r="D1203" s="223" t="s">
        <v>1218</v>
      </c>
      <c r="E1203" s="223" t="s">
        <v>1087</v>
      </c>
      <c r="F1203" s="223" t="s">
        <v>27</v>
      </c>
      <c r="G1203" s="223" t="s">
        <v>1219</v>
      </c>
    </row>
    <row r="1204" spans="1:7" x14ac:dyDescent="0.3">
      <c r="A1204" s="223">
        <v>1203</v>
      </c>
      <c r="B1204" s="223" t="s">
        <v>1130</v>
      </c>
      <c r="C1204" s="223" t="s">
        <v>9</v>
      </c>
      <c r="D1204" s="223" t="s">
        <v>1218</v>
      </c>
      <c r="E1204" s="223" t="s">
        <v>1087</v>
      </c>
      <c r="F1204" s="223" t="s">
        <v>1096</v>
      </c>
      <c r="G1204" s="223" t="s">
        <v>1219</v>
      </c>
    </row>
    <row r="1205" spans="1:7" x14ac:dyDescent="0.3">
      <c r="A1205" s="223">
        <v>1204</v>
      </c>
      <c r="B1205" s="223" t="s">
        <v>1130</v>
      </c>
      <c r="C1205" s="223" t="s">
        <v>9</v>
      </c>
      <c r="D1205" s="223" t="s">
        <v>1218</v>
      </c>
      <c r="E1205" s="223" t="s">
        <v>1087</v>
      </c>
      <c r="F1205" s="223" t="s">
        <v>1090</v>
      </c>
      <c r="G1205" s="223" t="s">
        <v>1219</v>
      </c>
    </row>
    <row r="1206" spans="1:7" x14ac:dyDescent="0.3">
      <c r="A1206" s="223">
        <v>1205</v>
      </c>
      <c r="B1206" s="223" t="s">
        <v>1130</v>
      </c>
      <c r="C1206" s="223" t="s">
        <v>9</v>
      </c>
      <c r="D1206" s="223" t="s">
        <v>1218</v>
      </c>
      <c r="E1206" s="223" t="s">
        <v>21</v>
      </c>
      <c r="F1206" s="223" t="s">
        <v>1093</v>
      </c>
      <c r="G1206" s="223" t="s">
        <v>1219</v>
      </c>
    </row>
    <row r="1207" spans="1:7" x14ac:dyDescent="0.3">
      <c r="A1207" s="223">
        <v>1206</v>
      </c>
      <c r="B1207" s="223" t="s">
        <v>1130</v>
      </c>
      <c r="C1207" s="223" t="s">
        <v>9</v>
      </c>
      <c r="D1207" s="223" t="s">
        <v>1218</v>
      </c>
      <c r="E1207" s="223" t="s">
        <v>21</v>
      </c>
      <c r="F1207" s="223" t="s">
        <v>27</v>
      </c>
      <c r="G1207" s="223" t="s">
        <v>1219</v>
      </c>
    </row>
    <row r="1208" spans="1:7" x14ac:dyDescent="0.3">
      <c r="A1208" s="223">
        <v>1207</v>
      </c>
      <c r="B1208" s="223" t="s">
        <v>1130</v>
      </c>
      <c r="C1208" s="223" t="s">
        <v>9</v>
      </c>
      <c r="D1208" s="223" t="s">
        <v>1218</v>
      </c>
      <c r="E1208" s="223" t="s">
        <v>21</v>
      </c>
      <c r="F1208" s="223" t="s">
        <v>1096</v>
      </c>
      <c r="G1208" s="223" t="s">
        <v>1219</v>
      </c>
    </row>
    <row r="1209" spans="1:7" x14ac:dyDescent="0.3">
      <c r="A1209" s="223">
        <v>1208</v>
      </c>
      <c r="B1209" s="223" t="s">
        <v>1130</v>
      </c>
      <c r="C1209" s="223" t="s">
        <v>9</v>
      </c>
      <c r="D1209" s="223" t="s">
        <v>1218</v>
      </c>
      <c r="E1209" s="223" t="s">
        <v>21</v>
      </c>
      <c r="F1209" s="223" t="s">
        <v>1090</v>
      </c>
      <c r="G1209" s="223" t="s">
        <v>1219</v>
      </c>
    </row>
    <row r="1210" spans="1:7" x14ac:dyDescent="0.3">
      <c r="A1210" s="223">
        <v>1209</v>
      </c>
      <c r="B1210" s="223" t="s">
        <v>1130</v>
      </c>
      <c r="C1210" s="223" t="s">
        <v>9</v>
      </c>
      <c r="D1210" s="223" t="s">
        <v>1220</v>
      </c>
      <c r="E1210" s="223" t="s">
        <v>1087</v>
      </c>
      <c r="F1210" s="223" t="s">
        <v>1093</v>
      </c>
      <c r="G1210" s="223" t="s">
        <v>1219</v>
      </c>
    </row>
    <row r="1211" spans="1:7" x14ac:dyDescent="0.3">
      <c r="A1211" s="223">
        <v>1210</v>
      </c>
      <c r="B1211" s="223" t="s">
        <v>1130</v>
      </c>
      <c r="C1211" s="223" t="s">
        <v>9</v>
      </c>
      <c r="D1211" s="223" t="s">
        <v>1220</v>
      </c>
      <c r="E1211" s="223" t="s">
        <v>1087</v>
      </c>
      <c r="F1211" s="223" t="s">
        <v>27</v>
      </c>
      <c r="G1211" s="223" t="s">
        <v>1219</v>
      </c>
    </row>
    <row r="1212" spans="1:7" x14ac:dyDescent="0.3">
      <c r="A1212" s="223">
        <v>1211</v>
      </c>
      <c r="B1212" s="223" t="s">
        <v>1130</v>
      </c>
      <c r="C1212" s="223" t="s">
        <v>9</v>
      </c>
      <c r="D1212" s="223" t="s">
        <v>1220</v>
      </c>
      <c r="E1212" s="223" t="s">
        <v>1087</v>
      </c>
      <c r="F1212" s="223" t="s">
        <v>1096</v>
      </c>
      <c r="G1212" s="223" t="s">
        <v>1219</v>
      </c>
    </row>
    <row r="1213" spans="1:7" x14ac:dyDescent="0.3">
      <c r="A1213" s="223">
        <v>1212</v>
      </c>
      <c r="B1213" s="223" t="s">
        <v>1130</v>
      </c>
      <c r="C1213" s="223" t="s">
        <v>9</v>
      </c>
      <c r="D1213" s="223" t="s">
        <v>1220</v>
      </c>
      <c r="E1213" s="223" t="s">
        <v>1087</v>
      </c>
      <c r="F1213" s="223" t="s">
        <v>1090</v>
      </c>
      <c r="G1213" s="223" t="s">
        <v>1219</v>
      </c>
    </row>
    <row r="1214" spans="1:7" x14ac:dyDescent="0.3">
      <c r="A1214" s="223">
        <v>1213</v>
      </c>
      <c r="B1214" s="223" t="s">
        <v>1130</v>
      </c>
      <c r="C1214" s="223" t="s">
        <v>9</v>
      </c>
      <c r="D1214" s="223" t="s">
        <v>1220</v>
      </c>
      <c r="E1214" s="223" t="s">
        <v>21</v>
      </c>
      <c r="F1214" s="223" t="s">
        <v>1093</v>
      </c>
      <c r="G1214" s="223" t="s">
        <v>1219</v>
      </c>
    </row>
    <row r="1215" spans="1:7" x14ac:dyDescent="0.3">
      <c r="A1215" s="223">
        <v>1214</v>
      </c>
      <c r="B1215" s="223" t="s">
        <v>1130</v>
      </c>
      <c r="C1215" s="223" t="s">
        <v>9</v>
      </c>
      <c r="D1215" s="223" t="s">
        <v>1220</v>
      </c>
      <c r="E1215" s="223" t="s">
        <v>21</v>
      </c>
      <c r="F1215" s="223" t="s">
        <v>27</v>
      </c>
      <c r="G1215" s="223" t="s">
        <v>1219</v>
      </c>
    </row>
    <row r="1216" spans="1:7" x14ac:dyDescent="0.3">
      <c r="A1216" s="223">
        <v>1215</v>
      </c>
      <c r="B1216" s="223" t="s">
        <v>1130</v>
      </c>
      <c r="C1216" s="223" t="s">
        <v>9</v>
      </c>
      <c r="D1216" s="223" t="s">
        <v>1220</v>
      </c>
      <c r="E1216" s="223" t="s">
        <v>21</v>
      </c>
      <c r="F1216" s="223" t="s">
        <v>1096</v>
      </c>
      <c r="G1216" s="223" t="s">
        <v>1219</v>
      </c>
    </row>
    <row r="1217" spans="1:7" x14ac:dyDescent="0.3">
      <c r="A1217" s="223">
        <v>1216</v>
      </c>
      <c r="B1217" s="223" t="s">
        <v>1130</v>
      </c>
      <c r="C1217" s="223" t="s">
        <v>9</v>
      </c>
      <c r="D1217" s="223" t="s">
        <v>1220</v>
      </c>
      <c r="E1217" s="223" t="s">
        <v>21</v>
      </c>
      <c r="F1217" s="223" t="s">
        <v>1090</v>
      </c>
      <c r="G1217" s="223" t="s">
        <v>1219</v>
      </c>
    </row>
    <row r="1218" spans="1:7" x14ac:dyDescent="0.3">
      <c r="A1218" s="223">
        <v>1217</v>
      </c>
      <c r="B1218" s="223" t="s">
        <v>1130</v>
      </c>
      <c r="C1218" s="223" t="s">
        <v>9</v>
      </c>
      <c r="D1218" s="223" t="s">
        <v>1221</v>
      </c>
      <c r="E1218" s="223" t="s">
        <v>1087</v>
      </c>
      <c r="F1218" s="223" t="s">
        <v>1093</v>
      </c>
      <c r="G1218" s="223" t="s">
        <v>1219</v>
      </c>
    </row>
    <row r="1219" spans="1:7" x14ac:dyDescent="0.3">
      <c r="A1219" s="223">
        <v>1218</v>
      </c>
      <c r="B1219" s="223" t="s">
        <v>1130</v>
      </c>
      <c r="C1219" s="223" t="s">
        <v>9</v>
      </c>
      <c r="D1219" s="223" t="s">
        <v>1221</v>
      </c>
      <c r="E1219" s="223" t="s">
        <v>1087</v>
      </c>
      <c r="F1219" s="223" t="s">
        <v>27</v>
      </c>
      <c r="G1219" s="223" t="s">
        <v>1219</v>
      </c>
    </row>
    <row r="1220" spans="1:7" x14ac:dyDescent="0.3">
      <c r="A1220" s="223">
        <v>1219</v>
      </c>
      <c r="B1220" s="223" t="s">
        <v>1130</v>
      </c>
      <c r="C1220" s="223" t="s">
        <v>9</v>
      </c>
      <c r="D1220" s="223" t="s">
        <v>1221</v>
      </c>
      <c r="E1220" s="223" t="s">
        <v>1087</v>
      </c>
      <c r="F1220" s="223" t="s">
        <v>1096</v>
      </c>
      <c r="G1220" s="223" t="s">
        <v>1219</v>
      </c>
    </row>
    <row r="1221" spans="1:7" x14ac:dyDescent="0.3">
      <c r="A1221" s="223">
        <v>1220</v>
      </c>
      <c r="B1221" s="223" t="s">
        <v>1130</v>
      </c>
      <c r="C1221" s="223" t="s">
        <v>9</v>
      </c>
      <c r="D1221" s="223" t="s">
        <v>1221</v>
      </c>
      <c r="E1221" s="223" t="s">
        <v>1087</v>
      </c>
      <c r="F1221" s="223" t="s">
        <v>1090</v>
      </c>
      <c r="G1221" s="223" t="s">
        <v>1219</v>
      </c>
    </row>
    <row r="1222" spans="1:7" x14ac:dyDescent="0.3">
      <c r="A1222" s="223">
        <v>1221</v>
      </c>
      <c r="B1222" s="223" t="s">
        <v>1130</v>
      </c>
      <c r="C1222" s="223" t="s">
        <v>9</v>
      </c>
      <c r="D1222" s="223" t="s">
        <v>1221</v>
      </c>
      <c r="E1222" s="223" t="s">
        <v>21</v>
      </c>
      <c r="F1222" s="223" t="s">
        <v>1093</v>
      </c>
      <c r="G1222" s="223" t="s">
        <v>1219</v>
      </c>
    </row>
    <row r="1223" spans="1:7" x14ac:dyDescent="0.3">
      <c r="A1223" s="223">
        <v>1222</v>
      </c>
      <c r="B1223" s="223" t="s">
        <v>1130</v>
      </c>
      <c r="C1223" s="223" t="s">
        <v>9</v>
      </c>
      <c r="D1223" s="223" t="s">
        <v>1221</v>
      </c>
      <c r="E1223" s="223" t="s">
        <v>21</v>
      </c>
      <c r="F1223" s="223" t="s">
        <v>27</v>
      </c>
      <c r="G1223" s="223" t="s">
        <v>1219</v>
      </c>
    </row>
    <row r="1224" spans="1:7" x14ac:dyDescent="0.3">
      <c r="A1224" s="223">
        <v>1223</v>
      </c>
      <c r="B1224" s="223" t="s">
        <v>1130</v>
      </c>
      <c r="C1224" s="223" t="s">
        <v>9</v>
      </c>
      <c r="D1224" s="223" t="s">
        <v>1221</v>
      </c>
      <c r="E1224" s="223" t="s">
        <v>21</v>
      </c>
      <c r="F1224" s="223" t="s">
        <v>1096</v>
      </c>
      <c r="G1224" s="223" t="s">
        <v>1219</v>
      </c>
    </row>
    <row r="1225" spans="1:7" x14ac:dyDescent="0.3">
      <c r="A1225" s="223">
        <v>1224</v>
      </c>
      <c r="B1225" s="223" t="s">
        <v>1130</v>
      </c>
      <c r="C1225" s="223" t="s">
        <v>9</v>
      </c>
      <c r="D1225" s="223" t="s">
        <v>1221</v>
      </c>
      <c r="E1225" s="223" t="s">
        <v>21</v>
      </c>
      <c r="F1225" s="223" t="s">
        <v>1090</v>
      </c>
      <c r="G1225" s="223" t="s">
        <v>1219</v>
      </c>
    </row>
    <row r="1226" spans="1:7" x14ac:dyDescent="0.3">
      <c r="A1226" s="223">
        <v>1225</v>
      </c>
      <c r="B1226" s="223" t="s">
        <v>1130</v>
      </c>
      <c r="C1226" s="223" t="s">
        <v>9</v>
      </c>
      <c r="D1226" s="223" t="s">
        <v>1222</v>
      </c>
      <c r="E1226" s="223" t="s">
        <v>1087</v>
      </c>
      <c r="F1226" s="223" t="s">
        <v>1093</v>
      </c>
      <c r="G1226" s="223" t="s">
        <v>1219</v>
      </c>
    </row>
    <row r="1227" spans="1:7" x14ac:dyDescent="0.3">
      <c r="A1227" s="223">
        <v>1226</v>
      </c>
      <c r="B1227" s="223" t="s">
        <v>1130</v>
      </c>
      <c r="C1227" s="223" t="s">
        <v>9</v>
      </c>
      <c r="D1227" s="223" t="s">
        <v>1222</v>
      </c>
      <c r="E1227" s="223" t="s">
        <v>1087</v>
      </c>
      <c r="F1227" s="223" t="s">
        <v>27</v>
      </c>
      <c r="G1227" s="223" t="s">
        <v>1219</v>
      </c>
    </row>
    <row r="1228" spans="1:7" x14ac:dyDescent="0.3">
      <c r="A1228" s="223">
        <v>1227</v>
      </c>
      <c r="B1228" s="223" t="s">
        <v>1130</v>
      </c>
      <c r="C1228" s="223" t="s">
        <v>9</v>
      </c>
      <c r="D1228" s="223" t="s">
        <v>1222</v>
      </c>
      <c r="E1228" s="223" t="s">
        <v>1087</v>
      </c>
      <c r="F1228" s="223" t="s">
        <v>1096</v>
      </c>
      <c r="G1228" s="223" t="s">
        <v>1219</v>
      </c>
    </row>
    <row r="1229" spans="1:7" x14ac:dyDescent="0.3">
      <c r="A1229" s="223">
        <v>1228</v>
      </c>
      <c r="B1229" s="223" t="s">
        <v>1130</v>
      </c>
      <c r="C1229" s="223" t="s">
        <v>9</v>
      </c>
      <c r="D1229" s="223" t="s">
        <v>1222</v>
      </c>
      <c r="E1229" s="223" t="s">
        <v>1087</v>
      </c>
      <c r="F1229" s="223" t="s">
        <v>1090</v>
      </c>
      <c r="G1229" s="223" t="s">
        <v>1219</v>
      </c>
    </row>
    <row r="1230" spans="1:7" x14ac:dyDescent="0.3">
      <c r="A1230" s="223">
        <v>1229</v>
      </c>
      <c r="B1230" s="223" t="s">
        <v>1130</v>
      </c>
      <c r="C1230" s="223" t="s">
        <v>9</v>
      </c>
      <c r="D1230" s="223" t="s">
        <v>1222</v>
      </c>
      <c r="E1230" s="223" t="s">
        <v>21</v>
      </c>
      <c r="F1230" s="223" t="s">
        <v>1093</v>
      </c>
      <c r="G1230" s="223" t="s">
        <v>1219</v>
      </c>
    </row>
    <row r="1231" spans="1:7" x14ac:dyDescent="0.3">
      <c r="A1231" s="223">
        <v>1230</v>
      </c>
      <c r="B1231" s="223" t="s">
        <v>1130</v>
      </c>
      <c r="C1231" s="223" t="s">
        <v>9</v>
      </c>
      <c r="D1231" s="223" t="s">
        <v>1222</v>
      </c>
      <c r="E1231" s="223" t="s">
        <v>21</v>
      </c>
      <c r="F1231" s="223" t="s">
        <v>27</v>
      </c>
      <c r="G1231" s="223" t="s">
        <v>1219</v>
      </c>
    </row>
    <row r="1232" spans="1:7" x14ac:dyDescent="0.3">
      <c r="A1232" s="223">
        <v>1231</v>
      </c>
      <c r="B1232" s="223" t="s">
        <v>1130</v>
      </c>
      <c r="C1232" s="223" t="s">
        <v>9</v>
      </c>
      <c r="D1232" s="223" t="s">
        <v>1222</v>
      </c>
      <c r="E1232" s="223" t="s">
        <v>21</v>
      </c>
      <c r="F1232" s="223" t="s">
        <v>1096</v>
      </c>
      <c r="G1232" s="223" t="s">
        <v>1219</v>
      </c>
    </row>
    <row r="1233" spans="1:7" x14ac:dyDescent="0.3">
      <c r="A1233" s="223">
        <v>1232</v>
      </c>
      <c r="B1233" s="223" t="s">
        <v>1130</v>
      </c>
      <c r="C1233" s="223" t="s">
        <v>9</v>
      </c>
      <c r="D1233" s="223" t="s">
        <v>1222</v>
      </c>
      <c r="E1233" s="223" t="s">
        <v>21</v>
      </c>
      <c r="F1233" s="223" t="s">
        <v>1090</v>
      </c>
      <c r="G1233" s="223" t="s">
        <v>1219</v>
      </c>
    </row>
    <row r="1234" spans="1:7" x14ac:dyDescent="0.3">
      <c r="A1234" s="223">
        <v>1233</v>
      </c>
      <c r="B1234" s="223" t="s">
        <v>1130</v>
      </c>
      <c r="C1234" s="223" t="s">
        <v>9</v>
      </c>
      <c r="D1234" s="223" t="s">
        <v>1223</v>
      </c>
      <c r="E1234" s="223" t="s">
        <v>1087</v>
      </c>
      <c r="F1234" s="223" t="s">
        <v>1093</v>
      </c>
      <c r="G1234" s="223" t="s">
        <v>1219</v>
      </c>
    </row>
    <row r="1235" spans="1:7" x14ac:dyDescent="0.3">
      <c r="A1235" s="223">
        <v>1234</v>
      </c>
      <c r="B1235" s="223" t="s">
        <v>1130</v>
      </c>
      <c r="C1235" s="223" t="s">
        <v>9</v>
      </c>
      <c r="D1235" s="223" t="s">
        <v>1223</v>
      </c>
      <c r="E1235" s="223" t="s">
        <v>1087</v>
      </c>
      <c r="F1235" s="223" t="s">
        <v>27</v>
      </c>
      <c r="G1235" s="223" t="s">
        <v>1219</v>
      </c>
    </row>
    <row r="1236" spans="1:7" x14ac:dyDescent="0.3">
      <c r="A1236" s="223">
        <v>1235</v>
      </c>
      <c r="B1236" s="223" t="s">
        <v>1130</v>
      </c>
      <c r="C1236" s="223" t="s">
        <v>9</v>
      </c>
      <c r="D1236" s="223" t="s">
        <v>1223</v>
      </c>
      <c r="E1236" s="223" t="s">
        <v>1087</v>
      </c>
      <c r="F1236" s="223" t="s">
        <v>1096</v>
      </c>
      <c r="G1236" s="223" t="s">
        <v>1219</v>
      </c>
    </row>
    <row r="1237" spans="1:7" x14ac:dyDescent="0.3">
      <c r="A1237" s="223">
        <v>1236</v>
      </c>
      <c r="B1237" s="223" t="s">
        <v>1130</v>
      </c>
      <c r="C1237" s="223" t="s">
        <v>9</v>
      </c>
      <c r="D1237" s="223" t="s">
        <v>1223</v>
      </c>
      <c r="E1237" s="223" t="s">
        <v>1087</v>
      </c>
      <c r="F1237" s="223" t="s">
        <v>1090</v>
      </c>
      <c r="G1237" s="223" t="s">
        <v>1219</v>
      </c>
    </row>
    <row r="1238" spans="1:7" x14ac:dyDescent="0.3">
      <c r="A1238" s="223">
        <v>1237</v>
      </c>
      <c r="B1238" s="223" t="s">
        <v>1130</v>
      </c>
      <c r="C1238" s="223" t="s">
        <v>9</v>
      </c>
      <c r="D1238" s="223" t="s">
        <v>1223</v>
      </c>
      <c r="E1238" s="223" t="s">
        <v>21</v>
      </c>
      <c r="F1238" s="223" t="s">
        <v>1093</v>
      </c>
      <c r="G1238" s="223" t="s">
        <v>1219</v>
      </c>
    </row>
    <row r="1239" spans="1:7" x14ac:dyDescent="0.3">
      <c r="A1239" s="223">
        <v>1238</v>
      </c>
      <c r="B1239" s="223" t="s">
        <v>1130</v>
      </c>
      <c r="C1239" s="223" t="s">
        <v>9</v>
      </c>
      <c r="D1239" s="223" t="s">
        <v>1223</v>
      </c>
      <c r="E1239" s="223" t="s">
        <v>21</v>
      </c>
      <c r="F1239" s="223" t="s">
        <v>27</v>
      </c>
      <c r="G1239" s="223" t="s">
        <v>1219</v>
      </c>
    </row>
    <row r="1240" spans="1:7" x14ac:dyDescent="0.3">
      <c r="A1240" s="223">
        <v>1239</v>
      </c>
      <c r="B1240" s="223" t="s">
        <v>1130</v>
      </c>
      <c r="C1240" s="223" t="s">
        <v>9</v>
      </c>
      <c r="D1240" s="223" t="s">
        <v>1223</v>
      </c>
      <c r="E1240" s="223" t="s">
        <v>21</v>
      </c>
      <c r="F1240" s="223" t="s">
        <v>1096</v>
      </c>
      <c r="G1240" s="223" t="s">
        <v>1219</v>
      </c>
    </row>
    <row r="1241" spans="1:7" x14ac:dyDescent="0.3">
      <c r="A1241" s="223">
        <v>1240</v>
      </c>
      <c r="B1241" s="223" t="s">
        <v>1130</v>
      </c>
      <c r="C1241" s="223" t="s">
        <v>9</v>
      </c>
      <c r="D1241" s="223" t="s">
        <v>1223</v>
      </c>
      <c r="E1241" s="223" t="s">
        <v>21</v>
      </c>
      <c r="F1241" s="223" t="s">
        <v>1090</v>
      </c>
      <c r="G1241" s="223" t="s">
        <v>1219</v>
      </c>
    </row>
    <row r="1242" spans="1:7" x14ac:dyDescent="0.3">
      <c r="A1242" s="223">
        <v>1241</v>
      </c>
      <c r="B1242" s="223" t="s">
        <v>1130</v>
      </c>
      <c r="C1242" s="223" t="s">
        <v>9</v>
      </c>
      <c r="D1242" s="223" t="s">
        <v>12</v>
      </c>
      <c r="E1242" s="223" t="s">
        <v>1087</v>
      </c>
      <c r="F1242" s="223" t="s">
        <v>1093</v>
      </c>
      <c r="G1242" s="223" t="s">
        <v>1219</v>
      </c>
    </row>
    <row r="1243" spans="1:7" x14ac:dyDescent="0.3">
      <c r="A1243" s="223">
        <v>1242</v>
      </c>
      <c r="B1243" s="223" t="s">
        <v>1130</v>
      </c>
      <c r="C1243" s="223" t="s">
        <v>9</v>
      </c>
      <c r="D1243" s="223" t="s">
        <v>12</v>
      </c>
      <c r="E1243" s="223" t="s">
        <v>1087</v>
      </c>
      <c r="F1243" s="223" t="s">
        <v>27</v>
      </c>
      <c r="G1243" s="223" t="s">
        <v>1219</v>
      </c>
    </row>
    <row r="1244" spans="1:7" x14ac:dyDescent="0.3">
      <c r="A1244" s="223">
        <v>1243</v>
      </c>
      <c r="B1244" s="223" t="s">
        <v>1130</v>
      </c>
      <c r="C1244" s="223" t="s">
        <v>9</v>
      </c>
      <c r="D1244" s="223" t="s">
        <v>12</v>
      </c>
      <c r="E1244" s="223" t="s">
        <v>1087</v>
      </c>
      <c r="F1244" s="223" t="s">
        <v>1096</v>
      </c>
      <c r="G1244" s="223" t="s">
        <v>1219</v>
      </c>
    </row>
    <row r="1245" spans="1:7" x14ac:dyDescent="0.3">
      <c r="A1245" s="223">
        <v>1244</v>
      </c>
      <c r="B1245" s="223" t="s">
        <v>1130</v>
      </c>
      <c r="C1245" s="223" t="s">
        <v>9</v>
      </c>
      <c r="D1245" s="223" t="s">
        <v>12</v>
      </c>
      <c r="E1245" s="223" t="s">
        <v>1087</v>
      </c>
      <c r="F1245" s="223" t="s">
        <v>1090</v>
      </c>
      <c r="G1245" s="223" t="s">
        <v>1219</v>
      </c>
    </row>
    <row r="1246" spans="1:7" x14ac:dyDescent="0.3">
      <c r="A1246" s="223">
        <v>1245</v>
      </c>
      <c r="B1246" s="223" t="s">
        <v>1130</v>
      </c>
      <c r="C1246" s="223" t="s">
        <v>9</v>
      </c>
      <c r="D1246" s="223" t="s">
        <v>12</v>
      </c>
      <c r="E1246" s="223" t="s">
        <v>21</v>
      </c>
      <c r="F1246" s="223" t="s">
        <v>1093</v>
      </c>
      <c r="G1246" s="223" t="s">
        <v>1219</v>
      </c>
    </row>
    <row r="1247" spans="1:7" x14ac:dyDescent="0.3">
      <c r="A1247" s="223">
        <v>1246</v>
      </c>
      <c r="B1247" s="223" t="s">
        <v>1130</v>
      </c>
      <c r="C1247" s="223" t="s">
        <v>9</v>
      </c>
      <c r="D1247" s="223" t="s">
        <v>12</v>
      </c>
      <c r="E1247" s="223" t="s">
        <v>21</v>
      </c>
      <c r="F1247" s="223" t="s">
        <v>27</v>
      </c>
      <c r="G1247" s="223" t="s">
        <v>1219</v>
      </c>
    </row>
    <row r="1248" spans="1:7" x14ac:dyDescent="0.3">
      <c r="A1248" s="223">
        <v>1247</v>
      </c>
      <c r="B1248" s="223" t="s">
        <v>1130</v>
      </c>
      <c r="C1248" s="223" t="s">
        <v>9</v>
      </c>
      <c r="D1248" s="223" t="s">
        <v>12</v>
      </c>
      <c r="E1248" s="223" t="s">
        <v>21</v>
      </c>
      <c r="F1248" s="223" t="s">
        <v>1096</v>
      </c>
      <c r="G1248" s="223" t="s">
        <v>1219</v>
      </c>
    </row>
    <row r="1249" spans="1:7" x14ac:dyDescent="0.3">
      <c r="A1249" s="223">
        <v>1248</v>
      </c>
      <c r="B1249" s="223" t="s">
        <v>1130</v>
      </c>
      <c r="C1249" s="223" t="s">
        <v>9</v>
      </c>
      <c r="D1249" s="223" t="s">
        <v>12</v>
      </c>
      <c r="E1249" s="223" t="s">
        <v>21</v>
      </c>
      <c r="F1249" s="223" t="s">
        <v>1090</v>
      </c>
      <c r="G1249" s="223" t="s">
        <v>1219</v>
      </c>
    </row>
    <row r="1250" spans="1:7" x14ac:dyDescent="0.3">
      <c r="A1250" s="223">
        <v>1249</v>
      </c>
      <c r="B1250" s="223" t="s">
        <v>1130</v>
      </c>
      <c r="C1250" s="223" t="s">
        <v>1227</v>
      </c>
      <c r="D1250" s="223" t="s">
        <v>1218</v>
      </c>
      <c r="E1250" s="223" t="s">
        <v>1087</v>
      </c>
      <c r="F1250" s="223" t="s">
        <v>1093</v>
      </c>
      <c r="G1250" s="223" t="s">
        <v>1219</v>
      </c>
    </row>
    <row r="1251" spans="1:7" x14ac:dyDescent="0.3">
      <c r="A1251" s="223">
        <v>1250</v>
      </c>
      <c r="B1251" s="223" t="s">
        <v>1130</v>
      </c>
      <c r="C1251" s="223" t="s">
        <v>1227</v>
      </c>
      <c r="D1251" s="223" t="s">
        <v>1218</v>
      </c>
      <c r="E1251" s="223" t="s">
        <v>1087</v>
      </c>
      <c r="F1251" s="223" t="s">
        <v>27</v>
      </c>
      <c r="G1251" s="223" t="s">
        <v>1219</v>
      </c>
    </row>
    <row r="1252" spans="1:7" x14ac:dyDescent="0.3">
      <c r="A1252" s="223">
        <v>1251</v>
      </c>
      <c r="B1252" s="223" t="s">
        <v>1130</v>
      </c>
      <c r="C1252" s="223" t="s">
        <v>1227</v>
      </c>
      <c r="D1252" s="223" t="s">
        <v>1218</v>
      </c>
      <c r="E1252" s="223" t="s">
        <v>1087</v>
      </c>
      <c r="F1252" s="223" t="s">
        <v>1096</v>
      </c>
      <c r="G1252" s="223" t="s">
        <v>1219</v>
      </c>
    </row>
    <row r="1253" spans="1:7" x14ac:dyDescent="0.3">
      <c r="A1253" s="223">
        <v>1252</v>
      </c>
      <c r="B1253" s="223" t="s">
        <v>1130</v>
      </c>
      <c r="C1253" s="223" t="s">
        <v>1227</v>
      </c>
      <c r="D1253" s="223" t="s">
        <v>1218</v>
      </c>
      <c r="E1253" s="223" t="s">
        <v>1087</v>
      </c>
      <c r="F1253" s="223" t="s">
        <v>1090</v>
      </c>
      <c r="G1253" s="223" t="s">
        <v>1219</v>
      </c>
    </row>
    <row r="1254" spans="1:7" x14ac:dyDescent="0.3">
      <c r="A1254" s="223">
        <v>1253</v>
      </c>
      <c r="B1254" s="223" t="s">
        <v>1130</v>
      </c>
      <c r="C1254" s="223" t="s">
        <v>1227</v>
      </c>
      <c r="D1254" s="223" t="s">
        <v>1218</v>
      </c>
      <c r="E1254" s="223" t="s">
        <v>21</v>
      </c>
      <c r="F1254" s="223" t="s">
        <v>1093</v>
      </c>
      <c r="G1254" s="223" t="s">
        <v>1219</v>
      </c>
    </row>
    <row r="1255" spans="1:7" x14ac:dyDescent="0.3">
      <c r="A1255" s="223">
        <v>1254</v>
      </c>
      <c r="B1255" s="223" t="s">
        <v>1130</v>
      </c>
      <c r="C1255" s="223" t="s">
        <v>1227</v>
      </c>
      <c r="D1255" s="223" t="s">
        <v>1218</v>
      </c>
      <c r="E1255" s="223" t="s">
        <v>21</v>
      </c>
      <c r="F1255" s="223" t="s">
        <v>27</v>
      </c>
      <c r="G1255" s="223" t="s">
        <v>1219</v>
      </c>
    </row>
    <row r="1256" spans="1:7" x14ac:dyDescent="0.3">
      <c r="A1256" s="223">
        <v>1255</v>
      </c>
      <c r="B1256" s="223" t="s">
        <v>1130</v>
      </c>
      <c r="C1256" s="223" t="s">
        <v>1227</v>
      </c>
      <c r="D1256" s="223" t="s">
        <v>1218</v>
      </c>
      <c r="E1256" s="223" t="s">
        <v>21</v>
      </c>
      <c r="F1256" s="223" t="s">
        <v>1096</v>
      </c>
      <c r="G1256" s="223" t="s">
        <v>1219</v>
      </c>
    </row>
    <row r="1257" spans="1:7" x14ac:dyDescent="0.3">
      <c r="A1257" s="223">
        <v>1256</v>
      </c>
      <c r="B1257" s="223" t="s">
        <v>1130</v>
      </c>
      <c r="C1257" s="223" t="s">
        <v>1227</v>
      </c>
      <c r="D1257" s="223" t="s">
        <v>1218</v>
      </c>
      <c r="E1257" s="223" t="s">
        <v>21</v>
      </c>
      <c r="F1257" s="223" t="s">
        <v>1090</v>
      </c>
      <c r="G1257" s="223" t="s">
        <v>1219</v>
      </c>
    </row>
    <row r="1258" spans="1:7" x14ac:dyDescent="0.3">
      <c r="A1258" s="223">
        <v>1257</v>
      </c>
      <c r="B1258" s="223" t="s">
        <v>1130</v>
      </c>
      <c r="C1258" s="223" t="s">
        <v>1227</v>
      </c>
      <c r="D1258" s="223" t="s">
        <v>1220</v>
      </c>
      <c r="E1258" s="223" t="s">
        <v>1087</v>
      </c>
      <c r="F1258" s="223" t="s">
        <v>1093</v>
      </c>
      <c r="G1258" s="223" t="s">
        <v>1219</v>
      </c>
    </row>
    <row r="1259" spans="1:7" x14ac:dyDescent="0.3">
      <c r="A1259" s="223">
        <v>1258</v>
      </c>
      <c r="B1259" s="223" t="s">
        <v>1130</v>
      </c>
      <c r="C1259" s="223" t="s">
        <v>1227</v>
      </c>
      <c r="D1259" s="223" t="s">
        <v>1220</v>
      </c>
      <c r="E1259" s="223" t="s">
        <v>1087</v>
      </c>
      <c r="F1259" s="223" t="s">
        <v>27</v>
      </c>
      <c r="G1259" s="223" t="s">
        <v>1219</v>
      </c>
    </row>
    <row r="1260" spans="1:7" x14ac:dyDescent="0.3">
      <c r="A1260" s="223">
        <v>1259</v>
      </c>
      <c r="B1260" s="223" t="s">
        <v>1130</v>
      </c>
      <c r="C1260" s="223" t="s">
        <v>1227</v>
      </c>
      <c r="D1260" s="223" t="s">
        <v>1220</v>
      </c>
      <c r="E1260" s="223" t="s">
        <v>1087</v>
      </c>
      <c r="F1260" s="223" t="s">
        <v>1096</v>
      </c>
      <c r="G1260" s="223" t="s">
        <v>1219</v>
      </c>
    </row>
    <row r="1261" spans="1:7" x14ac:dyDescent="0.3">
      <c r="A1261" s="223">
        <v>1260</v>
      </c>
      <c r="B1261" s="223" t="s">
        <v>1130</v>
      </c>
      <c r="C1261" s="223" t="s">
        <v>1227</v>
      </c>
      <c r="D1261" s="223" t="s">
        <v>1220</v>
      </c>
      <c r="E1261" s="223" t="s">
        <v>1087</v>
      </c>
      <c r="F1261" s="223" t="s">
        <v>1090</v>
      </c>
      <c r="G1261" s="223" t="s">
        <v>1219</v>
      </c>
    </row>
    <row r="1262" spans="1:7" x14ac:dyDescent="0.3">
      <c r="A1262" s="223">
        <v>1261</v>
      </c>
      <c r="B1262" s="223" t="s">
        <v>1130</v>
      </c>
      <c r="C1262" s="223" t="s">
        <v>1227</v>
      </c>
      <c r="D1262" s="223" t="s">
        <v>1220</v>
      </c>
      <c r="E1262" s="223" t="s">
        <v>21</v>
      </c>
      <c r="F1262" s="223" t="s">
        <v>1093</v>
      </c>
      <c r="G1262" s="223" t="s">
        <v>1219</v>
      </c>
    </row>
    <row r="1263" spans="1:7" x14ac:dyDescent="0.3">
      <c r="A1263" s="223">
        <v>1262</v>
      </c>
      <c r="B1263" s="223" t="s">
        <v>1130</v>
      </c>
      <c r="C1263" s="223" t="s">
        <v>1227</v>
      </c>
      <c r="D1263" s="223" t="s">
        <v>1220</v>
      </c>
      <c r="E1263" s="223" t="s">
        <v>21</v>
      </c>
      <c r="F1263" s="223" t="s">
        <v>27</v>
      </c>
      <c r="G1263" s="223" t="s">
        <v>1219</v>
      </c>
    </row>
    <row r="1264" spans="1:7" x14ac:dyDescent="0.3">
      <c r="A1264" s="223">
        <v>1263</v>
      </c>
      <c r="B1264" s="223" t="s">
        <v>1130</v>
      </c>
      <c r="C1264" s="223" t="s">
        <v>1227</v>
      </c>
      <c r="D1264" s="223" t="s">
        <v>1220</v>
      </c>
      <c r="E1264" s="223" t="s">
        <v>21</v>
      </c>
      <c r="F1264" s="223" t="s">
        <v>1096</v>
      </c>
      <c r="G1264" s="223" t="s">
        <v>1219</v>
      </c>
    </row>
    <row r="1265" spans="1:7" x14ac:dyDescent="0.3">
      <c r="A1265" s="223">
        <v>1264</v>
      </c>
      <c r="B1265" s="223" t="s">
        <v>1130</v>
      </c>
      <c r="C1265" s="223" t="s">
        <v>1227</v>
      </c>
      <c r="D1265" s="223" t="s">
        <v>1220</v>
      </c>
      <c r="E1265" s="223" t="s">
        <v>21</v>
      </c>
      <c r="F1265" s="223" t="s">
        <v>1090</v>
      </c>
      <c r="G1265" s="223" t="s">
        <v>1219</v>
      </c>
    </row>
    <row r="1266" spans="1:7" x14ac:dyDescent="0.3">
      <c r="A1266" s="223">
        <v>1265</v>
      </c>
      <c r="B1266" s="223" t="s">
        <v>1130</v>
      </c>
      <c r="C1266" s="223" t="s">
        <v>1227</v>
      </c>
      <c r="D1266" s="223" t="s">
        <v>1221</v>
      </c>
      <c r="E1266" s="223" t="s">
        <v>1087</v>
      </c>
      <c r="F1266" s="223" t="s">
        <v>1093</v>
      </c>
      <c r="G1266" s="223" t="s">
        <v>1219</v>
      </c>
    </row>
    <row r="1267" spans="1:7" x14ac:dyDescent="0.3">
      <c r="A1267" s="223">
        <v>1266</v>
      </c>
      <c r="B1267" s="223" t="s">
        <v>1130</v>
      </c>
      <c r="C1267" s="223" t="s">
        <v>1227</v>
      </c>
      <c r="D1267" s="223" t="s">
        <v>1221</v>
      </c>
      <c r="E1267" s="223" t="s">
        <v>1087</v>
      </c>
      <c r="F1267" s="223" t="s">
        <v>27</v>
      </c>
      <c r="G1267" s="223" t="s">
        <v>1219</v>
      </c>
    </row>
    <row r="1268" spans="1:7" x14ac:dyDescent="0.3">
      <c r="A1268" s="223">
        <v>1267</v>
      </c>
      <c r="B1268" s="223" t="s">
        <v>1130</v>
      </c>
      <c r="C1268" s="223" t="s">
        <v>1227</v>
      </c>
      <c r="D1268" s="223" t="s">
        <v>1221</v>
      </c>
      <c r="E1268" s="223" t="s">
        <v>1087</v>
      </c>
      <c r="F1268" s="223" t="s">
        <v>1096</v>
      </c>
      <c r="G1268" s="223" t="s">
        <v>1219</v>
      </c>
    </row>
    <row r="1269" spans="1:7" x14ac:dyDescent="0.3">
      <c r="A1269" s="223">
        <v>1268</v>
      </c>
      <c r="B1269" s="223" t="s">
        <v>1130</v>
      </c>
      <c r="C1269" s="223" t="s">
        <v>1227</v>
      </c>
      <c r="D1269" s="223" t="s">
        <v>1221</v>
      </c>
      <c r="E1269" s="223" t="s">
        <v>1087</v>
      </c>
      <c r="F1269" s="223" t="s">
        <v>1090</v>
      </c>
      <c r="G1269" s="223" t="s">
        <v>1219</v>
      </c>
    </row>
    <row r="1270" spans="1:7" x14ac:dyDescent="0.3">
      <c r="A1270" s="223">
        <v>1269</v>
      </c>
      <c r="B1270" s="223" t="s">
        <v>1130</v>
      </c>
      <c r="C1270" s="223" t="s">
        <v>1227</v>
      </c>
      <c r="D1270" s="223" t="s">
        <v>1221</v>
      </c>
      <c r="E1270" s="223" t="s">
        <v>21</v>
      </c>
      <c r="F1270" s="223" t="s">
        <v>1093</v>
      </c>
      <c r="G1270" s="223" t="s">
        <v>1219</v>
      </c>
    </row>
    <row r="1271" spans="1:7" x14ac:dyDescent="0.3">
      <c r="A1271" s="223">
        <v>1270</v>
      </c>
      <c r="B1271" s="223" t="s">
        <v>1130</v>
      </c>
      <c r="C1271" s="223" t="s">
        <v>1227</v>
      </c>
      <c r="D1271" s="223" t="s">
        <v>1221</v>
      </c>
      <c r="E1271" s="223" t="s">
        <v>21</v>
      </c>
      <c r="F1271" s="223" t="s">
        <v>27</v>
      </c>
      <c r="G1271" s="223" t="s">
        <v>1219</v>
      </c>
    </row>
    <row r="1272" spans="1:7" x14ac:dyDescent="0.3">
      <c r="A1272" s="223">
        <v>1271</v>
      </c>
      <c r="B1272" s="223" t="s">
        <v>1130</v>
      </c>
      <c r="C1272" s="223" t="s">
        <v>1227</v>
      </c>
      <c r="D1272" s="223" t="s">
        <v>1221</v>
      </c>
      <c r="E1272" s="223" t="s">
        <v>21</v>
      </c>
      <c r="F1272" s="223" t="s">
        <v>1096</v>
      </c>
      <c r="G1272" s="223" t="s">
        <v>1219</v>
      </c>
    </row>
    <row r="1273" spans="1:7" x14ac:dyDescent="0.3">
      <c r="A1273" s="223">
        <v>1272</v>
      </c>
      <c r="B1273" s="223" t="s">
        <v>1130</v>
      </c>
      <c r="C1273" s="223" t="s">
        <v>1227</v>
      </c>
      <c r="D1273" s="223" t="s">
        <v>1221</v>
      </c>
      <c r="E1273" s="223" t="s">
        <v>21</v>
      </c>
      <c r="F1273" s="223" t="s">
        <v>1090</v>
      </c>
      <c r="G1273" s="223" t="s">
        <v>1219</v>
      </c>
    </row>
    <row r="1274" spans="1:7" x14ac:dyDescent="0.3">
      <c r="A1274" s="223">
        <v>1273</v>
      </c>
      <c r="B1274" s="223" t="s">
        <v>1130</v>
      </c>
      <c r="C1274" s="223" t="s">
        <v>1227</v>
      </c>
      <c r="D1274" s="223" t="s">
        <v>1222</v>
      </c>
      <c r="E1274" s="223" t="s">
        <v>1087</v>
      </c>
      <c r="F1274" s="223" t="s">
        <v>1093</v>
      </c>
      <c r="G1274" s="223" t="s">
        <v>1219</v>
      </c>
    </row>
    <row r="1275" spans="1:7" x14ac:dyDescent="0.3">
      <c r="A1275" s="223">
        <v>1274</v>
      </c>
      <c r="B1275" s="223" t="s">
        <v>1130</v>
      </c>
      <c r="C1275" s="223" t="s">
        <v>1227</v>
      </c>
      <c r="D1275" s="223" t="s">
        <v>1222</v>
      </c>
      <c r="E1275" s="223" t="s">
        <v>1087</v>
      </c>
      <c r="F1275" s="223" t="s">
        <v>27</v>
      </c>
      <c r="G1275" s="223" t="s">
        <v>1219</v>
      </c>
    </row>
    <row r="1276" spans="1:7" x14ac:dyDescent="0.3">
      <c r="A1276" s="223">
        <v>1275</v>
      </c>
      <c r="B1276" s="223" t="s">
        <v>1130</v>
      </c>
      <c r="C1276" s="223" t="s">
        <v>1227</v>
      </c>
      <c r="D1276" s="223" t="s">
        <v>1222</v>
      </c>
      <c r="E1276" s="223" t="s">
        <v>1087</v>
      </c>
      <c r="F1276" s="223" t="s">
        <v>1096</v>
      </c>
      <c r="G1276" s="223" t="s">
        <v>1219</v>
      </c>
    </row>
    <row r="1277" spans="1:7" x14ac:dyDescent="0.3">
      <c r="A1277" s="223">
        <v>1276</v>
      </c>
      <c r="B1277" s="223" t="s">
        <v>1130</v>
      </c>
      <c r="C1277" s="223" t="s">
        <v>1227</v>
      </c>
      <c r="D1277" s="223" t="s">
        <v>1222</v>
      </c>
      <c r="E1277" s="223" t="s">
        <v>1087</v>
      </c>
      <c r="F1277" s="223" t="s">
        <v>1090</v>
      </c>
      <c r="G1277" s="223" t="s">
        <v>1219</v>
      </c>
    </row>
    <row r="1278" spans="1:7" x14ac:dyDescent="0.3">
      <c r="A1278" s="223">
        <v>1277</v>
      </c>
      <c r="B1278" s="223" t="s">
        <v>1130</v>
      </c>
      <c r="C1278" s="223" t="s">
        <v>1227</v>
      </c>
      <c r="D1278" s="223" t="s">
        <v>1222</v>
      </c>
      <c r="E1278" s="223" t="s">
        <v>21</v>
      </c>
      <c r="F1278" s="223" t="s">
        <v>1093</v>
      </c>
      <c r="G1278" s="223" t="s">
        <v>1219</v>
      </c>
    </row>
    <row r="1279" spans="1:7" x14ac:dyDescent="0.3">
      <c r="A1279" s="223">
        <v>1278</v>
      </c>
      <c r="B1279" s="223" t="s">
        <v>1130</v>
      </c>
      <c r="C1279" s="223" t="s">
        <v>1227</v>
      </c>
      <c r="D1279" s="223" t="s">
        <v>1222</v>
      </c>
      <c r="E1279" s="223" t="s">
        <v>21</v>
      </c>
      <c r="F1279" s="223" t="s">
        <v>27</v>
      </c>
      <c r="G1279" s="223" t="s">
        <v>1219</v>
      </c>
    </row>
    <row r="1280" spans="1:7" x14ac:dyDescent="0.3">
      <c r="A1280" s="223">
        <v>1279</v>
      </c>
      <c r="B1280" s="223" t="s">
        <v>1130</v>
      </c>
      <c r="C1280" s="223" t="s">
        <v>1227</v>
      </c>
      <c r="D1280" s="223" t="s">
        <v>1222</v>
      </c>
      <c r="E1280" s="223" t="s">
        <v>21</v>
      </c>
      <c r="F1280" s="223" t="s">
        <v>1096</v>
      </c>
      <c r="G1280" s="223" t="s">
        <v>1219</v>
      </c>
    </row>
    <row r="1281" spans="1:7" x14ac:dyDescent="0.3">
      <c r="A1281" s="223">
        <v>1280</v>
      </c>
      <c r="B1281" s="223" t="s">
        <v>1130</v>
      </c>
      <c r="C1281" s="223" t="s">
        <v>1227</v>
      </c>
      <c r="D1281" s="223" t="s">
        <v>1222</v>
      </c>
      <c r="E1281" s="223" t="s">
        <v>21</v>
      </c>
      <c r="F1281" s="223" t="s">
        <v>1090</v>
      </c>
      <c r="G1281" s="223" t="s">
        <v>1219</v>
      </c>
    </row>
    <row r="1282" spans="1:7" x14ac:dyDescent="0.3">
      <c r="A1282" s="223">
        <v>1281</v>
      </c>
      <c r="B1282" s="223" t="s">
        <v>1130</v>
      </c>
      <c r="C1282" s="223" t="s">
        <v>1227</v>
      </c>
      <c r="D1282" s="223" t="s">
        <v>1223</v>
      </c>
      <c r="E1282" s="223" t="s">
        <v>1087</v>
      </c>
      <c r="F1282" s="223" t="s">
        <v>1093</v>
      </c>
      <c r="G1282" s="223" t="s">
        <v>1219</v>
      </c>
    </row>
    <row r="1283" spans="1:7" x14ac:dyDescent="0.3">
      <c r="A1283" s="223">
        <v>1282</v>
      </c>
      <c r="B1283" s="223" t="s">
        <v>1130</v>
      </c>
      <c r="C1283" s="223" t="s">
        <v>1227</v>
      </c>
      <c r="D1283" s="223" t="s">
        <v>1223</v>
      </c>
      <c r="E1283" s="223" t="s">
        <v>1087</v>
      </c>
      <c r="F1283" s="223" t="s">
        <v>27</v>
      </c>
      <c r="G1283" s="223" t="s">
        <v>1219</v>
      </c>
    </row>
    <row r="1284" spans="1:7" x14ac:dyDescent="0.3">
      <c r="A1284" s="223">
        <v>1283</v>
      </c>
      <c r="B1284" s="223" t="s">
        <v>1130</v>
      </c>
      <c r="C1284" s="223" t="s">
        <v>1227</v>
      </c>
      <c r="D1284" s="223" t="s">
        <v>1223</v>
      </c>
      <c r="E1284" s="223" t="s">
        <v>1087</v>
      </c>
      <c r="F1284" s="223" t="s">
        <v>1096</v>
      </c>
      <c r="G1284" s="223" t="s">
        <v>1219</v>
      </c>
    </row>
    <row r="1285" spans="1:7" x14ac:dyDescent="0.3">
      <c r="A1285" s="223">
        <v>1284</v>
      </c>
      <c r="B1285" s="223" t="s">
        <v>1130</v>
      </c>
      <c r="C1285" s="223" t="s">
        <v>1227</v>
      </c>
      <c r="D1285" s="223" t="s">
        <v>1223</v>
      </c>
      <c r="E1285" s="223" t="s">
        <v>1087</v>
      </c>
      <c r="F1285" s="223" t="s">
        <v>1090</v>
      </c>
      <c r="G1285" s="223" t="s">
        <v>1219</v>
      </c>
    </row>
    <row r="1286" spans="1:7" x14ac:dyDescent="0.3">
      <c r="A1286" s="223">
        <v>1285</v>
      </c>
      <c r="B1286" s="223" t="s">
        <v>1130</v>
      </c>
      <c r="C1286" s="223" t="s">
        <v>1227</v>
      </c>
      <c r="D1286" s="223" t="s">
        <v>1223</v>
      </c>
      <c r="E1286" s="223" t="s">
        <v>21</v>
      </c>
      <c r="F1286" s="223" t="s">
        <v>1093</v>
      </c>
      <c r="G1286" s="223" t="s">
        <v>1219</v>
      </c>
    </row>
    <row r="1287" spans="1:7" x14ac:dyDescent="0.3">
      <c r="A1287" s="223">
        <v>1286</v>
      </c>
      <c r="B1287" s="223" t="s">
        <v>1130</v>
      </c>
      <c r="C1287" s="223" t="s">
        <v>1227</v>
      </c>
      <c r="D1287" s="223" t="s">
        <v>1223</v>
      </c>
      <c r="E1287" s="223" t="s">
        <v>21</v>
      </c>
      <c r="F1287" s="223" t="s">
        <v>27</v>
      </c>
      <c r="G1287" s="223" t="s">
        <v>1219</v>
      </c>
    </row>
    <row r="1288" spans="1:7" x14ac:dyDescent="0.3">
      <c r="A1288" s="223">
        <v>1287</v>
      </c>
      <c r="B1288" s="223" t="s">
        <v>1130</v>
      </c>
      <c r="C1288" s="223" t="s">
        <v>1227</v>
      </c>
      <c r="D1288" s="223" t="s">
        <v>1223</v>
      </c>
      <c r="E1288" s="223" t="s">
        <v>21</v>
      </c>
      <c r="F1288" s="223" t="s">
        <v>1096</v>
      </c>
      <c r="G1288" s="223" t="s">
        <v>1219</v>
      </c>
    </row>
    <row r="1289" spans="1:7" x14ac:dyDescent="0.3">
      <c r="A1289" s="223">
        <v>1288</v>
      </c>
      <c r="B1289" s="223" t="s">
        <v>1130</v>
      </c>
      <c r="C1289" s="223" t="s">
        <v>1227</v>
      </c>
      <c r="D1289" s="223" t="s">
        <v>1223</v>
      </c>
      <c r="E1289" s="223" t="s">
        <v>21</v>
      </c>
      <c r="F1289" s="223" t="s">
        <v>1090</v>
      </c>
      <c r="G1289" s="223" t="s">
        <v>1219</v>
      </c>
    </row>
    <row r="1290" spans="1:7" x14ac:dyDescent="0.3">
      <c r="A1290" s="223">
        <v>1289</v>
      </c>
      <c r="B1290" s="223" t="s">
        <v>1130</v>
      </c>
      <c r="C1290" s="223" t="s">
        <v>1227</v>
      </c>
      <c r="D1290" s="223" t="s">
        <v>12</v>
      </c>
      <c r="E1290" s="223" t="s">
        <v>1087</v>
      </c>
      <c r="F1290" s="223" t="s">
        <v>1093</v>
      </c>
      <c r="G1290" s="223" t="s">
        <v>1219</v>
      </c>
    </row>
    <row r="1291" spans="1:7" x14ac:dyDescent="0.3">
      <c r="A1291" s="223">
        <v>1290</v>
      </c>
      <c r="B1291" s="223" t="s">
        <v>1130</v>
      </c>
      <c r="C1291" s="223" t="s">
        <v>1227</v>
      </c>
      <c r="D1291" s="223" t="s">
        <v>12</v>
      </c>
      <c r="E1291" s="223" t="s">
        <v>1087</v>
      </c>
      <c r="F1291" s="223" t="s">
        <v>27</v>
      </c>
      <c r="G1291" s="223" t="s">
        <v>1219</v>
      </c>
    </row>
    <row r="1292" spans="1:7" x14ac:dyDescent="0.3">
      <c r="A1292" s="223">
        <v>1291</v>
      </c>
      <c r="B1292" s="223" t="s">
        <v>1130</v>
      </c>
      <c r="C1292" s="223" t="s">
        <v>1227</v>
      </c>
      <c r="D1292" s="223" t="s">
        <v>12</v>
      </c>
      <c r="E1292" s="223" t="s">
        <v>1087</v>
      </c>
      <c r="F1292" s="223" t="s">
        <v>1096</v>
      </c>
      <c r="G1292" s="223" t="s">
        <v>1219</v>
      </c>
    </row>
    <row r="1293" spans="1:7" x14ac:dyDescent="0.3">
      <c r="A1293" s="223">
        <v>1292</v>
      </c>
      <c r="B1293" s="223" t="s">
        <v>1130</v>
      </c>
      <c r="C1293" s="223" t="s">
        <v>1227</v>
      </c>
      <c r="D1293" s="223" t="s">
        <v>12</v>
      </c>
      <c r="E1293" s="223" t="s">
        <v>1087</v>
      </c>
      <c r="F1293" s="223" t="s">
        <v>1090</v>
      </c>
      <c r="G1293" s="223" t="s">
        <v>1219</v>
      </c>
    </row>
    <row r="1294" spans="1:7" x14ac:dyDescent="0.3">
      <c r="A1294" s="223">
        <v>1293</v>
      </c>
      <c r="B1294" s="223" t="s">
        <v>1130</v>
      </c>
      <c r="C1294" s="223" t="s">
        <v>1227</v>
      </c>
      <c r="D1294" s="223" t="s">
        <v>12</v>
      </c>
      <c r="E1294" s="223" t="s">
        <v>21</v>
      </c>
      <c r="F1294" s="223" t="s">
        <v>1093</v>
      </c>
      <c r="G1294" s="223" t="s">
        <v>1219</v>
      </c>
    </row>
    <row r="1295" spans="1:7" x14ac:dyDescent="0.3">
      <c r="A1295" s="223">
        <v>1294</v>
      </c>
      <c r="B1295" s="223" t="s">
        <v>1130</v>
      </c>
      <c r="C1295" s="223" t="s">
        <v>1227</v>
      </c>
      <c r="D1295" s="223" t="s">
        <v>12</v>
      </c>
      <c r="E1295" s="223" t="s">
        <v>21</v>
      </c>
      <c r="F1295" s="223" t="s">
        <v>27</v>
      </c>
      <c r="G1295" s="223" t="s">
        <v>1219</v>
      </c>
    </row>
    <row r="1296" spans="1:7" x14ac:dyDescent="0.3">
      <c r="A1296" s="223">
        <v>1295</v>
      </c>
      <c r="B1296" s="223" t="s">
        <v>1130</v>
      </c>
      <c r="C1296" s="223" t="s">
        <v>1227</v>
      </c>
      <c r="D1296" s="223" t="s">
        <v>12</v>
      </c>
      <c r="E1296" s="223" t="s">
        <v>21</v>
      </c>
      <c r="F1296" s="223" t="s">
        <v>1096</v>
      </c>
      <c r="G1296" s="223" t="s">
        <v>1219</v>
      </c>
    </row>
    <row r="1297" spans="1:7" x14ac:dyDescent="0.3">
      <c r="A1297" s="223">
        <v>1296</v>
      </c>
      <c r="B1297" s="223" t="s">
        <v>1130</v>
      </c>
      <c r="C1297" s="223" t="s">
        <v>1227</v>
      </c>
      <c r="D1297" s="223" t="s">
        <v>12</v>
      </c>
      <c r="E1297" s="223" t="s">
        <v>21</v>
      </c>
      <c r="F1297" s="223" t="s">
        <v>1090</v>
      </c>
      <c r="G1297" s="223" t="s">
        <v>1219</v>
      </c>
    </row>
    <row r="1298" spans="1:7" x14ac:dyDescent="0.3">
      <c r="A1298" s="223">
        <v>1297</v>
      </c>
      <c r="B1298" s="223" t="s">
        <v>1130</v>
      </c>
      <c r="C1298" s="223" t="s">
        <v>1228</v>
      </c>
      <c r="D1298" s="223" t="s">
        <v>1218</v>
      </c>
      <c r="E1298" s="223" t="s">
        <v>1087</v>
      </c>
      <c r="F1298" s="223" t="s">
        <v>1093</v>
      </c>
      <c r="G1298" s="223" t="s">
        <v>1219</v>
      </c>
    </row>
    <row r="1299" spans="1:7" x14ac:dyDescent="0.3">
      <c r="A1299" s="223">
        <v>1298</v>
      </c>
      <c r="B1299" s="223" t="s">
        <v>1130</v>
      </c>
      <c r="C1299" s="223" t="s">
        <v>1228</v>
      </c>
      <c r="D1299" s="223" t="s">
        <v>1218</v>
      </c>
      <c r="E1299" s="223" t="s">
        <v>1087</v>
      </c>
      <c r="F1299" s="223" t="s">
        <v>27</v>
      </c>
      <c r="G1299" s="223" t="s">
        <v>1219</v>
      </c>
    </row>
    <row r="1300" spans="1:7" x14ac:dyDescent="0.3">
      <c r="A1300" s="223">
        <v>1299</v>
      </c>
      <c r="B1300" s="223" t="s">
        <v>1130</v>
      </c>
      <c r="C1300" s="223" t="s">
        <v>1228</v>
      </c>
      <c r="D1300" s="223" t="s">
        <v>1218</v>
      </c>
      <c r="E1300" s="223" t="s">
        <v>1087</v>
      </c>
      <c r="F1300" s="223" t="s">
        <v>1096</v>
      </c>
      <c r="G1300" s="223" t="s">
        <v>1219</v>
      </c>
    </row>
    <row r="1301" spans="1:7" x14ac:dyDescent="0.3">
      <c r="A1301" s="223">
        <v>1300</v>
      </c>
      <c r="B1301" s="223" t="s">
        <v>1130</v>
      </c>
      <c r="C1301" s="223" t="s">
        <v>1228</v>
      </c>
      <c r="D1301" s="223" t="s">
        <v>1218</v>
      </c>
      <c r="E1301" s="223" t="s">
        <v>1087</v>
      </c>
      <c r="F1301" s="223" t="s">
        <v>1090</v>
      </c>
      <c r="G1301" s="223" t="s">
        <v>1219</v>
      </c>
    </row>
    <row r="1302" spans="1:7" x14ac:dyDescent="0.3">
      <c r="A1302" s="223">
        <v>1301</v>
      </c>
      <c r="B1302" s="223" t="s">
        <v>1130</v>
      </c>
      <c r="C1302" s="223" t="s">
        <v>1228</v>
      </c>
      <c r="D1302" s="223" t="s">
        <v>1218</v>
      </c>
      <c r="E1302" s="223" t="s">
        <v>21</v>
      </c>
      <c r="F1302" s="223" t="s">
        <v>1093</v>
      </c>
      <c r="G1302" s="223" t="s">
        <v>1219</v>
      </c>
    </row>
    <row r="1303" spans="1:7" x14ac:dyDescent="0.3">
      <c r="A1303" s="223">
        <v>1302</v>
      </c>
      <c r="B1303" s="223" t="s">
        <v>1130</v>
      </c>
      <c r="C1303" s="223" t="s">
        <v>1228</v>
      </c>
      <c r="D1303" s="223" t="s">
        <v>1218</v>
      </c>
      <c r="E1303" s="223" t="s">
        <v>21</v>
      </c>
      <c r="F1303" s="223" t="s">
        <v>27</v>
      </c>
      <c r="G1303" s="223" t="s">
        <v>1219</v>
      </c>
    </row>
    <row r="1304" spans="1:7" x14ac:dyDescent="0.3">
      <c r="A1304" s="223">
        <v>1303</v>
      </c>
      <c r="B1304" s="223" t="s">
        <v>1130</v>
      </c>
      <c r="C1304" s="223" t="s">
        <v>1228</v>
      </c>
      <c r="D1304" s="223" t="s">
        <v>1218</v>
      </c>
      <c r="E1304" s="223" t="s">
        <v>21</v>
      </c>
      <c r="F1304" s="223" t="s">
        <v>1096</v>
      </c>
      <c r="G1304" s="223" t="s">
        <v>1219</v>
      </c>
    </row>
    <row r="1305" spans="1:7" x14ac:dyDescent="0.3">
      <c r="A1305" s="223">
        <v>1304</v>
      </c>
      <c r="B1305" s="223" t="s">
        <v>1130</v>
      </c>
      <c r="C1305" s="223" t="s">
        <v>1228</v>
      </c>
      <c r="D1305" s="223" t="s">
        <v>1218</v>
      </c>
      <c r="E1305" s="223" t="s">
        <v>21</v>
      </c>
      <c r="F1305" s="223" t="s">
        <v>1090</v>
      </c>
      <c r="G1305" s="223" t="s">
        <v>1219</v>
      </c>
    </row>
    <row r="1306" spans="1:7" x14ac:dyDescent="0.3">
      <c r="A1306" s="223">
        <v>1305</v>
      </c>
      <c r="B1306" s="223" t="s">
        <v>1130</v>
      </c>
      <c r="C1306" s="223" t="s">
        <v>1228</v>
      </c>
      <c r="D1306" s="223" t="s">
        <v>1220</v>
      </c>
      <c r="E1306" s="223" t="s">
        <v>1087</v>
      </c>
      <c r="F1306" s="223" t="s">
        <v>1093</v>
      </c>
      <c r="G1306" s="223" t="s">
        <v>1219</v>
      </c>
    </row>
    <row r="1307" spans="1:7" x14ac:dyDescent="0.3">
      <c r="A1307" s="223">
        <v>1306</v>
      </c>
      <c r="B1307" s="223" t="s">
        <v>1130</v>
      </c>
      <c r="C1307" s="223" t="s">
        <v>1228</v>
      </c>
      <c r="D1307" s="223" t="s">
        <v>1220</v>
      </c>
      <c r="E1307" s="223" t="s">
        <v>1087</v>
      </c>
      <c r="F1307" s="223" t="s">
        <v>27</v>
      </c>
      <c r="G1307" s="223" t="s">
        <v>1219</v>
      </c>
    </row>
    <row r="1308" spans="1:7" x14ac:dyDescent="0.3">
      <c r="A1308" s="223">
        <v>1307</v>
      </c>
      <c r="B1308" s="223" t="s">
        <v>1130</v>
      </c>
      <c r="C1308" s="223" t="s">
        <v>1228</v>
      </c>
      <c r="D1308" s="223" t="s">
        <v>1220</v>
      </c>
      <c r="E1308" s="223" t="s">
        <v>1087</v>
      </c>
      <c r="F1308" s="223" t="s">
        <v>1096</v>
      </c>
      <c r="G1308" s="223" t="s">
        <v>1219</v>
      </c>
    </row>
    <row r="1309" spans="1:7" x14ac:dyDescent="0.3">
      <c r="A1309" s="223">
        <v>1308</v>
      </c>
      <c r="B1309" s="223" t="s">
        <v>1130</v>
      </c>
      <c r="C1309" s="223" t="s">
        <v>1228</v>
      </c>
      <c r="D1309" s="223" t="s">
        <v>1220</v>
      </c>
      <c r="E1309" s="223" t="s">
        <v>1087</v>
      </c>
      <c r="F1309" s="223" t="s">
        <v>1090</v>
      </c>
      <c r="G1309" s="223" t="s">
        <v>1219</v>
      </c>
    </row>
    <row r="1310" spans="1:7" x14ac:dyDescent="0.3">
      <c r="A1310" s="223">
        <v>1309</v>
      </c>
      <c r="B1310" s="223" t="s">
        <v>1130</v>
      </c>
      <c r="C1310" s="223" t="s">
        <v>1228</v>
      </c>
      <c r="D1310" s="223" t="s">
        <v>1220</v>
      </c>
      <c r="E1310" s="223" t="s">
        <v>21</v>
      </c>
      <c r="F1310" s="223" t="s">
        <v>1093</v>
      </c>
      <c r="G1310" s="223" t="s">
        <v>1219</v>
      </c>
    </row>
    <row r="1311" spans="1:7" x14ac:dyDescent="0.3">
      <c r="A1311" s="223">
        <v>1310</v>
      </c>
      <c r="B1311" s="223" t="s">
        <v>1130</v>
      </c>
      <c r="C1311" s="223" t="s">
        <v>1228</v>
      </c>
      <c r="D1311" s="223" t="s">
        <v>1220</v>
      </c>
      <c r="E1311" s="223" t="s">
        <v>21</v>
      </c>
      <c r="F1311" s="223" t="s">
        <v>27</v>
      </c>
      <c r="G1311" s="223" t="s">
        <v>1219</v>
      </c>
    </row>
    <row r="1312" spans="1:7" x14ac:dyDescent="0.3">
      <c r="A1312" s="223">
        <v>1311</v>
      </c>
      <c r="B1312" s="223" t="s">
        <v>1130</v>
      </c>
      <c r="C1312" s="223" t="s">
        <v>1228</v>
      </c>
      <c r="D1312" s="223" t="s">
        <v>1220</v>
      </c>
      <c r="E1312" s="223" t="s">
        <v>21</v>
      </c>
      <c r="F1312" s="223" t="s">
        <v>1096</v>
      </c>
      <c r="G1312" s="223" t="s">
        <v>1219</v>
      </c>
    </row>
    <row r="1313" spans="1:7" x14ac:dyDescent="0.3">
      <c r="A1313" s="223">
        <v>1312</v>
      </c>
      <c r="B1313" s="223" t="s">
        <v>1130</v>
      </c>
      <c r="C1313" s="223" t="s">
        <v>1228</v>
      </c>
      <c r="D1313" s="223" t="s">
        <v>1220</v>
      </c>
      <c r="E1313" s="223" t="s">
        <v>21</v>
      </c>
      <c r="F1313" s="223" t="s">
        <v>1090</v>
      </c>
      <c r="G1313" s="223" t="s">
        <v>1219</v>
      </c>
    </row>
    <row r="1314" spans="1:7" x14ac:dyDescent="0.3">
      <c r="A1314" s="223">
        <v>1313</v>
      </c>
      <c r="B1314" s="223" t="s">
        <v>1130</v>
      </c>
      <c r="C1314" s="223" t="s">
        <v>1228</v>
      </c>
      <c r="D1314" s="223" t="s">
        <v>1221</v>
      </c>
      <c r="E1314" s="223" t="s">
        <v>1087</v>
      </c>
      <c r="F1314" s="223" t="s">
        <v>1093</v>
      </c>
      <c r="G1314" s="223" t="s">
        <v>1219</v>
      </c>
    </row>
    <row r="1315" spans="1:7" x14ac:dyDescent="0.3">
      <c r="A1315" s="223">
        <v>1314</v>
      </c>
      <c r="B1315" s="223" t="s">
        <v>1130</v>
      </c>
      <c r="C1315" s="223" t="s">
        <v>1228</v>
      </c>
      <c r="D1315" s="223" t="s">
        <v>1221</v>
      </c>
      <c r="E1315" s="223" t="s">
        <v>1087</v>
      </c>
      <c r="F1315" s="223" t="s">
        <v>27</v>
      </c>
      <c r="G1315" s="223" t="s">
        <v>1219</v>
      </c>
    </row>
    <row r="1316" spans="1:7" x14ac:dyDescent="0.3">
      <c r="A1316" s="223">
        <v>1315</v>
      </c>
      <c r="B1316" s="223" t="s">
        <v>1130</v>
      </c>
      <c r="C1316" s="223" t="s">
        <v>1228</v>
      </c>
      <c r="D1316" s="223" t="s">
        <v>1221</v>
      </c>
      <c r="E1316" s="223" t="s">
        <v>1087</v>
      </c>
      <c r="F1316" s="223" t="s">
        <v>1096</v>
      </c>
      <c r="G1316" s="223" t="s">
        <v>1219</v>
      </c>
    </row>
    <row r="1317" spans="1:7" x14ac:dyDescent="0.3">
      <c r="A1317" s="223">
        <v>1316</v>
      </c>
      <c r="B1317" s="223" t="s">
        <v>1130</v>
      </c>
      <c r="C1317" s="223" t="s">
        <v>1228</v>
      </c>
      <c r="D1317" s="223" t="s">
        <v>1221</v>
      </c>
      <c r="E1317" s="223" t="s">
        <v>1087</v>
      </c>
      <c r="F1317" s="223" t="s">
        <v>1090</v>
      </c>
      <c r="G1317" s="223" t="s">
        <v>1219</v>
      </c>
    </row>
    <row r="1318" spans="1:7" x14ac:dyDescent="0.3">
      <c r="A1318" s="223">
        <v>1317</v>
      </c>
      <c r="B1318" s="223" t="s">
        <v>1130</v>
      </c>
      <c r="C1318" s="223" t="s">
        <v>1228</v>
      </c>
      <c r="D1318" s="223" t="s">
        <v>1221</v>
      </c>
      <c r="E1318" s="223" t="s">
        <v>21</v>
      </c>
      <c r="F1318" s="223" t="s">
        <v>1093</v>
      </c>
      <c r="G1318" s="223" t="s">
        <v>1219</v>
      </c>
    </row>
    <row r="1319" spans="1:7" x14ac:dyDescent="0.3">
      <c r="A1319" s="223">
        <v>1318</v>
      </c>
      <c r="B1319" s="223" t="s">
        <v>1130</v>
      </c>
      <c r="C1319" s="223" t="s">
        <v>1228</v>
      </c>
      <c r="D1319" s="223" t="s">
        <v>1221</v>
      </c>
      <c r="E1319" s="223" t="s">
        <v>21</v>
      </c>
      <c r="F1319" s="223" t="s">
        <v>27</v>
      </c>
      <c r="G1319" s="223" t="s">
        <v>1219</v>
      </c>
    </row>
    <row r="1320" spans="1:7" x14ac:dyDescent="0.3">
      <c r="A1320" s="223">
        <v>1319</v>
      </c>
      <c r="B1320" s="223" t="s">
        <v>1130</v>
      </c>
      <c r="C1320" s="223" t="s">
        <v>1228</v>
      </c>
      <c r="D1320" s="223" t="s">
        <v>1221</v>
      </c>
      <c r="E1320" s="223" t="s">
        <v>21</v>
      </c>
      <c r="F1320" s="223" t="s">
        <v>1096</v>
      </c>
      <c r="G1320" s="223" t="s">
        <v>1219</v>
      </c>
    </row>
    <row r="1321" spans="1:7" x14ac:dyDescent="0.3">
      <c r="A1321" s="223">
        <v>1320</v>
      </c>
      <c r="B1321" s="223" t="s">
        <v>1130</v>
      </c>
      <c r="C1321" s="223" t="s">
        <v>1228</v>
      </c>
      <c r="D1321" s="223" t="s">
        <v>1221</v>
      </c>
      <c r="E1321" s="223" t="s">
        <v>21</v>
      </c>
      <c r="F1321" s="223" t="s">
        <v>1090</v>
      </c>
      <c r="G1321" s="223" t="s">
        <v>1219</v>
      </c>
    </row>
    <row r="1322" spans="1:7" x14ac:dyDescent="0.3">
      <c r="A1322" s="223">
        <v>1321</v>
      </c>
      <c r="B1322" s="223" t="s">
        <v>1130</v>
      </c>
      <c r="C1322" s="223" t="s">
        <v>1228</v>
      </c>
      <c r="D1322" s="223" t="s">
        <v>1222</v>
      </c>
      <c r="E1322" s="223" t="s">
        <v>1087</v>
      </c>
      <c r="F1322" s="223" t="s">
        <v>1093</v>
      </c>
      <c r="G1322" s="223" t="s">
        <v>1219</v>
      </c>
    </row>
    <row r="1323" spans="1:7" x14ac:dyDescent="0.3">
      <c r="A1323" s="223">
        <v>1322</v>
      </c>
      <c r="B1323" s="223" t="s">
        <v>1130</v>
      </c>
      <c r="C1323" s="223" t="s">
        <v>1228</v>
      </c>
      <c r="D1323" s="223" t="s">
        <v>1222</v>
      </c>
      <c r="E1323" s="223" t="s">
        <v>1087</v>
      </c>
      <c r="F1323" s="223" t="s">
        <v>27</v>
      </c>
      <c r="G1323" s="223" t="s">
        <v>1219</v>
      </c>
    </row>
    <row r="1324" spans="1:7" x14ac:dyDescent="0.3">
      <c r="A1324" s="223">
        <v>1323</v>
      </c>
      <c r="B1324" s="223" t="s">
        <v>1130</v>
      </c>
      <c r="C1324" s="223" t="s">
        <v>1228</v>
      </c>
      <c r="D1324" s="223" t="s">
        <v>1222</v>
      </c>
      <c r="E1324" s="223" t="s">
        <v>1087</v>
      </c>
      <c r="F1324" s="223" t="s">
        <v>1096</v>
      </c>
      <c r="G1324" s="223" t="s">
        <v>1219</v>
      </c>
    </row>
    <row r="1325" spans="1:7" x14ac:dyDescent="0.3">
      <c r="A1325" s="223">
        <v>1324</v>
      </c>
      <c r="B1325" s="223" t="s">
        <v>1130</v>
      </c>
      <c r="C1325" s="223" t="s">
        <v>1228</v>
      </c>
      <c r="D1325" s="223" t="s">
        <v>1222</v>
      </c>
      <c r="E1325" s="223" t="s">
        <v>1087</v>
      </c>
      <c r="F1325" s="223" t="s">
        <v>1090</v>
      </c>
      <c r="G1325" s="223" t="s">
        <v>1219</v>
      </c>
    </row>
    <row r="1326" spans="1:7" x14ac:dyDescent="0.3">
      <c r="A1326" s="223">
        <v>1325</v>
      </c>
      <c r="B1326" s="223" t="s">
        <v>1130</v>
      </c>
      <c r="C1326" s="223" t="s">
        <v>1228</v>
      </c>
      <c r="D1326" s="223" t="s">
        <v>1222</v>
      </c>
      <c r="E1326" s="223" t="s">
        <v>21</v>
      </c>
      <c r="F1326" s="223" t="s">
        <v>1093</v>
      </c>
      <c r="G1326" s="223" t="s">
        <v>1219</v>
      </c>
    </row>
    <row r="1327" spans="1:7" x14ac:dyDescent="0.3">
      <c r="A1327" s="223">
        <v>1326</v>
      </c>
      <c r="B1327" s="223" t="s">
        <v>1130</v>
      </c>
      <c r="C1327" s="223" t="s">
        <v>1228</v>
      </c>
      <c r="D1327" s="223" t="s">
        <v>1222</v>
      </c>
      <c r="E1327" s="223" t="s">
        <v>21</v>
      </c>
      <c r="F1327" s="223" t="s">
        <v>27</v>
      </c>
      <c r="G1327" s="223" t="s">
        <v>1219</v>
      </c>
    </row>
    <row r="1328" spans="1:7" x14ac:dyDescent="0.3">
      <c r="A1328" s="223">
        <v>1327</v>
      </c>
      <c r="B1328" s="223" t="s">
        <v>1130</v>
      </c>
      <c r="C1328" s="223" t="s">
        <v>1228</v>
      </c>
      <c r="D1328" s="223" t="s">
        <v>1222</v>
      </c>
      <c r="E1328" s="223" t="s">
        <v>21</v>
      </c>
      <c r="F1328" s="223" t="s">
        <v>1096</v>
      </c>
      <c r="G1328" s="223" t="s">
        <v>1219</v>
      </c>
    </row>
    <row r="1329" spans="1:7" x14ac:dyDescent="0.3">
      <c r="A1329" s="223">
        <v>1328</v>
      </c>
      <c r="B1329" s="223" t="s">
        <v>1130</v>
      </c>
      <c r="C1329" s="223" t="s">
        <v>1228</v>
      </c>
      <c r="D1329" s="223" t="s">
        <v>1222</v>
      </c>
      <c r="E1329" s="223" t="s">
        <v>21</v>
      </c>
      <c r="F1329" s="223" t="s">
        <v>1090</v>
      </c>
      <c r="G1329" s="223" t="s">
        <v>1219</v>
      </c>
    </row>
    <row r="1330" spans="1:7" x14ac:dyDescent="0.3">
      <c r="A1330" s="223">
        <v>1329</v>
      </c>
      <c r="B1330" s="223" t="s">
        <v>1130</v>
      </c>
      <c r="C1330" s="223" t="s">
        <v>1228</v>
      </c>
      <c r="D1330" s="223" t="s">
        <v>1223</v>
      </c>
      <c r="E1330" s="223" t="s">
        <v>1087</v>
      </c>
      <c r="F1330" s="223" t="s">
        <v>1093</v>
      </c>
      <c r="G1330" s="223" t="s">
        <v>1219</v>
      </c>
    </row>
    <row r="1331" spans="1:7" x14ac:dyDescent="0.3">
      <c r="A1331" s="223">
        <v>1330</v>
      </c>
      <c r="B1331" s="223" t="s">
        <v>1130</v>
      </c>
      <c r="C1331" s="223" t="s">
        <v>1228</v>
      </c>
      <c r="D1331" s="223" t="s">
        <v>1223</v>
      </c>
      <c r="E1331" s="223" t="s">
        <v>1087</v>
      </c>
      <c r="F1331" s="223" t="s">
        <v>27</v>
      </c>
      <c r="G1331" s="223" t="s">
        <v>1219</v>
      </c>
    </row>
    <row r="1332" spans="1:7" x14ac:dyDescent="0.3">
      <c r="A1332" s="223">
        <v>1331</v>
      </c>
      <c r="B1332" s="223" t="s">
        <v>1130</v>
      </c>
      <c r="C1332" s="223" t="s">
        <v>1228</v>
      </c>
      <c r="D1332" s="223" t="s">
        <v>1223</v>
      </c>
      <c r="E1332" s="223" t="s">
        <v>1087</v>
      </c>
      <c r="F1332" s="223" t="s">
        <v>1096</v>
      </c>
      <c r="G1332" s="223" t="s">
        <v>1219</v>
      </c>
    </row>
    <row r="1333" spans="1:7" x14ac:dyDescent="0.3">
      <c r="A1333" s="223">
        <v>1332</v>
      </c>
      <c r="B1333" s="223" t="s">
        <v>1130</v>
      </c>
      <c r="C1333" s="223" t="s">
        <v>1228</v>
      </c>
      <c r="D1333" s="223" t="s">
        <v>1223</v>
      </c>
      <c r="E1333" s="223" t="s">
        <v>1087</v>
      </c>
      <c r="F1333" s="223" t="s">
        <v>1090</v>
      </c>
      <c r="G1333" s="223" t="s">
        <v>1219</v>
      </c>
    </row>
    <row r="1334" spans="1:7" x14ac:dyDescent="0.3">
      <c r="A1334" s="223">
        <v>1333</v>
      </c>
      <c r="B1334" s="223" t="s">
        <v>1130</v>
      </c>
      <c r="C1334" s="223" t="s">
        <v>1228</v>
      </c>
      <c r="D1334" s="223" t="s">
        <v>1223</v>
      </c>
      <c r="E1334" s="223" t="s">
        <v>21</v>
      </c>
      <c r="F1334" s="223" t="s">
        <v>1093</v>
      </c>
      <c r="G1334" s="223" t="s">
        <v>1219</v>
      </c>
    </row>
    <row r="1335" spans="1:7" x14ac:dyDescent="0.3">
      <c r="A1335" s="223">
        <v>1334</v>
      </c>
      <c r="B1335" s="223" t="s">
        <v>1130</v>
      </c>
      <c r="C1335" s="223" t="s">
        <v>1228</v>
      </c>
      <c r="D1335" s="223" t="s">
        <v>1223</v>
      </c>
      <c r="E1335" s="223" t="s">
        <v>21</v>
      </c>
      <c r="F1335" s="223" t="s">
        <v>27</v>
      </c>
      <c r="G1335" s="223" t="s">
        <v>1219</v>
      </c>
    </row>
    <row r="1336" spans="1:7" x14ac:dyDescent="0.3">
      <c r="A1336" s="223">
        <v>1335</v>
      </c>
      <c r="B1336" s="223" t="s">
        <v>1130</v>
      </c>
      <c r="C1336" s="223" t="s">
        <v>1228</v>
      </c>
      <c r="D1336" s="223" t="s">
        <v>1223</v>
      </c>
      <c r="E1336" s="223" t="s">
        <v>21</v>
      </c>
      <c r="F1336" s="223" t="s">
        <v>1096</v>
      </c>
      <c r="G1336" s="223" t="s">
        <v>1219</v>
      </c>
    </row>
    <row r="1337" spans="1:7" x14ac:dyDescent="0.3">
      <c r="A1337" s="223">
        <v>1336</v>
      </c>
      <c r="B1337" s="223" t="s">
        <v>1130</v>
      </c>
      <c r="C1337" s="223" t="s">
        <v>1228</v>
      </c>
      <c r="D1337" s="223" t="s">
        <v>1223</v>
      </c>
      <c r="E1337" s="223" t="s">
        <v>21</v>
      </c>
      <c r="F1337" s="223" t="s">
        <v>1090</v>
      </c>
      <c r="G1337" s="223" t="s">
        <v>1219</v>
      </c>
    </row>
    <row r="1338" spans="1:7" x14ac:dyDescent="0.3">
      <c r="A1338" s="223">
        <v>1337</v>
      </c>
      <c r="B1338" s="223" t="s">
        <v>1130</v>
      </c>
      <c r="C1338" s="223" t="s">
        <v>1228</v>
      </c>
      <c r="D1338" s="223" t="s">
        <v>12</v>
      </c>
      <c r="E1338" s="223" t="s">
        <v>1087</v>
      </c>
      <c r="F1338" s="223" t="s">
        <v>1093</v>
      </c>
      <c r="G1338" s="223" t="s">
        <v>1219</v>
      </c>
    </row>
    <row r="1339" spans="1:7" x14ac:dyDescent="0.3">
      <c r="A1339" s="223">
        <v>1338</v>
      </c>
      <c r="B1339" s="223" t="s">
        <v>1130</v>
      </c>
      <c r="C1339" s="223" t="s">
        <v>1228</v>
      </c>
      <c r="D1339" s="223" t="s">
        <v>12</v>
      </c>
      <c r="E1339" s="223" t="s">
        <v>1087</v>
      </c>
      <c r="F1339" s="223" t="s">
        <v>27</v>
      </c>
      <c r="G1339" s="223" t="s">
        <v>1219</v>
      </c>
    </row>
    <row r="1340" spans="1:7" x14ac:dyDescent="0.3">
      <c r="A1340" s="223">
        <v>1339</v>
      </c>
      <c r="B1340" s="223" t="s">
        <v>1130</v>
      </c>
      <c r="C1340" s="223" t="s">
        <v>1228</v>
      </c>
      <c r="D1340" s="223" t="s">
        <v>12</v>
      </c>
      <c r="E1340" s="223" t="s">
        <v>1087</v>
      </c>
      <c r="F1340" s="223" t="s">
        <v>1096</v>
      </c>
      <c r="G1340" s="223" t="s">
        <v>1219</v>
      </c>
    </row>
    <row r="1341" spans="1:7" x14ac:dyDescent="0.3">
      <c r="A1341" s="223">
        <v>1340</v>
      </c>
      <c r="B1341" s="223" t="s">
        <v>1130</v>
      </c>
      <c r="C1341" s="223" t="s">
        <v>1228</v>
      </c>
      <c r="D1341" s="223" t="s">
        <v>12</v>
      </c>
      <c r="E1341" s="223" t="s">
        <v>1087</v>
      </c>
      <c r="F1341" s="223" t="s">
        <v>1090</v>
      </c>
      <c r="G1341" s="223" t="s">
        <v>1219</v>
      </c>
    </row>
    <row r="1342" spans="1:7" x14ac:dyDescent="0.3">
      <c r="A1342" s="223">
        <v>1341</v>
      </c>
      <c r="B1342" s="223" t="s">
        <v>1130</v>
      </c>
      <c r="C1342" s="223" t="s">
        <v>1228</v>
      </c>
      <c r="D1342" s="223" t="s">
        <v>12</v>
      </c>
      <c r="E1342" s="223" t="s">
        <v>21</v>
      </c>
      <c r="F1342" s="223" t="s">
        <v>1093</v>
      </c>
      <c r="G1342" s="223" t="s">
        <v>1219</v>
      </c>
    </row>
    <row r="1343" spans="1:7" x14ac:dyDescent="0.3">
      <c r="A1343" s="223">
        <v>1342</v>
      </c>
      <c r="B1343" s="223" t="s">
        <v>1130</v>
      </c>
      <c r="C1343" s="223" t="s">
        <v>1228</v>
      </c>
      <c r="D1343" s="223" t="s">
        <v>12</v>
      </c>
      <c r="E1343" s="223" t="s">
        <v>21</v>
      </c>
      <c r="F1343" s="223" t="s">
        <v>27</v>
      </c>
      <c r="G1343" s="223" t="s">
        <v>1219</v>
      </c>
    </row>
    <row r="1344" spans="1:7" x14ac:dyDescent="0.3">
      <c r="A1344" s="223">
        <v>1343</v>
      </c>
      <c r="B1344" s="223" t="s">
        <v>1130</v>
      </c>
      <c r="C1344" s="223" t="s">
        <v>1228</v>
      </c>
      <c r="D1344" s="223" t="s">
        <v>12</v>
      </c>
      <c r="E1344" s="223" t="s">
        <v>21</v>
      </c>
      <c r="F1344" s="223" t="s">
        <v>1096</v>
      </c>
      <c r="G1344" s="223" t="s">
        <v>1219</v>
      </c>
    </row>
    <row r="1345" spans="1:7" x14ac:dyDescent="0.3">
      <c r="A1345" s="223">
        <v>1344</v>
      </c>
      <c r="B1345" s="223" t="s">
        <v>1130</v>
      </c>
      <c r="C1345" s="223" t="s">
        <v>1228</v>
      </c>
      <c r="D1345" s="223" t="s">
        <v>12</v>
      </c>
      <c r="E1345" s="223" t="s">
        <v>21</v>
      </c>
      <c r="F1345" s="223" t="s">
        <v>1090</v>
      </c>
      <c r="G1345" s="223" t="s">
        <v>1219</v>
      </c>
    </row>
    <row r="1346" spans="1:7" x14ac:dyDescent="0.3">
      <c r="A1346" s="223">
        <v>1345</v>
      </c>
      <c r="B1346" s="223" t="s">
        <v>6</v>
      </c>
      <c r="C1346" s="223" t="s">
        <v>1217</v>
      </c>
      <c r="D1346" s="223" t="s">
        <v>1218</v>
      </c>
      <c r="E1346" s="223" t="s">
        <v>1087</v>
      </c>
      <c r="F1346" s="223" t="s">
        <v>1093</v>
      </c>
      <c r="G1346" s="223" t="s">
        <v>1219</v>
      </c>
    </row>
    <row r="1347" spans="1:7" x14ac:dyDescent="0.3">
      <c r="A1347" s="223">
        <v>1346</v>
      </c>
      <c r="B1347" s="223" t="s">
        <v>6</v>
      </c>
      <c r="C1347" s="223" t="s">
        <v>1217</v>
      </c>
      <c r="D1347" s="223" t="s">
        <v>1218</v>
      </c>
      <c r="E1347" s="223" t="s">
        <v>1087</v>
      </c>
      <c r="F1347" s="223" t="s">
        <v>27</v>
      </c>
      <c r="G1347" s="223" t="s">
        <v>1219</v>
      </c>
    </row>
    <row r="1348" spans="1:7" x14ac:dyDescent="0.3">
      <c r="A1348" s="223">
        <v>1347</v>
      </c>
      <c r="B1348" s="223" t="s">
        <v>6</v>
      </c>
      <c r="C1348" s="223" t="s">
        <v>1217</v>
      </c>
      <c r="D1348" s="223" t="s">
        <v>1218</v>
      </c>
      <c r="E1348" s="223" t="s">
        <v>1087</v>
      </c>
      <c r="F1348" s="223" t="s">
        <v>1096</v>
      </c>
      <c r="G1348" s="223" t="s">
        <v>1219</v>
      </c>
    </row>
    <row r="1349" spans="1:7" x14ac:dyDescent="0.3">
      <c r="A1349" s="223">
        <v>1348</v>
      </c>
      <c r="B1349" s="223" t="s">
        <v>6</v>
      </c>
      <c r="C1349" s="223" t="s">
        <v>1217</v>
      </c>
      <c r="D1349" s="223" t="s">
        <v>1218</v>
      </c>
      <c r="E1349" s="223" t="s">
        <v>1087</v>
      </c>
      <c r="F1349" s="223" t="s">
        <v>1090</v>
      </c>
      <c r="G1349" s="223" t="s">
        <v>1219</v>
      </c>
    </row>
    <row r="1350" spans="1:7" x14ac:dyDescent="0.3">
      <c r="A1350" s="223">
        <v>1349</v>
      </c>
      <c r="B1350" s="223" t="s">
        <v>6</v>
      </c>
      <c r="C1350" s="223" t="s">
        <v>1217</v>
      </c>
      <c r="D1350" s="223" t="s">
        <v>1218</v>
      </c>
      <c r="E1350" s="223" t="s">
        <v>21</v>
      </c>
      <c r="F1350" s="223" t="s">
        <v>1093</v>
      </c>
      <c r="G1350" s="223" t="s">
        <v>1219</v>
      </c>
    </row>
    <row r="1351" spans="1:7" x14ac:dyDescent="0.3">
      <c r="A1351" s="223">
        <v>1350</v>
      </c>
      <c r="B1351" s="223" t="s">
        <v>6</v>
      </c>
      <c r="C1351" s="223" t="s">
        <v>1217</v>
      </c>
      <c r="D1351" s="223" t="s">
        <v>1218</v>
      </c>
      <c r="E1351" s="223" t="s">
        <v>21</v>
      </c>
      <c r="F1351" s="223" t="s">
        <v>27</v>
      </c>
      <c r="G1351" s="223" t="s">
        <v>1219</v>
      </c>
    </row>
    <row r="1352" spans="1:7" x14ac:dyDescent="0.3">
      <c r="A1352" s="223">
        <v>1351</v>
      </c>
      <c r="B1352" s="223" t="s">
        <v>6</v>
      </c>
      <c r="C1352" s="223" t="s">
        <v>1217</v>
      </c>
      <c r="D1352" s="223" t="s">
        <v>1218</v>
      </c>
      <c r="E1352" s="223" t="s">
        <v>21</v>
      </c>
      <c r="F1352" s="223" t="s">
        <v>1096</v>
      </c>
      <c r="G1352" s="223" t="s">
        <v>1219</v>
      </c>
    </row>
    <row r="1353" spans="1:7" x14ac:dyDescent="0.3">
      <c r="A1353" s="223">
        <v>1352</v>
      </c>
      <c r="B1353" s="223" t="s">
        <v>6</v>
      </c>
      <c r="C1353" s="223" t="s">
        <v>1217</v>
      </c>
      <c r="D1353" s="223" t="s">
        <v>1218</v>
      </c>
      <c r="E1353" s="223" t="s">
        <v>21</v>
      </c>
      <c r="F1353" s="223" t="s">
        <v>1090</v>
      </c>
      <c r="G1353" s="223" t="s">
        <v>1219</v>
      </c>
    </row>
    <row r="1354" spans="1:7" x14ac:dyDescent="0.3">
      <c r="A1354" s="223">
        <v>1353</v>
      </c>
      <c r="B1354" s="223" t="s">
        <v>6</v>
      </c>
      <c r="C1354" s="223" t="s">
        <v>1217</v>
      </c>
      <c r="D1354" s="223" t="s">
        <v>1220</v>
      </c>
      <c r="E1354" s="223" t="s">
        <v>1087</v>
      </c>
      <c r="F1354" s="223" t="s">
        <v>1093</v>
      </c>
      <c r="G1354" s="223" t="s">
        <v>1219</v>
      </c>
    </row>
    <row r="1355" spans="1:7" x14ac:dyDescent="0.3">
      <c r="A1355" s="223">
        <v>1354</v>
      </c>
      <c r="B1355" s="223" t="s">
        <v>6</v>
      </c>
      <c r="C1355" s="223" t="s">
        <v>1217</v>
      </c>
      <c r="D1355" s="223" t="s">
        <v>1220</v>
      </c>
      <c r="E1355" s="223" t="s">
        <v>1087</v>
      </c>
      <c r="F1355" s="223" t="s">
        <v>27</v>
      </c>
      <c r="G1355" s="223" t="s">
        <v>1219</v>
      </c>
    </row>
    <row r="1356" spans="1:7" x14ac:dyDescent="0.3">
      <c r="A1356" s="223">
        <v>1355</v>
      </c>
      <c r="B1356" s="223" t="s">
        <v>6</v>
      </c>
      <c r="C1356" s="223" t="s">
        <v>1217</v>
      </c>
      <c r="D1356" s="223" t="s">
        <v>1220</v>
      </c>
      <c r="E1356" s="223" t="s">
        <v>1087</v>
      </c>
      <c r="F1356" s="223" t="s">
        <v>1096</v>
      </c>
      <c r="G1356" s="223" t="s">
        <v>1219</v>
      </c>
    </row>
    <row r="1357" spans="1:7" x14ac:dyDescent="0.3">
      <c r="A1357" s="223">
        <v>1356</v>
      </c>
      <c r="B1357" s="223" t="s">
        <v>6</v>
      </c>
      <c r="C1357" s="223" t="s">
        <v>1217</v>
      </c>
      <c r="D1357" s="223" t="s">
        <v>1220</v>
      </c>
      <c r="E1357" s="223" t="s">
        <v>1087</v>
      </c>
      <c r="F1357" s="223" t="s">
        <v>1090</v>
      </c>
      <c r="G1357" s="223" t="s">
        <v>1219</v>
      </c>
    </row>
    <row r="1358" spans="1:7" x14ac:dyDescent="0.3">
      <c r="A1358" s="223">
        <v>1357</v>
      </c>
      <c r="B1358" s="223" t="s">
        <v>6</v>
      </c>
      <c r="C1358" s="223" t="s">
        <v>1217</v>
      </c>
      <c r="D1358" s="223" t="s">
        <v>1220</v>
      </c>
      <c r="E1358" s="223" t="s">
        <v>21</v>
      </c>
      <c r="F1358" s="223" t="s">
        <v>1093</v>
      </c>
      <c r="G1358" s="223" t="s">
        <v>1219</v>
      </c>
    </row>
    <row r="1359" spans="1:7" x14ac:dyDescent="0.3">
      <c r="A1359" s="223">
        <v>1358</v>
      </c>
      <c r="B1359" s="223" t="s">
        <v>6</v>
      </c>
      <c r="C1359" s="223" t="s">
        <v>1217</v>
      </c>
      <c r="D1359" s="223" t="s">
        <v>1220</v>
      </c>
      <c r="E1359" s="223" t="s">
        <v>21</v>
      </c>
      <c r="F1359" s="223" t="s">
        <v>27</v>
      </c>
      <c r="G1359" s="223" t="s">
        <v>1219</v>
      </c>
    </row>
    <row r="1360" spans="1:7" x14ac:dyDescent="0.3">
      <c r="A1360" s="223">
        <v>1359</v>
      </c>
      <c r="B1360" s="223" t="s">
        <v>6</v>
      </c>
      <c r="C1360" s="223" t="s">
        <v>1217</v>
      </c>
      <c r="D1360" s="223" t="s">
        <v>1220</v>
      </c>
      <c r="E1360" s="223" t="s">
        <v>21</v>
      </c>
      <c r="F1360" s="223" t="s">
        <v>1096</v>
      </c>
      <c r="G1360" s="223" t="s">
        <v>1219</v>
      </c>
    </row>
    <row r="1361" spans="1:7" x14ac:dyDescent="0.3">
      <c r="A1361" s="223">
        <v>1360</v>
      </c>
      <c r="B1361" s="223" t="s">
        <v>6</v>
      </c>
      <c r="C1361" s="223" t="s">
        <v>1217</v>
      </c>
      <c r="D1361" s="223" t="s">
        <v>1220</v>
      </c>
      <c r="E1361" s="223" t="s">
        <v>21</v>
      </c>
      <c r="F1361" s="223" t="s">
        <v>1090</v>
      </c>
      <c r="G1361" s="223" t="s">
        <v>1219</v>
      </c>
    </row>
    <row r="1362" spans="1:7" x14ac:dyDescent="0.3">
      <c r="A1362" s="223">
        <v>1361</v>
      </c>
      <c r="B1362" s="223" t="s">
        <v>6</v>
      </c>
      <c r="C1362" s="223" t="s">
        <v>1217</v>
      </c>
      <c r="D1362" s="223" t="s">
        <v>1221</v>
      </c>
      <c r="E1362" s="223" t="s">
        <v>1087</v>
      </c>
      <c r="F1362" s="223" t="s">
        <v>1093</v>
      </c>
      <c r="G1362" s="223" t="s">
        <v>1219</v>
      </c>
    </row>
    <row r="1363" spans="1:7" x14ac:dyDescent="0.3">
      <c r="A1363" s="223">
        <v>1362</v>
      </c>
      <c r="B1363" s="223" t="s">
        <v>6</v>
      </c>
      <c r="C1363" s="223" t="s">
        <v>1217</v>
      </c>
      <c r="D1363" s="223" t="s">
        <v>1221</v>
      </c>
      <c r="E1363" s="223" t="s">
        <v>1087</v>
      </c>
      <c r="F1363" s="223" t="s">
        <v>27</v>
      </c>
      <c r="G1363" s="223" t="s">
        <v>1219</v>
      </c>
    </row>
    <row r="1364" spans="1:7" x14ac:dyDescent="0.3">
      <c r="A1364" s="223">
        <v>1363</v>
      </c>
      <c r="B1364" s="223" t="s">
        <v>6</v>
      </c>
      <c r="C1364" s="223" t="s">
        <v>1217</v>
      </c>
      <c r="D1364" s="223" t="s">
        <v>1221</v>
      </c>
      <c r="E1364" s="223" t="s">
        <v>1087</v>
      </c>
      <c r="F1364" s="223" t="s">
        <v>1096</v>
      </c>
      <c r="G1364" s="223" t="s">
        <v>1219</v>
      </c>
    </row>
    <row r="1365" spans="1:7" x14ac:dyDescent="0.3">
      <c r="A1365" s="223">
        <v>1364</v>
      </c>
      <c r="B1365" s="223" t="s">
        <v>6</v>
      </c>
      <c r="C1365" s="223" t="s">
        <v>1217</v>
      </c>
      <c r="D1365" s="223" t="s">
        <v>1221</v>
      </c>
      <c r="E1365" s="223" t="s">
        <v>1087</v>
      </c>
      <c r="F1365" s="223" t="s">
        <v>1090</v>
      </c>
      <c r="G1365" s="223" t="s">
        <v>1219</v>
      </c>
    </row>
    <row r="1366" spans="1:7" x14ac:dyDescent="0.3">
      <c r="A1366" s="223">
        <v>1365</v>
      </c>
      <c r="B1366" s="223" t="s">
        <v>6</v>
      </c>
      <c r="C1366" s="223" t="s">
        <v>1217</v>
      </c>
      <c r="D1366" s="223" t="s">
        <v>1221</v>
      </c>
      <c r="E1366" s="223" t="s">
        <v>21</v>
      </c>
      <c r="F1366" s="223" t="s">
        <v>1093</v>
      </c>
      <c r="G1366" s="223" t="s">
        <v>1219</v>
      </c>
    </row>
    <row r="1367" spans="1:7" x14ac:dyDescent="0.3">
      <c r="A1367" s="223">
        <v>1366</v>
      </c>
      <c r="B1367" s="223" t="s">
        <v>6</v>
      </c>
      <c r="C1367" s="223" t="s">
        <v>1217</v>
      </c>
      <c r="D1367" s="223" t="s">
        <v>1221</v>
      </c>
      <c r="E1367" s="223" t="s">
        <v>21</v>
      </c>
      <c r="F1367" s="223" t="s">
        <v>27</v>
      </c>
      <c r="G1367" s="223" t="s">
        <v>1219</v>
      </c>
    </row>
    <row r="1368" spans="1:7" x14ac:dyDescent="0.3">
      <c r="A1368" s="223">
        <v>1367</v>
      </c>
      <c r="B1368" s="223" t="s">
        <v>6</v>
      </c>
      <c r="C1368" s="223" t="s">
        <v>1217</v>
      </c>
      <c r="D1368" s="223" t="s">
        <v>1221</v>
      </c>
      <c r="E1368" s="223" t="s">
        <v>21</v>
      </c>
      <c r="F1368" s="223" t="s">
        <v>1096</v>
      </c>
      <c r="G1368" s="223" t="s">
        <v>1219</v>
      </c>
    </row>
    <row r="1369" spans="1:7" x14ac:dyDescent="0.3">
      <c r="A1369" s="223">
        <v>1368</v>
      </c>
      <c r="B1369" s="223" t="s">
        <v>6</v>
      </c>
      <c r="C1369" s="223" t="s">
        <v>1217</v>
      </c>
      <c r="D1369" s="223" t="s">
        <v>1221</v>
      </c>
      <c r="E1369" s="223" t="s">
        <v>21</v>
      </c>
      <c r="F1369" s="223" t="s">
        <v>1090</v>
      </c>
      <c r="G1369" s="223" t="s">
        <v>1219</v>
      </c>
    </row>
    <row r="1370" spans="1:7" x14ac:dyDescent="0.3">
      <c r="A1370" s="223">
        <v>1369</v>
      </c>
      <c r="B1370" s="223" t="s">
        <v>6</v>
      </c>
      <c r="C1370" s="223" t="s">
        <v>1217</v>
      </c>
      <c r="D1370" s="223" t="s">
        <v>1222</v>
      </c>
      <c r="E1370" s="223" t="s">
        <v>1087</v>
      </c>
      <c r="F1370" s="223" t="s">
        <v>1093</v>
      </c>
      <c r="G1370" s="223" t="s">
        <v>1219</v>
      </c>
    </row>
    <row r="1371" spans="1:7" x14ac:dyDescent="0.3">
      <c r="A1371" s="223">
        <v>1370</v>
      </c>
      <c r="B1371" s="223" t="s">
        <v>6</v>
      </c>
      <c r="C1371" s="223" t="s">
        <v>1217</v>
      </c>
      <c r="D1371" s="223" t="s">
        <v>1222</v>
      </c>
      <c r="E1371" s="223" t="s">
        <v>1087</v>
      </c>
      <c r="F1371" s="223" t="s">
        <v>27</v>
      </c>
      <c r="G1371" s="223" t="s">
        <v>1219</v>
      </c>
    </row>
    <row r="1372" spans="1:7" x14ac:dyDescent="0.3">
      <c r="A1372" s="223">
        <v>1371</v>
      </c>
      <c r="B1372" s="223" t="s">
        <v>6</v>
      </c>
      <c r="C1372" s="223" t="s">
        <v>1217</v>
      </c>
      <c r="D1372" s="223" t="s">
        <v>1222</v>
      </c>
      <c r="E1372" s="223" t="s">
        <v>1087</v>
      </c>
      <c r="F1372" s="223" t="s">
        <v>1096</v>
      </c>
      <c r="G1372" s="223" t="s">
        <v>1219</v>
      </c>
    </row>
    <row r="1373" spans="1:7" x14ac:dyDescent="0.3">
      <c r="A1373" s="223">
        <v>1372</v>
      </c>
      <c r="B1373" s="223" t="s">
        <v>6</v>
      </c>
      <c r="C1373" s="223" t="s">
        <v>1217</v>
      </c>
      <c r="D1373" s="223" t="s">
        <v>1222</v>
      </c>
      <c r="E1373" s="223" t="s">
        <v>1087</v>
      </c>
      <c r="F1373" s="223" t="s">
        <v>1090</v>
      </c>
      <c r="G1373" s="223" t="s">
        <v>1219</v>
      </c>
    </row>
    <row r="1374" spans="1:7" x14ac:dyDescent="0.3">
      <c r="A1374" s="223">
        <v>1373</v>
      </c>
      <c r="B1374" s="223" t="s">
        <v>6</v>
      </c>
      <c r="C1374" s="223" t="s">
        <v>1217</v>
      </c>
      <c r="D1374" s="223" t="s">
        <v>1222</v>
      </c>
      <c r="E1374" s="223" t="s">
        <v>21</v>
      </c>
      <c r="F1374" s="223" t="s">
        <v>1093</v>
      </c>
      <c r="G1374" s="223" t="s">
        <v>1219</v>
      </c>
    </row>
    <row r="1375" spans="1:7" x14ac:dyDescent="0.3">
      <c r="A1375" s="223">
        <v>1374</v>
      </c>
      <c r="B1375" s="223" t="s">
        <v>6</v>
      </c>
      <c r="C1375" s="223" t="s">
        <v>1217</v>
      </c>
      <c r="D1375" s="223" t="s">
        <v>1222</v>
      </c>
      <c r="E1375" s="223" t="s">
        <v>21</v>
      </c>
      <c r="F1375" s="223" t="s">
        <v>27</v>
      </c>
      <c r="G1375" s="223" t="s">
        <v>1219</v>
      </c>
    </row>
    <row r="1376" spans="1:7" x14ac:dyDescent="0.3">
      <c r="A1376" s="223">
        <v>1375</v>
      </c>
      <c r="B1376" s="223" t="s">
        <v>6</v>
      </c>
      <c r="C1376" s="223" t="s">
        <v>1217</v>
      </c>
      <c r="D1376" s="223" t="s">
        <v>1222</v>
      </c>
      <c r="E1376" s="223" t="s">
        <v>21</v>
      </c>
      <c r="F1376" s="223" t="s">
        <v>1096</v>
      </c>
      <c r="G1376" s="223" t="s">
        <v>1219</v>
      </c>
    </row>
    <row r="1377" spans="1:7" x14ac:dyDescent="0.3">
      <c r="A1377" s="223">
        <v>1376</v>
      </c>
      <c r="B1377" s="223" t="s">
        <v>6</v>
      </c>
      <c r="C1377" s="223" t="s">
        <v>1217</v>
      </c>
      <c r="D1377" s="223" t="s">
        <v>1222</v>
      </c>
      <c r="E1377" s="223" t="s">
        <v>21</v>
      </c>
      <c r="F1377" s="223" t="s">
        <v>1090</v>
      </c>
      <c r="G1377" s="223" t="s">
        <v>1219</v>
      </c>
    </row>
    <row r="1378" spans="1:7" x14ac:dyDescent="0.3">
      <c r="A1378" s="223">
        <v>1377</v>
      </c>
      <c r="B1378" s="223" t="s">
        <v>6</v>
      </c>
      <c r="C1378" s="223" t="s">
        <v>1217</v>
      </c>
      <c r="D1378" s="223" t="s">
        <v>1223</v>
      </c>
      <c r="E1378" s="223" t="s">
        <v>1087</v>
      </c>
      <c r="F1378" s="223" t="s">
        <v>1093</v>
      </c>
      <c r="G1378" s="223" t="s">
        <v>1219</v>
      </c>
    </row>
    <row r="1379" spans="1:7" x14ac:dyDescent="0.3">
      <c r="A1379" s="223">
        <v>1378</v>
      </c>
      <c r="B1379" s="223" t="s">
        <v>6</v>
      </c>
      <c r="C1379" s="223" t="s">
        <v>1217</v>
      </c>
      <c r="D1379" s="223" t="s">
        <v>1223</v>
      </c>
      <c r="E1379" s="223" t="s">
        <v>1087</v>
      </c>
      <c r="F1379" s="223" t="s">
        <v>27</v>
      </c>
      <c r="G1379" s="223" t="s">
        <v>1219</v>
      </c>
    </row>
    <row r="1380" spans="1:7" x14ac:dyDescent="0.3">
      <c r="A1380" s="223">
        <v>1379</v>
      </c>
      <c r="B1380" s="223" t="s">
        <v>6</v>
      </c>
      <c r="C1380" s="223" t="s">
        <v>1217</v>
      </c>
      <c r="D1380" s="223" t="s">
        <v>1223</v>
      </c>
      <c r="E1380" s="223" t="s">
        <v>1087</v>
      </c>
      <c r="F1380" s="223" t="s">
        <v>1096</v>
      </c>
      <c r="G1380" s="223" t="s">
        <v>1219</v>
      </c>
    </row>
    <row r="1381" spans="1:7" x14ac:dyDescent="0.3">
      <c r="A1381" s="223">
        <v>1380</v>
      </c>
      <c r="B1381" s="223" t="s">
        <v>6</v>
      </c>
      <c r="C1381" s="223" t="s">
        <v>1217</v>
      </c>
      <c r="D1381" s="223" t="s">
        <v>1223</v>
      </c>
      <c r="E1381" s="223" t="s">
        <v>1087</v>
      </c>
      <c r="F1381" s="223" t="s">
        <v>1090</v>
      </c>
      <c r="G1381" s="223" t="s">
        <v>1219</v>
      </c>
    </row>
    <row r="1382" spans="1:7" x14ac:dyDescent="0.3">
      <c r="A1382" s="223">
        <v>1381</v>
      </c>
      <c r="B1382" s="223" t="s">
        <v>6</v>
      </c>
      <c r="C1382" s="223" t="s">
        <v>1217</v>
      </c>
      <c r="D1382" s="223" t="s">
        <v>1223</v>
      </c>
      <c r="E1382" s="223" t="s">
        <v>21</v>
      </c>
      <c r="F1382" s="223" t="s">
        <v>1093</v>
      </c>
      <c r="G1382" s="223" t="s">
        <v>1219</v>
      </c>
    </row>
    <row r="1383" spans="1:7" x14ac:dyDescent="0.3">
      <c r="A1383" s="223">
        <v>1382</v>
      </c>
      <c r="B1383" s="223" t="s">
        <v>6</v>
      </c>
      <c r="C1383" s="223" t="s">
        <v>1217</v>
      </c>
      <c r="D1383" s="223" t="s">
        <v>1223</v>
      </c>
      <c r="E1383" s="223" t="s">
        <v>21</v>
      </c>
      <c r="F1383" s="223" t="s">
        <v>27</v>
      </c>
      <c r="G1383" s="223" t="s">
        <v>1219</v>
      </c>
    </row>
    <row r="1384" spans="1:7" x14ac:dyDescent="0.3">
      <c r="A1384" s="223">
        <v>1383</v>
      </c>
      <c r="B1384" s="223" t="s">
        <v>6</v>
      </c>
      <c r="C1384" s="223" t="s">
        <v>1217</v>
      </c>
      <c r="D1384" s="223" t="s">
        <v>1223</v>
      </c>
      <c r="E1384" s="223" t="s">
        <v>21</v>
      </c>
      <c r="F1384" s="223" t="s">
        <v>1096</v>
      </c>
      <c r="G1384" s="223" t="s">
        <v>1219</v>
      </c>
    </row>
    <row r="1385" spans="1:7" x14ac:dyDescent="0.3">
      <c r="A1385" s="223">
        <v>1384</v>
      </c>
      <c r="B1385" s="223" t="s">
        <v>6</v>
      </c>
      <c r="C1385" s="223" t="s">
        <v>1217</v>
      </c>
      <c r="D1385" s="223" t="s">
        <v>1223</v>
      </c>
      <c r="E1385" s="223" t="s">
        <v>21</v>
      </c>
      <c r="F1385" s="223" t="s">
        <v>1090</v>
      </c>
      <c r="G1385" s="223" t="s">
        <v>1219</v>
      </c>
    </row>
    <row r="1386" spans="1:7" x14ac:dyDescent="0.3">
      <c r="A1386" s="223">
        <v>1385</v>
      </c>
      <c r="B1386" s="223" t="s">
        <v>6</v>
      </c>
      <c r="C1386" s="223" t="s">
        <v>1217</v>
      </c>
      <c r="D1386" s="223" t="s">
        <v>12</v>
      </c>
      <c r="E1386" s="223" t="s">
        <v>1087</v>
      </c>
      <c r="F1386" s="223" t="s">
        <v>1093</v>
      </c>
      <c r="G1386" s="223" t="s">
        <v>1219</v>
      </c>
    </row>
    <row r="1387" spans="1:7" x14ac:dyDescent="0.3">
      <c r="A1387" s="223">
        <v>1386</v>
      </c>
      <c r="B1387" s="223" t="s">
        <v>6</v>
      </c>
      <c r="C1387" s="223" t="s">
        <v>1217</v>
      </c>
      <c r="D1387" s="223" t="s">
        <v>12</v>
      </c>
      <c r="E1387" s="223" t="s">
        <v>1087</v>
      </c>
      <c r="F1387" s="223" t="s">
        <v>27</v>
      </c>
      <c r="G1387" s="223" t="s">
        <v>1219</v>
      </c>
    </row>
    <row r="1388" spans="1:7" x14ac:dyDescent="0.3">
      <c r="A1388" s="223">
        <v>1387</v>
      </c>
      <c r="B1388" s="223" t="s">
        <v>6</v>
      </c>
      <c r="C1388" s="223" t="s">
        <v>1217</v>
      </c>
      <c r="D1388" s="223" t="s">
        <v>12</v>
      </c>
      <c r="E1388" s="223" t="s">
        <v>1087</v>
      </c>
      <c r="F1388" s="223" t="s">
        <v>1096</v>
      </c>
      <c r="G1388" s="223" t="s">
        <v>1219</v>
      </c>
    </row>
    <row r="1389" spans="1:7" x14ac:dyDescent="0.3">
      <c r="A1389" s="223">
        <v>1388</v>
      </c>
      <c r="B1389" s="223" t="s">
        <v>6</v>
      </c>
      <c r="C1389" s="223" t="s">
        <v>1217</v>
      </c>
      <c r="D1389" s="223" t="s">
        <v>12</v>
      </c>
      <c r="E1389" s="223" t="s">
        <v>1087</v>
      </c>
      <c r="F1389" s="223" t="s">
        <v>1090</v>
      </c>
      <c r="G1389" s="223" t="s">
        <v>1219</v>
      </c>
    </row>
    <row r="1390" spans="1:7" x14ac:dyDescent="0.3">
      <c r="A1390" s="223">
        <v>1389</v>
      </c>
      <c r="B1390" s="223" t="s">
        <v>6</v>
      </c>
      <c r="C1390" s="223" t="s">
        <v>1217</v>
      </c>
      <c r="D1390" s="223" t="s">
        <v>12</v>
      </c>
      <c r="E1390" s="223" t="s">
        <v>21</v>
      </c>
      <c r="F1390" s="223" t="s">
        <v>1093</v>
      </c>
      <c r="G1390" s="223" t="s">
        <v>1219</v>
      </c>
    </row>
    <row r="1391" spans="1:7" x14ac:dyDescent="0.3">
      <c r="A1391" s="223">
        <v>1390</v>
      </c>
      <c r="B1391" s="223" t="s">
        <v>6</v>
      </c>
      <c r="C1391" s="223" t="s">
        <v>1217</v>
      </c>
      <c r="D1391" s="223" t="s">
        <v>12</v>
      </c>
      <c r="E1391" s="223" t="s">
        <v>21</v>
      </c>
      <c r="F1391" s="223" t="s">
        <v>27</v>
      </c>
      <c r="G1391" s="223" t="s">
        <v>1219</v>
      </c>
    </row>
    <row r="1392" spans="1:7" x14ac:dyDescent="0.3">
      <c r="A1392" s="223">
        <v>1391</v>
      </c>
      <c r="B1392" s="223" t="s">
        <v>6</v>
      </c>
      <c r="C1392" s="223" t="s">
        <v>1217</v>
      </c>
      <c r="D1392" s="223" t="s">
        <v>12</v>
      </c>
      <c r="E1392" s="223" t="s">
        <v>21</v>
      </c>
      <c r="F1392" s="223" t="s">
        <v>1096</v>
      </c>
      <c r="G1392" s="223" t="s">
        <v>1219</v>
      </c>
    </row>
    <row r="1393" spans="1:7" x14ac:dyDescent="0.3">
      <c r="A1393" s="223">
        <v>1392</v>
      </c>
      <c r="B1393" s="223" t="s">
        <v>6</v>
      </c>
      <c r="C1393" s="223" t="s">
        <v>1217</v>
      </c>
      <c r="D1393" s="223" t="s">
        <v>12</v>
      </c>
      <c r="E1393" s="223" t="s">
        <v>21</v>
      </c>
      <c r="F1393" s="223" t="s">
        <v>1090</v>
      </c>
      <c r="G1393" s="223" t="s">
        <v>1219</v>
      </c>
    </row>
    <row r="1394" spans="1:7" x14ac:dyDescent="0.3">
      <c r="A1394" s="223">
        <v>1393</v>
      </c>
      <c r="B1394" s="223" t="s">
        <v>6</v>
      </c>
      <c r="C1394" s="223" t="s">
        <v>1224</v>
      </c>
      <c r="D1394" s="223" t="s">
        <v>1218</v>
      </c>
      <c r="E1394" s="223" t="s">
        <v>1087</v>
      </c>
      <c r="F1394" s="223" t="s">
        <v>1093</v>
      </c>
      <c r="G1394" s="223" t="s">
        <v>1219</v>
      </c>
    </row>
    <row r="1395" spans="1:7" x14ac:dyDescent="0.3">
      <c r="A1395" s="223">
        <v>1394</v>
      </c>
      <c r="B1395" s="223" t="s">
        <v>6</v>
      </c>
      <c r="C1395" s="223" t="s">
        <v>1224</v>
      </c>
      <c r="D1395" s="223" t="s">
        <v>1218</v>
      </c>
      <c r="E1395" s="223" t="s">
        <v>1087</v>
      </c>
      <c r="F1395" s="223" t="s">
        <v>27</v>
      </c>
      <c r="G1395" s="223" t="s">
        <v>1219</v>
      </c>
    </row>
    <row r="1396" spans="1:7" x14ac:dyDescent="0.3">
      <c r="A1396" s="223">
        <v>1395</v>
      </c>
      <c r="B1396" s="223" t="s">
        <v>6</v>
      </c>
      <c r="C1396" s="223" t="s">
        <v>1224</v>
      </c>
      <c r="D1396" s="223" t="s">
        <v>1218</v>
      </c>
      <c r="E1396" s="223" t="s">
        <v>1087</v>
      </c>
      <c r="F1396" s="223" t="s">
        <v>1096</v>
      </c>
      <c r="G1396" s="223" t="s">
        <v>1219</v>
      </c>
    </row>
    <row r="1397" spans="1:7" x14ac:dyDescent="0.3">
      <c r="A1397" s="223">
        <v>1396</v>
      </c>
      <c r="B1397" s="223" t="s">
        <v>6</v>
      </c>
      <c r="C1397" s="223" t="s">
        <v>1224</v>
      </c>
      <c r="D1397" s="223" t="s">
        <v>1218</v>
      </c>
      <c r="E1397" s="223" t="s">
        <v>1087</v>
      </c>
      <c r="F1397" s="223" t="s">
        <v>1090</v>
      </c>
      <c r="G1397" s="223" t="s">
        <v>1219</v>
      </c>
    </row>
    <row r="1398" spans="1:7" x14ac:dyDescent="0.3">
      <c r="A1398" s="223">
        <v>1397</v>
      </c>
      <c r="B1398" s="223" t="s">
        <v>6</v>
      </c>
      <c r="C1398" s="223" t="s">
        <v>1224</v>
      </c>
      <c r="D1398" s="223" t="s">
        <v>1218</v>
      </c>
      <c r="E1398" s="223" t="s">
        <v>21</v>
      </c>
      <c r="F1398" s="223" t="s">
        <v>1093</v>
      </c>
      <c r="G1398" s="223" t="s">
        <v>1219</v>
      </c>
    </row>
    <row r="1399" spans="1:7" x14ac:dyDescent="0.3">
      <c r="A1399" s="223">
        <v>1398</v>
      </c>
      <c r="B1399" s="223" t="s">
        <v>6</v>
      </c>
      <c r="C1399" s="223" t="s">
        <v>1224</v>
      </c>
      <c r="D1399" s="223" t="s">
        <v>1218</v>
      </c>
      <c r="E1399" s="223" t="s">
        <v>21</v>
      </c>
      <c r="F1399" s="223" t="s">
        <v>27</v>
      </c>
      <c r="G1399" s="223" t="s">
        <v>1219</v>
      </c>
    </row>
    <row r="1400" spans="1:7" x14ac:dyDescent="0.3">
      <c r="A1400" s="223">
        <v>1399</v>
      </c>
      <c r="B1400" s="223" t="s">
        <v>6</v>
      </c>
      <c r="C1400" s="223" t="s">
        <v>1224</v>
      </c>
      <c r="D1400" s="223" t="s">
        <v>1218</v>
      </c>
      <c r="E1400" s="223" t="s">
        <v>21</v>
      </c>
      <c r="F1400" s="223" t="s">
        <v>1096</v>
      </c>
      <c r="G1400" s="223" t="s">
        <v>1219</v>
      </c>
    </row>
    <row r="1401" spans="1:7" x14ac:dyDescent="0.3">
      <c r="A1401" s="223">
        <v>1400</v>
      </c>
      <c r="B1401" s="223" t="s">
        <v>6</v>
      </c>
      <c r="C1401" s="223" t="s">
        <v>1224</v>
      </c>
      <c r="D1401" s="223" t="s">
        <v>1218</v>
      </c>
      <c r="E1401" s="223" t="s">
        <v>21</v>
      </c>
      <c r="F1401" s="223" t="s">
        <v>1090</v>
      </c>
      <c r="G1401" s="223" t="s">
        <v>1219</v>
      </c>
    </row>
    <row r="1402" spans="1:7" x14ac:dyDescent="0.3">
      <c r="A1402" s="223">
        <v>1401</v>
      </c>
      <c r="B1402" s="223" t="s">
        <v>6</v>
      </c>
      <c r="C1402" s="223" t="s">
        <v>1224</v>
      </c>
      <c r="D1402" s="223" t="s">
        <v>1220</v>
      </c>
      <c r="E1402" s="223" t="s">
        <v>1087</v>
      </c>
      <c r="F1402" s="223" t="s">
        <v>1093</v>
      </c>
      <c r="G1402" s="223" t="s">
        <v>1219</v>
      </c>
    </row>
    <row r="1403" spans="1:7" x14ac:dyDescent="0.3">
      <c r="A1403" s="223">
        <v>1402</v>
      </c>
      <c r="B1403" s="223" t="s">
        <v>6</v>
      </c>
      <c r="C1403" s="223" t="s">
        <v>1224</v>
      </c>
      <c r="D1403" s="223" t="s">
        <v>1220</v>
      </c>
      <c r="E1403" s="223" t="s">
        <v>1087</v>
      </c>
      <c r="F1403" s="223" t="s">
        <v>27</v>
      </c>
      <c r="G1403" s="223" t="s">
        <v>1219</v>
      </c>
    </row>
    <row r="1404" spans="1:7" x14ac:dyDescent="0.3">
      <c r="A1404" s="223">
        <v>1403</v>
      </c>
      <c r="B1404" s="223" t="s">
        <v>6</v>
      </c>
      <c r="C1404" s="223" t="s">
        <v>1224</v>
      </c>
      <c r="D1404" s="223" t="s">
        <v>1220</v>
      </c>
      <c r="E1404" s="223" t="s">
        <v>1087</v>
      </c>
      <c r="F1404" s="223" t="s">
        <v>1096</v>
      </c>
      <c r="G1404" s="223" t="s">
        <v>1219</v>
      </c>
    </row>
    <row r="1405" spans="1:7" x14ac:dyDescent="0.3">
      <c r="A1405" s="223">
        <v>1404</v>
      </c>
      <c r="B1405" s="223" t="s">
        <v>6</v>
      </c>
      <c r="C1405" s="223" t="s">
        <v>1224</v>
      </c>
      <c r="D1405" s="223" t="s">
        <v>1220</v>
      </c>
      <c r="E1405" s="223" t="s">
        <v>1087</v>
      </c>
      <c r="F1405" s="223" t="s">
        <v>1090</v>
      </c>
      <c r="G1405" s="223" t="s">
        <v>1219</v>
      </c>
    </row>
    <row r="1406" spans="1:7" x14ac:dyDescent="0.3">
      <c r="A1406" s="223">
        <v>1405</v>
      </c>
      <c r="B1406" s="223" t="s">
        <v>6</v>
      </c>
      <c r="C1406" s="223" t="s">
        <v>1224</v>
      </c>
      <c r="D1406" s="223" t="s">
        <v>1220</v>
      </c>
      <c r="E1406" s="223" t="s">
        <v>21</v>
      </c>
      <c r="F1406" s="223" t="s">
        <v>1093</v>
      </c>
      <c r="G1406" s="223" t="s">
        <v>1219</v>
      </c>
    </row>
    <row r="1407" spans="1:7" x14ac:dyDescent="0.3">
      <c r="A1407" s="223">
        <v>1406</v>
      </c>
      <c r="B1407" s="223" t="s">
        <v>6</v>
      </c>
      <c r="C1407" s="223" t="s">
        <v>1224</v>
      </c>
      <c r="D1407" s="223" t="s">
        <v>1220</v>
      </c>
      <c r="E1407" s="223" t="s">
        <v>21</v>
      </c>
      <c r="F1407" s="223" t="s">
        <v>27</v>
      </c>
      <c r="G1407" s="223" t="s">
        <v>1219</v>
      </c>
    </row>
    <row r="1408" spans="1:7" x14ac:dyDescent="0.3">
      <c r="A1408" s="223">
        <v>1407</v>
      </c>
      <c r="B1408" s="223" t="s">
        <v>6</v>
      </c>
      <c r="C1408" s="223" t="s">
        <v>1224</v>
      </c>
      <c r="D1408" s="223" t="s">
        <v>1220</v>
      </c>
      <c r="E1408" s="223" t="s">
        <v>21</v>
      </c>
      <c r="F1408" s="223" t="s">
        <v>1096</v>
      </c>
      <c r="G1408" s="223" t="s">
        <v>1219</v>
      </c>
    </row>
    <row r="1409" spans="1:7" x14ac:dyDescent="0.3">
      <c r="A1409" s="223">
        <v>1408</v>
      </c>
      <c r="B1409" s="223" t="s">
        <v>6</v>
      </c>
      <c r="C1409" s="223" t="s">
        <v>1224</v>
      </c>
      <c r="D1409" s="223" t="s">
        <v>1220</v>
      </c>
      <c r="E1409" s="223" t="s">
        <v>21</v>
      </c>
      <c r="F1409" s="223" t="s">
        <v>1090</v>
      </c>
      <c r="G1409" s="223" t="s">
        <v>1219</v>
      </c>
    </row>
    <row r="1410" spans="1:7" x14ac:dyDescent="0.3">
      <c r="A1410" s="223">
        <v>1409</v>
      </c>
      <c r="B1410" s="223" t="s">
        <v>6</v>
      </c>
      <c r="C1410" s="223" t="s">
        <v>1224</v>
      </c>
      <c r="D1410" s="223" t="s">
        <v>1221</v>
      </c>
      <c r="E1410" s="223" t="s">
        <v>1087</v>
      </c>
      <c r="F1410" s="223" t="s">
        <v>1093</v>
      </c>
      <c r="G1410" s="223" t="s">
        <v>1219</v>
      </c>
    </row>
    <row r="1411" spans="1:7" x14ac:dyDescent="0.3">
      <c r="A1411" s="223">
        <v>1410</v>
      </c>
      <c r="B1411" s="223" t="s">
        <v>6</v>
      </c>
      <c r="C1411" s="223" t="s">
        <v>1224</v>
      </c>
      <c r="D1411" s="223" t="s">
        <v>1221</v>
      </c>
      <c r="E1411" s="223" t="s">
        <v>1087</v>
      </c>
      <c r="F1411" s="223" t="s">
        <v>27</v>
      </c>
      <c r="G1411" s="223" t="s">
        <v>1219</v>
      </c>
    </row>
    <row r="1412" spans="1:7" x14ac:dyDescent="0.3">
      <c r="A1412" s="223">
        <v>1411</v>
      </c>
      <c r="B1412" s="223" t="s">
        <v>6</v>
      </c>
      <c r="C1412" s="223" t="s">
        <v>1224</v>
      </c>
      <c r="D1412" s="223" t="s">
        <v>1221</v>
      </c>
      <c r="E1412" s="223" t="s">
        <v>1087</v>
      </c>
      <c r="F1412" s="223" t="s">
        <v>1096</v>
      </c>
      <c r="G1412" s="223" t="s">
        <v>1219</v>
      </c>
    </row>
    <row r="1413" spans="1:7" x14ac:dyDescent="0.3">
      <c r="A1413" s="223">
        <v>1412</v>
      </c>
      <c r="B1413" s="223" t="s">
        <v>6</v>
      </c>
      <c r="C1413" s="223" t="s">
        <v>1224</v>
      </c>
      <c r="D1413" s="223" t="s">
        <v>1221</v>
      </c>
      <c r="E1413" s="223" t="s">
        <v>1087</v>
      </c>
      <c r="F1413" s="223" t="s">
        <v>1090</v>
      </c>
      <c r="G1413" s="223" t="s">
        <v>1219</v>
      </c>
    </row>
    <row r="1414" spans="1:7" x14ac:dyDescent="0.3">
      <c r="A1414" s="223">
        <v>1413</v>
      </c>
      <c r="B1414" s="223" t="s">
        <v>6</v>
      </c>
      <c r="C1414" s="223" t="s">
        <v>1224</v>
      </c>
      <c r="D1414" s="223" t="s">
        <v>1221</v>
      </c>
      <c r="E1414" s="223" t="s">
        <v>21</v>
      </c>
      <c r="F1414" s="223" t="s">
        <v>1093</v>
      </c>
      <c r="G1414" s="223" t="s">
        <v>1219</v>
      </c>
    </row>
    <row r="1415" spans="1:7" x14ac:dyDescent="0.3">
      <c r="A1415" s="223">
        <v>1414</v>
      </c>
      <c r="B1415" s="223" t="s">
        <v>6</v>
      </c>
      <c r="C1415" s="223" t="s">
        <v>1224</v>
      </c>
      <c r="D1415" s="223" t="s">
        <v>1221</v>
      </c>
      <c r="E1415" s="223" t="s">
        <v>21</v>
      </c>
      <c r="F1415" s="223" t="s">
        <v>27</v>
      </c>
      <c r="G1415" s="223" t="s">
        <v>1219</v>
      </c>
    </row>
    <row r="1416" spans="1:7" x14ac:dyDescent="0.3">
      <c r="A1416" s="223">
        <v>1415</v>
      </c>
      <c r="B1416" s="223" t="s">
        <v>6</v>
      </c>
      <c r="C1416" s="223" t="s">
        <v>1224</v>
      </c>
      <c r="D1416" s="223" t="s">
        <v>1221</v>
      </c>
      <c r="E1416" s="223" t="s">
        <v>21</v>
      </c>
      <c r="F1416" s="223" t="s">
        <v>1096</v>
      </c>
      <c r="G1416" s="223" t="s">
        <v>1219</v>
      </c>
    </row>
    <row r="1417" spans="1:7" x14ac:dyDescent="0.3">
      <c r="A1417" s="223">
        <v>1416</v>
      </c>
      <c r="B1417" s="223" t="s">
        <v>6</v>
      </c>
      <c r="C1417" s="223" t="s">
        <v>1224</v>
      </c>
      <c r="D1417" s="223" t="s">
        <v>1221</v>
      </c>
      <c r="E1417" s="223" t="s">
        <v>21</v>
      </c>
      <c r="F1417" s="223" t="s">
        <v>1090</v>
      </c>
      <c r="G1417" s="223" t="s">
        <v>1219</v>
      </c>
    </row>
    <row r="1418" spans="1:7" x14ac:dyDescent="0.3">
      <c r="A1418" s="223">
        <v>1417</v>
      </c>
      <c r="B1418" s="223" t="s">
        <v>6</v>
      </c>
      <c r="C1418" s="223" t="s">
        <v>1224</v>
      </c>
      <c r="D1418" s="223" t="s">
        <v>1222</v>
      </c>
      <c r="E1418" s="223" t="s">
        <v>1087</v>
      </c>
      <c r="F1418" s="223" t="s">
        <v>1093</v>
      </c>
      <c r="G1418" s="223" t="s">
        <v>1219</v>
      </c>
    </row>
    <row r="1419" spans="1:7" x14ac:dyDescent="0.3">
      <c r="A1419" s="223">
        <v>1418</v>
      </c>
      <c r="B1419" s="223" t="s">
        <v>6</v>
      </c>
      <c r="C1419" s="223" t="s">
        <v>1224</v>
      </c>
      <c r="D1419" s="223" t="s">
        <v>1222</v>
      </c>
      <c r="E1419" s="223" t="s">
        <v>1087</v>
      </c>
      <c r="F1419" s="223" t="s">
        <v>27</v>
      </c>
      <c r="G1419" s="223" t="s">
        <v>1219</v>
      </c>
    </row>
    <row r="1420" spans="1:7" x14ac:dyDescent="0.3">
      <c r="A1420" s="223">
        <v>1419</v>
      </c>
      <c r="B1420" s="223" t="s">
        <v>6</v>
      </c>
      <c r="C1420" s="223" t="s">
        <v>1224</v>
      </c>
      <c r="D1420" s="223" t="s">
        <v>1222</v>
      </c>
      <c r="E1420" s="223" t="s">
        <v>1087</v>
      </c>
      <c r="F1420" s="223" t="s">
        <v>1096</v>
      </c>
      <c r="G1420" s="223" t="s">
        <v>1219</v>
      </c>
    </row>
    <row r="1421" spans="1:7" x14ac:dyDescent="0.3">
      <c r="A1421" s="223">
        <v>1420</v>
      </c>
      <c r="B1421" s="223" t="s">
        <v>6</v>
      </c>
      <c r="C1421" s="223" t="s">
        <v>1224</v>
      </c>
      <c r="D1421" s="223" t="s">
        <v>1222</v>
      </c>
      <c r="E1421" s="223" t="s">
        <v>1087</v>
      </c>
      <c r="F1421" s="223" t="s">
        <v>1090</v>
      </c>
      <c r="G1421" s="223" t="s">
        <v>1219</v>
      </c>
    </row>
    <row r="1422" spans="1:7" x14ac:dyDescent="0.3">
      <c r="A1422" s="223">
        <v>1421</v>
      </c>
      <c r="B1422" s="223" t="s">
        <v>6</v>
      </c>
      <c r="C1422" s="223" t="s">
        <v>1224</v>
      </c>
      <c r="D1422" s="223" t="s">
        <v>1222</v>
      </c>
      <c r="E1422" s="223" t="s">
        <v>21</v>
      </c>
      <c r="F1422" s="223" t="s">
        <v>1093</v>
      </c>
      <c r="G1422" s="223" t="s">
        <v>1219</v>
      </c>
    </row>
    <row r="1423" spans="1:7" x14ac:dyDescent="0.3">
      <c r="A1423" s="223">
        <v>1422</v>
      </c>
      <c r="B1423" s="223" t="s">
        <v>6</v>
      </c>
      <c r="C1423" s="223" t="s">
        <v>1224</v>
      </c>
      <c r="D1423" s="223" t="s">
        <v>1222</v>
      </c>
      <c r="E1423" s="223" t="s">
        <v>21</v>
      </c>
      <c r="F1423" s="223" t="s">
        <v>27</v>
      </c>
      <c r="G1423" s="223" t="s">
        <v>1219</v>
      </c>
    </row>
    <row r="1424" spans="1:7" x14ac:dyDescent="0.3">
      <c r="A1424" s="223">
        <v>1423</v>
      </c>
      <c r="B1424" s="223" t="s">
        <v>6</v>
      </c>
      <c r="C1424" s="223" t="s">
        <v>1224</v>
      </c>
      <c r="D1424" s="223" t="s">
        <v>1222</v>
      </c>
      <c r="E1424" s="223" t="s">
        <v>21</v>
      </c>
      <c r="F1424" s="223" t="s">
        <v>1096</v>
      </c>
      <c r="G1424" s="223" t="s">
        <v>1219</v>
      </c>
    </row>
    <row r="1425" spans="1:7" x14ac:dyDescent="0.3">
      <c r="A1425" s="223">
        <v>1424</v>
      </c>
      <c r="B1425" s="223" t="s">
        <v>6</v>
      </c>
      <c r="C1425" s="223" t="s">
        <v>1224</v>
      </c>
      <c r="D1425" s="223" t="s">
        <v>1222</v>
      </c>
      <c r="E1425" s="223" t="s">
        <v>21</v>
      </c>
      <c r="F1425" s="223" t="s">
        <v>1090</v>
      </c>
      <c r="G1425" s="223" t="s">
        <v>1219</v>
      </c>
    </row>
    <row r="1426" spans="1:7" x14ac:dyDescent="0.3">
      <c r="A1426" s="223">
        <v>1425</v>
      </c>
      <c r="B1426" s="223" t="s">
        <v>6</v>
      </c>
      <c r="C1426" s="223" t="s">
        <v>1224</v>
      </c>
      <c r="D1426" s="223" t="s">
        <v>1223</v>
      </c>
      <c r="E1426" s="223" t="s">
        <v>1087</v>
      </c>
      <c r="F1426" s="223" t="s">
        <v>1093</v>
      </c>
      <c r="G1426" s="223" t="s">
        <v>1219</v>
      </c>
    </row>
    <row r="1427" spans="1:7" x14ac:dyDescent="0.3">
      <c r="A1427" s="223">
        <v>1426</v>
      </c>
      <c r="B1427" s="223" t="s">
        <v>6</v>
      </c>
      <c r="C1427" s="223" t="s">
        <v>1224</v>
      </c>
      <c r="D1427" s="223" t="s">
        <v>1223</v>
      </c>
      <c r="E1427" s="223" t="s">
        <v>1087</v>
      </c>
      <c r="F1427" s="223" t="s">
        <v>27</v>
      </c>
      <c r="G1427" s="223" t="s">
        <v>1219</v>
      </c>
    </row>
    <row r="1428" spans="1:7" x14ac:dyDescent="0.3">
      <c r="A1428" s="223">
        <v>1427</v>
      </c>
      <c r="B1428" s="223" t="s">
        <v>6</v>
      </c>
      <c r="C1428" s="223" t="s">
        <v>1224</v>
      </c>
      <c r="D1428" s="223" t="s">
        <v>1223</v>
      </c>
      <c r="E1428" s="223" t="s">
        <v>1087</v>
      </c>
      <c r="F1428" s="223" t="s">
        <v>1096</v>
      </c>
      <c r="G1428" s="223" t="s">
        <v>1219</v>
      </c>
    </row>
    <row r="1429" spans="1:7" x14ac:dyDescent="0.3">
      <c r="A1429" s="223">
        <v>1428</v>
      </c>
      <c r="B1429" s="223" t="s">
        <v>6</v>
      </c>
      <c r="C1429" s="223" t="s">
        <v>1224</v>
      </c>
      <c r="D1429" s="223" t="s">
        <v>1223</v>
      </c>
      <c r="E1429" s="223" t="s">
        <v>1087</v>
      </c>
      <c r="F1429" s="223" t="s">
        <v>1090</v>
      </c>
      <c r="G1429" s="223" t="s">
        <v>1219</v>
      </c>
    </row>
    <row r="1430" spans="1:7" x14ac:dyDescent="0.3">
      <c r="A1430" s="223">
        <v>1429</v>
      </c>
      <c r="B1430" s="223" t="s">
        <v>6</v>
      </c>
      <c r="C1430" s="223" t="s">
        <v>1224</v>
      </c>
      <c r="D1430" s="223" t="s">
        <v>1223</v>
      </c>
      <c r="E1430" s="223" t="s">
        <v>21</v>
      </c>
      <c r="F1430" s="223" t="s">
        <v>1093</v>
      </c>
      <c r="G1430" s="223" t="s">
        <v>1219</v>
      </c>
    </row>
    <row r="1431" spans="1:7" x14ac:dyDescent="0.3">
      <c r="A1431" s="223">
        <v>1430</v>
      </c>
      <c r="B1431" s="223" t="s">
        <v>6</v>
      </c>
      <c r="C1431" s="223" t="s">
        <v>1224</v>
      </c>
      <c r="D1431" s="223" t="s">
        <v>1223</v>
      </c>
      <c r="E1431" s="223" t="s">
        <v>21</v>
      </c>
      <c r="F1431" s="223" t="s">
        <v>27</v>
      </c>
      <c r="G1431" s="223" t="s">
        <v>1219</v>
      </c>
    </row>
    <row r="1432" spans="1:7" x14ac:dyDescent="0.3">
      <c r="A1432" s="223">
        <v>1431</v>
      </c>
      <c r="B1432" s="223" t="s">
        <v>6</v>
      </c>
      <c r="C1432" s="223" t="s">
        <v>1224</v>
      </c>
      <c r="D1432" s="223" t="s">
        <v>1223</v>
      </c>
      <c r="E1432" s="223" t="s">
        <v>21</v>
      </c>
      <c r="F1432" s="223" t="s">
        <v>1096</v>
      </c>
      <c r="G1432" s="223" t="s">
        <v>1219</v>
      </c>
    </row>
    <row r="1433" spans="1:7" x14ac:dyDescent="0.3">
      <c r="A1433" s="223">
        <v>1432</v>
      </c>
      <c r="B1433" s="223" t="s">
        <v>6</v>
      </c>
      <c r="C1433" s="223" t="s">
        <v>1224</v>
      </c>
      <c r="D1433" s="223" t="s">
        <v>1223</v>
      </c>
      <c r="E1433" s="223" t="s">
        <v>21</v>
      </c>
      <c r="F1433" s="223" t="s">
        <v>1090</v>
      </c>
      <c r="G1433" s="223" t="s">
        <v>1219</v>
      </c>
    </row>
    <row r="1434" spans="1:7" x14ac:dyDescent="0.3">
      <c r="A1434" s="223">
        <v>1433</v>
      </c>
      <c r="B1434" s="223" t="s">
        <v>6</v>
      </c>
      <c r="C1434" s="223" t="s">
        <v>1224</v>
      </c>
      <c r="D1434" s="223" t="s">
        <v>12</v>
      </c>
      <c r="E1434" s="223" t="s">
        <v>1087</v>
      </c>
      <c r="F1434" s="223" t="s">
        <v>1093</v>
      </c>
      <c r="G1434" s="223" t="s">
        <v>1219</v>
      </c>
    </row>
    <row r="1435" spans="1:7" x14ac:dyDescent="0.3">
      <c r="A1435" s="223">
        <v>1434</v>
      </c>
      <c r="B1435" s="223" t="s">
        <v>6</v>
      </c>
      <c r="C1435" s="223" t="s">
        <v>1224</v>
      </c>
      <c r="D1435" s="223" t="s">
        <v>12</v>
      </c>
      <c r="E1435" s="223" t="s">
        <v>1087</v>
      </c>
      <c r="F1435" s="223" t="s">
        <v>27</v>
      </c>
      <c r="G1435" s="223" t="s">
        <v>1219</v>
      </c>
    </row>
    <row r="1436" spans="1:7" x14ac:dyDescent="0.3">
      <c r="A1436" s="223">
        <v>1435</v>
      </c>
      <c r="B1436" s="223" t="s">
        <v>6</v>
      </c>
      <c r="C1436" s="223" t="s">
        <v>1224</v>
      </c>
      <c r="D1436" s="223" t="s">
        <v>12</v>
      </c>
      <c r="E1436" s="223" t="s">
        <v>1087</v>
      </c>
      <c r="F1436" s="223" t="s">
        <v>1096</v>
      </c>
      <c r="G1436" s="223" t="s">
        <v>1219</v>
      </c>
    </row>
    <row r="1437" spans="1:7" x14ac:dyDescent="0.3">
      <c r="A1437" s="223">
        <v>1436</v>
      </c>
      <c r="B1437" s="223" t="s">
        <v>6</v>
      </c>
      <c r="C1437" s="223" t="s">
        <v>1224</v>
      </c>
      <c r="D1437" s="223" t="s">
        <v>12</v>
      </c>
      <c r="E1437" s="223" t="s">
        <v>1087</v>
      </c>
      <c r="F1437" s="223" t="s">
        <v>1090</v>
      </c>
      <c r="G1437" s="223" t="s">
        <v>1219</v>
      </c>
    </row>
    <row r="1438" spans="1:7" x14ac:dyDescent="0.3">
      <c r="A1438" s="223">
        <v>1437</v>
      </c>
      <c r="B1438" s="223" t="s">
        <v>6</v>
      </c>
      <c r="C1438" s="223" t="s">
        <v>1224</v>
      </c>
      <c r="D1438" s="223" t="s">
        <v>12</v>
      </c>
      <c r="E1438" s="223" t="s">
        <v>21</v>
      </c>
      <c r="F1438" s="223" t="s">
        <v>1093</v>
      </c>
      <c r="G1438" s="223" t="s">
        <v>1219</v>
      </c>
    </row>
    <row r="1439" spans="1:7" x14ac:dyDescent="0.3">
      <c r="A1439" s="223">
        <v>1438</v>
      </c>
      <c r="B1439" s="223" t="s">
        <v>6</v>
      </c>
      <c r="C1439" s="223" t="s">
        <v>1224</v>
      </c>
      <c r="D1439" s="223" t="s">
        <v>12</v>
      </c>
      <c r="E1439" s="223" t="s">
        <v>21</v>
      </c>
      <c r="F1439" s="223" t="s">
        <v>27</v>
      </c>
      <c r="G1439" s="223" t="s">
        <v>1219</v>
      </c>
    </row>
    <row r="1440" spans="1:7" x14ac:dyDescent="0.3">
      <c r="A1440" s="223">
        <v>1439</v>
      </c>
      <c r="B1440" s="223" t="s">
        <v>6</v>
      </c>
      <c r="C1440" s="223" t="s">
        <v>1224</v>
      </c>
      <c r="D1440" s="223" t="s">
        <v>12</v>
      </c>
      <c r="E1440" s="223" t="s">
        <v>21</v>
      </c>
      <c r="F1440" s="223" t="s">
        <v>1096</v>
      </c>
      <c r="G1440" s="223" t="s">
        <v>1219</v>
      </c>
    </row>
    <row r="1441" spans="1:7" x14ac:dyDescent="0.3">
      <c r="A1441" s="223">
        <v>1440</v>
      </c>
      <c r="B1441" s="223" t="s">
        <v>6</v>
      </c>
      <c r="C1441" s="223" t="s">
        <v>1224</v>
      </c>
      <c r="D1441" s="223" t="s">
        <v>12</v>
      </c>
      <c r="E1441" s="223" t="s">
        <v>21</v>
      </c>
      <c r="F1441" s="223" t="s">
        <v>1090</v>
      </c>
      <c r="G1441" s="223" t="s">
        <v>1219</v>
      </c>
    </row>
    <row r="1442" spans="1:7" x14ac:dyDescent="0.3">
      <c r="A1442" s="223">
        <v>1441</v>
      </c>
      <c r="B1442" s="223" t="s">
        <v>6</v>
      </c>
      <c r="C1442" s="223" t="s">
        <v>1225</v>
      </c>
      <c r="D1442" s="223" t="s">
        <v>1218</v>
      </c>
      <c r="E1442" s="223" t="s">
        <v>1087</v>
      </c>
      <c r="F1442" s="223" t="s">
        <v>1093</v>
      </c>
      <c r="G1442" s="223" t="s">
        <v>1219</v>
      </c>
    </row>
    <row r="1443" spans="1:7" x14ac:dyDescent="0.3">
      <c r="A1443" s="223">
        <v>1442</v>
      </c>
      <c r="B1443" s="223" t="s">
        <v>6</v>
      </c>
      <c r="C1443" s="223" t="s">
        <v>1225</v>
      </c>
      <c r="D1443" s="223" t="s">
        <v>1218</v>
      </c>
      <c r="E1443" s="223" t="s">
        <v>1087</v>
      </c>
      <c r="F1443" s="223" t="s">
        <v>27</v>
      </c>
      <c r="G1443" s="223" t="s">
        <v>1219</v>
      </c>
    </row>
    <row r="1444" spans="1:7" x14ac:dyDescent="0.3">
      <c r="A1444" s="223">
        <v>1443</v>
      </c>
      <c r="B1444" s="223" t="s">
        <v>6</v>
      </c>
      <c r="C1444" s="223" t="s">
        <v>1225</v>
      </c>
      <c r="D1444" s="223" t="s">
        <v>1218</v>
      </c>
      <c r="E1444" s="223" t="s">
        <v>1087</v>
      </c>
      <c r="F1444" s="223" t="s">
        <v>1096</v>
      </c>
      <c r="G1444" s="223" t="s">
        <v>1219</v>
      </c>
    </row>
    <row r="1445" spans="1:7" x14ac:dyDescent="0.3">
      <c r="A1445" s="223">
        <v>1444</v>
      </c>
      <c r="B1445" s="223" t="s">
        <v>6</v>
      </c>
      <c r="C1445" s="223" t="s">
        <v>1225</v>
      </c>
      <c r="D1445" s="223" t="s">
        <v>1218</v>
      </c>
      <c r="E1445" s="223" t="s">
        <v>1087</v>
      </c>
      <c r="F1445" s="223" t="s">
        <v>1090</v>
      </c>
      <c r="G1445" s="223" t="s">
        <v>1219</v>
      </c>
    </row>
    <row r="1446" spans="1:7" x14ac:dyDescent="0.3">
      <c r="A1446" s="223">
        <v>1445</v>
      </c>
      <c r="B1446" s="223" t="s">
        <v>6</v>
      </c>
      <c r="C1446" s="223" t="s">
        <v>1225</v>
      </c>
      <c r="D1446" s="223" t="s">
        <v>1218</v>
      </c>
      <c r="E1446" s="223" t="s">
        <v>21</v>
      </c>
      <c r="F1446" s="223" t="s">
        <v>1093</v>
      </c>
      <c r="G1446" s="223" t="s">
        <v>1219</v>
      </c>
    </row>
    <row r="1447" spans="1:7" x14ac:dyDescent="0.3">
      <c r="A1447" s="223">
        <v>1446</v>
      </c>
      <c r="B1447" s="223" t="s">
        <v>6</v>
      </c>
      <c r="C1447" s="223" t="s">
        <v>1225</v>
      </c>
      <c r="D1447" s="223" t="s">
        <v>1218</v>
      </c>
      <c r="E1447" s="223" t="s">
        <v>21</v>
      </c>
      <c r="F1447" s="223" t="s">
        <v>27</v>
      </c>
      <c r="G1447" s="223" t="s">
        <v>1219</v>
      </c>
    </row>
    <row r="1448" spans="1:7" x14ac:dyDescent="0.3">
      <c r="A1448" s="223">
        <v>1447</v>
      </c>
      <c r="B1448" s="223" t="s">
        <v>6</v>
      </c>
      <c r="C1448" s="223" t="s">
        <v>1225</v>
      </c>
      <c r="D1448" s="223" t="s">
        <v>1218</v>
      </c>
      <c r="E1448" s="223" t="s">
        <v>21</v>
      </c>
      <c r="F1448" s="223" t="s">
        <v>1096</v>
      </c>
      <c r="G1448" s="223" t="s">
        <v>1219</v>
      </c>
    </row>
    <row r="1449" spans="1:7" x14ac:dyDescent="0.3">
      <c r="A1449" s="223">
        <v>1448</v>
      </c>
      <c r="B1449" s="223" t="s">
        <v>6</v>
      </c>
      <c r="C1449" s="223" t="s">
        <v>1225</v>
      </c>
      <c r="D1449" s="223" t="s">
        <v>1218</v>
      </c>
      <c r="E1449" s="223" t="s">
        <v>21</v>
      </c>
      <c r="F1449" s="223" t="s">
        <v>1090</v>
      </c>
      <c r="G1449" s="223" t="s">
        <v>1219</v>
      </c>
    </row>
    <row r="1450" spans="1:7" x14ac:dyDescent="0.3">
      <c r="A1450" s="223">
        <v>1449</v>
      </c>
      <c r="B1450" s="223" t="s">
        <v>6</v>
      </c>
      <c r="C1450" s="223" t="s">
        <v>1225</v>
      </c>
      <c r="D1450" s="223" t="s">
        <v>1220</v>
      </c>
      <c r="E1450" s="223" t="s">
        <v>1087</v>
      </c>
      <c r="F1450" s="223" t="s">
        <v>1093</v>
      </c>
      <c r="G1450" s="223" t="s">
        <v>1219</v>
      </c>
    </row>
    <row r="1451" spans="1:7" x14ac:dyDescent="0.3">
      <c r="A1451" s="223">
        <v>1450</v>
      </c>
      <c r="B1451" s="223" t="s">
        <v>6</v>
      </c>
      <c r="C1451" s="223" t="s">
        <v>1225</v>
      </c>
      <c r="D1451" s="223" t="s">
        <v>1220</v>
      </c>
      <c r="E1451" s="223" t="s">
        <v>1087</v>
      </c>
      <c r="F1451" s="223" t="s">
        <v>27</v>
      </c>
      <c r="G1451" s="223" t="s">
        <v>1219</v>
      </c>
    </row>
    <row r="1452" spans="1:7" x14ac:dyDescent="0.3">
      <c r="A1452" s="223">
        <v>1451</v>
      </c>
      <c r="B1452" s="223" t="s">
        <v>6</v>
      </c>
      <c r="C1452" s="223" t="s">
        <v>1225</v>
      </c>
      <c r="D1452" s="223" t="s">
        <v>1220</v>
      </c>
      <c r="E1452" s="223" t="s">
        <v>1087</v>
      </c>
      <c r="F1452" s="223" t="s">
        <v>1096</v>
      </c>
      <c r="G1452" s="223" t="s">
        <v>1219</v>
      </c>
    </row>
    <row r="1453" spans="1:7" x14ac:dyDescent="0.3">
      <c r="A1453" s="223">
        <v>1452</v>
      </c>
      <c r="B1453" s="223" t="s">
        <v>6</v>
      </c>
      <c r="C1453" s="223" t="s">
        <v>1225</v>
      </c>
      <c r="D1453" s="223" t="s">
        <v>1220</v>
      </c>
      <c r="E1453" s="223" t="s">
        <v>1087</v>
      </c>
      <c r="F1453" s="223" t="s">
        <v>1090</v>
      </c>
      <c r="G1453" s="223" t="s">
        <v>1219</v>
      </c>
    </row>
    <row r="1454" spans="1:7" x14ac:dyDescent="0.3">
      <c r="A1454" s="223">
        <v>1453</v>
      </c>
      <c r="B1454" s="223" t="s">
        <v>6</v>
      </c>
      <c r="C1454" s="223" t="s">
        <v>1225</v>
      </c>
      <c r="D1454" s="223" t="s">
        <v>1220</v>
      </c>
      <c r="E1454" s="223" t="s">
        <v>21</v>
      </c>
      <c r="F1454" s="223" t="s">
        <v>1093</v>
      </c>
      <c r="G1454" s="223" t="s">
        <v>1219</v>
      </c>
    </row>
    <row r="1455" spans="1:7" x14ac:dyDescent="0.3">
      <c r="A1455" s="223">
        <v>1454</v>
      </c>
      <c r="B1455" s="223" t="s">
        <v>6</v>
      </c>
      <c r="C1455" s="223" t="s">
        <v>1225</v>
      </c>
      <c r="D1455" s="223" t="s">
        <v>1220</v>
      </c>
      <c r="E1455" s="223" t="s">
        <v>21</v>
      </c>
      <c r="F1455" s="223" t="s">
        <v>27</v>
      </c>
      <c r="G1455" s="223" t="s">
        <v>1219</v>
      </c>
    </row>
    <row r="1456" spans="1:7" x14ac:dyDescent="0.3">
      <c r="A1456" s="223">
        <v>1455</v>
      </c>
      <c r="B1456" s="223" t="s">
        <v>6</v>
      </c>
      <c r="C1456" s="223" t="s">
        <v>1225</v>
      </c>
      <c r="D1456" s="223" t="s">
        <v>1220</v>
      </c>
      <c r="E1456" s="223" t="s">
        <v>21</v>
      </c>
      <c r="F1456" s="223" t="s">
        <v>1096</v>
      </c>
      <c r="G1456" s="223" t="s">
        <v>1219</v>
      </c>
    </row>
    <row r="1457" spans="1:7" x14ac:dyDescent="0.3">
      <c r="A1457" s="223">
        <v>1456</v>
      </c>
      <c r="B1457" s="223" t="s">
        <v>6</v>
      </c>
      <c r="C1457" s="223" t="s">
        <v>1225</v>
      </c>
      <c r="D1457" s="223" t="s">
        <v>1220</v>
      </c>
      <c r="E1457" s="223" t="s">
        <v>21</v>
      </c>
      <c r="F1457" s="223" t="s">
        <v>1090</v>
      </c>
      <c r="G1457" s="223" t="s">
        <v>1219</v>
      </c>
    </row>
    <row r="1458" spans="1:7" x14ac:dyDescent="0.3">
      <c r="A1458" s="223">
        <v>1457</v>
      </c>
      <c r="B1458" s="223" t="s">
        <v>6</v>
      </c>
      <c r="C1458" s="223" t="s">
        <v>1225</v>
      </c>
      <c r="D1458" s="223" t="s">
        <v>1221</v>
      </c>
      <c r="E1458" s="223" t="s">
        <v>1087</v>
      </c>
      <c r="F1458" s="223" t="s">
        <v>1093</v>
      </c>
      <c r="G1458" s="223" t="s">
        <v>1219</v>
      </c>
    </row>
    <row r="1459" spans="1:7" x14ac:dyDescent="0.3">
      <c r="A1459" s="223">
        <v>1458</v>
      </c>
      <c r="B1459" s="223" t="s">
        <v>6</v>
      </c>
      <c r="C1459" s="223" t="s">
        <v>1225</v>
      </c>
      <c r="D1459" s="223" t="s">
        <v>1221</v>
      </c>
      <c r="E1459" s="223" t="s">
        <v>1087</v>
      </c>
      <c r="F1459" s="223" t="s">
        <v>27</v>
      </c>
      <c r="G1459" s="223" t="s">
        <v>1219</v>
      </c>
    </row>
    <row r="1460" spans="1:7" x14ac:dyDescent="0.3">
      <c r="A1460" s="223">
        <v>1459</v>
      </c>
      <c r="B1460" s="223" t="s">
        <v>6</v>
      </c>
      <c r="C1460" s="223" t="s">
        <v>1225</v>
      </c>
      <c r="D1460" s="223" t="s">
        <v>1221</v>
      </c>
      <c r="E1460" s="223" t="s">
        <v>1087</v>
      </c>
      <c r="F1460" s="223" t="s">
        <v>1096</v>
      </c>
      <c r="G1460" s="223" t="s">
        <v>1219</v>
      </c>
    </row>
    <row r="1461" spans="1:7" x14ac:dyDescent="0.3">
      <c r="A1461" s="223">
        <v>1460</v>
      </c>
      <c r="B1461" s="223" t="s">
        <v>6</v>
      </c>
      <c r="C1461" s="223" t="s">
        <v>1225</v>
      </c>
      <c r="D1461" s="223" t="s">
        <v>1221</v>
      </c>
      <c r="E1461" s="223" t="s">
        <v>1087</v>
      </c>
      <c r="F1461" s="223" t="s">
        <v>1090</v>
      </c>
      <c r="G1461" s="223" t="s">
        <v>1219</v>
      </c>
    </row>
    <row r="1462" spans="1:7" x14ac:dyDescent="0.3">
      <c r="A1462" s="223">
        <v>1461</v>
      </c>
      <c r="B1462" s="223" t="s">
        <v>6</v>
      </c>
      <c r="C1462" s="223" t="s">
        <v>1225</v>
      </c>
      <c r="D1462" s="223" t="s">
        <v>1221</v>
      </c>
      <c r="E1462" s="223" t="s">
        <v>21</v>
      </c>
      <c r="F1462" s="223" t="s">
        <v>1093</v>
      </c>
      <c r="G1462" s="223" t="s">
        <v>1219</v>
      </c>
    </row>
    <row r="1463" spans="1:7" x14ac:dyDescent="0.3">
      <c r="A1463" s="223">
        <v>1462</v>
      </c>
      <c r="B1463" s="223" t="s">
        <v>6</v>
      </c>
      <c r="C1463" s="223" t="s">
        <v>1225</v>
      </c>
      <c r="D1463" s="223" t="s">
        <v>1221</v>
      </c>
      <c r="E1463" s="223" t="s">
        <v>21</v>
      </c>
      <c r="F1463" s="223" t="s">
        <v>27</v>
      </c>
      <c r="G1463" s="223" t="s">
        <v>1219</v>
      </c>
    </row>
    <row r="1464" spans="1:7" x14ac:dyDescent="0.3">
      <c r="A1464" s="223">
        <v>1463</v>
      </c>
      <c r="B1464" s="223" t="s">
        <v>6</v>
      </c>
      <c r="C1464" s="223" t="s">
        <v>1225</v>
      </c>
      <c r="D1464" s="223" t="s">
        <v>1221</v>
      </c>
      <c r="E1464" s="223" t="s">
        <v>21</v>
      </c>
      <c r="F1464" s="223" t="s">
        <v>1096</v>
      </c>
      <c r="G1464" s="223" t="s">
        <v>1219</v>
      </c>
    </row>
    <row r="1465" spans="1:7" x14ac:dyDescent="0.3">
      <c r="A1465" s="223">
        <v>1464</v>
      </c>
      <c r="B1465" s="223" t="s">
        <v>6</v>
      </c>
      <c r="C1465" s="223" t="s">
        <v>1225</v>
      </c>
      <c r="D1465" s="223" t="s">
        <v>1221</v>
      </c>
      <c r="E1465" s="223" t="s">
        <v>21</v>
      </c>
      <c r="F1465" s="223" t="s">
        <v>1090</v>
      </c>
      <c r="G1465" s="223" t="s">
        <v>1219</v>
      </c>
    </row>
    <row r="1466" spans="1:7" x14ac:dyDescent="0.3">
      <c r="A1466" s="223">
        <v>1465</v>
      </c>
      <c r="B1466" s="223" t="s">
        <v>6</v>
      </c>
      <c r="C1466" s="223" t="s">
        <v>1225</v>
      </c>
      <c r="D1466" s="223" t="s">
        <v>1222</v>
      </c>
      <c r="E1466" s="223" t="s">
        <v>1087</v>
      </c>
      <c r="F1466" s="223" t="s">
        <v>1093</v>
      </c>
      <c r="G1466" s="223" t="s">
        <v>1219</v>
      </c>
    </row>
    <row r="1467" spans="1:7" x14ac:dyDescent="0.3">
      <c r="A1467" s="223">
        <v>1466</v>
      </c>
      <c r="B1467" s="223" t="s">
        <v>6</v>
      </c>
      <c r="C1467" s="223" t="s">
        <v>1225</v>
      </c>
      <c r="D1467" s="223" t="s">
        <v>1222</v>
      </c>
      <c r="E1467" s="223" t="s">
        <v>1087</v>
      </c>
      <c r="F1467" s="223" t="s">
        <v>27</v>
      </c>
      <c r="G1467" s="223" t="s">
        <v>1219</v>
      </c>
    </row>
    <row r="1468" spans="1:7" x14ac:dyDescent="0.3">
      <c r="A1468" s="223">
        <v>1467</v>
      </c>
      <c r="B1468" s="223" t="s">
        <v>6</v>
      </c>
      <c r="C1468" s="223" t="s">
        <v>1225</v>
      </c>
      <c r="D1468" s="223" t="s">
        <v>1222</v>
      </c>
      <c r="E1468" s="223" t="s">
        <v>1087</v>
      </c>
      <c r="F1468" s="223" t="s">
        <v>1096</v>
      </c>
      <c r="G1468" s="223" t="s">
        <v>1219</v>
      </c>
    </row>
    <row r="1469" spans="1:7" x14ac:dyDescent="0.3">
      <c r="A1469" s="223">
        <v>1468</v>
      </c>
      <c r="B1469" s="223" t="s">
        <v>6</v>
      </c>
      <c r="C1469" s="223" t="s">
        <v>1225</v>
      </c>
      <c r="D1469" s="223" t="s">
        <v>1222</v>
      </c>
      <c r="E1469" s="223" t="s">
        <v>1087</v>
      </c>
      <c r="F1469" s="223" t="s">
        <v>1090</v>
      </c>
      <c r="G1469" s="223" t="s">
        <v>1219</v>
      </c>
    </row>
    <row r="1470" spans="1:7" x14ac:dyDescent="0.3">
      <c r="A1470" s="223">
        <v>1469</v>
      </c>
      <c r="B1470" s="223" t="s">
        <v>6</v>
      </c>
      <c r="C1470" s="223" t="s">
        <v>1225</v>
      </c>
      <c r="D1470" s="223" t="s">
        <v>1222</v>
      </c>
      <c r="E1470" s="223" t="s">
        <v>21</v>
      </c>
      <c r="F1470" s="223" t="s">
        <v>1093</v>
      </c>
      <c r="G1470" s="223" t="s">
        <v>1219</v>
      </c>
    </row>
    <row r="1471" spans="1:7" x14ac:dyDescent="0.3">
      <c r="A1471" s="223">
        <v>1470</v>
      </c>
      <c r="B1471" s="223" t="s">
        <v>6</v>
      </c>
      <c r="C1471" s="223" t="s">
        <v>1225</v>
      </c>
      <c r="D1471" s="223" t="s">
        <v>1222</v>
      </c>
      <c r="E1471" s="223" t="s">
        <v>21</v>
      </c>
      <c r="F1471" s="223" t="s">
        <v>27</v>
      </c>
      <c r="G1471" s="223" t="s">
        <v>1219</v>
      </c>
    </row>
    <row r="1472" spans="1:7" x14ac:dyDescent="0.3">
      <c r="A1472" s="223">
        <v>1471</v>
      </c>
      <c r="B1472" s="223" t="s">
        <v>6</v>
      </c>
      <c r="C1472" s="223" t="s">
        <v>1225</v>
      </c>
      <c r="D1472" s="223" t="s">
        <v>1222</v>
      </c>
      <c r="E1472" s="223" t="s">
        <v>21</v>
      </c>
      <c r="F1472" s="223" t="s">
        <v>1096</v>
      </c>
      <c r="G1472" s="223" t="s">
        <v>1219</v>
      </c>
    </row>
    <row r="1473" spans="1:7" x14ac:dyDescent="0.3">
      <c r="A1473" s="223">
        <v>1472</v>
      </c>
      <c r="B1473" s="223" t="s">
        <v>6</v>
      </c>
      <c r="C1473" s="223" t="s">
        <v>1225</v>
      </c>
      <c r="D1473" s="223" t="s">
        <v>1222</v>
      </c>
      <c r="E1473" s="223" t="s">
        <v>21</v>
      </c>
      <c r="F1473" s="223" t="s">
        <v>1090</v>
      </c>
      <c r="G1473" s="223" t="s">
        <v>1219</v>
      </c>
    </row>
    <row r="1474" spans="1:7" x14ac:dyDescent="0.3">
      <c r="A1474" s="223">
        <v>1473</v>
      </c>
      <c r="B1474" s="223" t="s">
        <v>6</v>
      </c>
      <c r="C1474" s="223" t="s">
        <v>1225</v>
      </c>
      <c r="D1474" s="223" t="s">
        <v>1223</v>
      </c>
      <c r="E1474" s="223" t="s">
        <v>1087</v>
      </c>
      <c r="F1474" s="223" t="s">
        <v>1093</v>
      </c>
      <c r="G1474" s="223" t="s">
        <v>1219</v>
      </c>
    </row>
    <row r="1475" spans="1:7" x14ac:dyDescent="0.3">
      <c r="A1475" s="223">
        <v>1474</v>
      </c>
      <c r="B1475" s="223" t="s">
        <v>6</v>
      </c>
      <c r="C1475" s="223" t="s">
        <v>1225</v>
      </c>
      <c r="D1475" s="223" t="s">
        <v>1223</v>
      </c>
      <c r="E1475" s="223" t="s">
        <v>1087</v>
      </c>
      <c r="F1475" s="223" t="s">
        <v>27</v>
      </c>
      <c r="G1475" s="223" t="s">
        <v>1219</v>
      </c>
    </row>
    <row r="1476" spans="1:7" x14ac:dyDescent="0.3">
      <c r="A1476" s="223">
        <v>1475</v>
      </c>
      <c r="B1476" s="223" t="s">
        <v>6</v>
      </c>
      <c r="C1476" s="223" t="s">
        <v>1225</v>
      </c>
      <c r="D1476" s="223" t="s">
        <v>1223</v>
      </c>
      <c r="E1476" s="223" t="s">
        <v>1087</v>
      </c>
      <c r="F1476" s="223" t="s">
        <v>1096</v>
      </c>
      <c r="G1476" s="223" t="s">
        <v>1219</v>
      </c>
    </row>
    <row r="1477" spans="1:7" x14ac:dyDescent="0.3">
      <c r="A1477" s="223">
        <v>1476</v>
      </c>
      <c r="B1477" s="223" t="s">
        <v>6</v>
      </c>
      <c r="C1477" s="223" t="s">
        <v>1225</v>
      </c>
      <c r="D1477" s="223" t="s">
        <v>1223</v>
      </c>
      <c r="E1477" s="223" t="s">
        <v>1087</v>
      </c>
      <c r="F1477" s="223" t="s">
        <v>1090</v>
      </c>
      <c r="G1477" s="223" t="s">
        <v>1219</v>
      </c>
    </row>
    <row r="1478" spans="1:7" x14ac:dyDescent="0.3">
      <c r="A1478" s="223">
        <v>1477</v>
      </c>
      <c r="B1478" s="223" t="s">
        <v>6</v>
      </c>
      <c r="C1478" s="223" t="s">
        <v>1225</v>
      </c>
      <c r="D1478" s="223" t="s">
        <v>1223</v>
      </c>
      <c r="E1478" s="223" t="s">
        <v>21</v>
      </c>
      <c r="F1478" s="223" t="s">
        <v>1093</v>
      </c>
      <c r="G1478" s="223" t="s">
        <v>1219</v>
      </c>
    </row>
    <row r="1479" spans="1:7" x14ac:dyDescent="0.3">
      <c r="A1479" s="223">
        <v>1478</v>
      </c>
      <c r="B1479" s="223" t="s">
        <v>6</v>
      </c>
      <c r="C1479" s="223" t="s">
        <v>1225</v>
      </c>
      <c r="D1479" s="223" t="s">
        <v>1223</v>
      </c>
      <c r="E1479" s="223" t="s">
        <v>21</v>
      </c>
      <c r="F1479" s="223" t="s">
        <v>27</v>
      </c>
      <c r="G1479" s="223" t="s">
        <v>1219</v>
      </c>
    </row>
    <row r="1480" spans="1:7" x14ac:dyDescent="0.3">
      <c r="A1480" s="223">
        <v>1479</v>
      </c>
      <c r="B1480" s="223" t="s">
        <v>6</v>
      </c>
      <c r="C1480" s="223" t="s">
        <v>1225</v>
      </c>
      <c r="D1480" s="223" t="s">
        <v>1223</v>
      </c>
      <c r="E1480" s="223" t="s">
        <v>21</v>
      </c>
      <c r="F1480" s="223" t="s">
        <v>1096</v>
      </c>
      <c r="G1480" s="223" t="s">
        <v>1219</v>
      </c>
    </row>
    <row r="1481" spans="1:7" x14ac:dyDescent="0.3">
      <c r="A1481" s="223">
        <v>1480</v>
      </c>
      <c r="B1481" s="223" t="s">
        <v>6</v>
      </c>
      <c r="C1481" s="223" t="s">
        <v>1225</v>
      </c>
      <c r="D1481" s="223" t="s">
        <v>1223</v>
      </c>
      <c r="E1481" s="223" t="s">
        <v>21</v>
      </c>
      <c r="F1481" s="223" t="s">
        <v>1090</v>
      </c>
      <c r="G1481" s="223" t="s">
        <v>1219</v>
      </c>
    </row>
    <row r="1482" spans="1:7" x14ac:dyDescent="0.3">
      <c r="A1482" s="223">
        <v>1481</v>
      </c>
      <c r="B1482" s="223" t="s">
        <v>6</v>
      </c>
      <c r="C1482" s="223" t="s">
        <v>1225</v>
      </c>
      <c r="D1482" s="223" t="s">
        <v>12</v>
      </c>
      <c r="E1482" s="223" t="s">
        <v>1087</v>
      </c>
      <c r="F1482" s="223" t="s">
        <v>1093</v>
      </c>
      <c r="G1482" s="223" t="s">
        <v>1219</v>
      </c>
    </row>
    <row r="1483" spans="1:7" x14ac:dyDescent="0.3">
      <c r="A1483" s="223">
        <v>1482</v>
      </c>
      <c r="B1483" s="223" t="s">
        <v>6</v>
      </c>
      <c r="C1483" s="223" t="s">
        <v>1225</v>
      </c>
      <c r="D1483" s="223" t="s">
        <v>12</v>
      </c>
      <c r="E1483" s="223" t="s">
        <v>1087</v>
      </c>
      <c r="F1483" s="223" t="s">
        <v>27</v>
      </c>
      <c r="G1483" s="223" t="s">
        <v>1219</v>
      </c>
    </row>
    <row r="1484" spans="1:7" x14ac:dyDescent="0.3">
      <c r="A1484" s="223">
        <v>1483</v>
      </c>
      <c r="B1484" s="223" t="s">
        <v>6</v>
      </c>
      <c r="C1484" s="223" t="s">
        <v>1225</v>
      </c>
      <c r="D1484" s="223" t="s">
        <v>12</v>
      </c>
      <c r="E1484" s="223" t="s">
        <v>1087</v>
      </c>
      <c r="F1484" s="223" t="s">
        <v>1096</v>
      </c>
      <c r="G1484" s="223" t="s">
        <v>1219</v>
      </c>
    </row>
    <row r="1485" spans="1:7" x14ac:dyDescent="0.3">
      <c r="A1485" s="223">
        <v>1484</v>
      </c>
      <c r="B1485" s="223" t="s">
        <v>6</v>
      </c>
      <c r="C1485" s="223" t="s">
        <v>1225</v>
      </c>
      <c r="D1485" s="223" t="s">
        <v>12</v>
      </c>
      <c r="E1485" s="223" t="s">
        <v>1087</v>
      </c>
      <c r="F1485" s="223" t="s">
        <v>1090</v>
      </c>
      <c r="G1485" s="223" t="s">
        <v>1219</v>
      </c>
    </row>
    <row r="1486" spans="1:7" x14ac:dyDescent="0.3">
      <c r="A1486" s="223">
        <v>1485</v>
      </c>
      <c r="B1486" s="223" t="s">
        <v>6</v>
      </c>
      <c r="C1486" s="223" t="s">
        <v>1225</v>
      </c>
      <c r="D1486" s="223" t="s">
        <v>12</v>
      </c>
      <c r="E1486" s="223" t="s">
        <v>21</v>
      </c>
      <c r="F1486" s="223" t="s">
        <v>1093</v>
      </c>
      <c r="G1486" s="223" t="s">
        <v>1219</v>
      </c>
    </row>
    <row r="1487" spans="1:7" x14ac:dyDescent="0.3">
      <c r="A1487" s="223">
        <v>1486</v>
      </c>
      <c r="B1487" s="223" t="s">
        <v>6</v>
      </c>
      <c r="C1487" s="223" t="s">
        <v>1225</v>
      </c>
      <c r="D1487" s="223" t="s">
        <v>12</v>
      </c>
      <c r="E1487" s="223" t="s">
        <v>21</v>
      </c>
      <c r="F1487" s="223" t="s">
        <v>27</v>
      </c>
      <c r="G1487" s="223" t="s">
        <v>1219</v>
      </c>
    </row>
    <row r="1488" spans="1:7" x14ac:dyDescent="0.3">
      <c r="A1488" s="223">
        <v>1487</v>
      </c>
      <c r="B1488" s="223" t="s">
        <v>6</v>
      </c>
      <c r="C1488" s="223" t="s">
        <v>1225</v>
      </c>
      <c r="D1488" s="223" t="s">
        <v>12</v>
      </c>
      <c r="E1488" s="223" t="s">
        <v>21</v>
      </c>
      <c r="F1488" s="223" t="s">
        <v>1096</v>
      </c>
      <c r="G1488" s="223" t="s">
        <v>1219</v>
      </c>
    </row>
    <row r="1489" spans="1:7" x14ac:dyDescent="0.3">
      <c r="A1489" s="223">
        <v>1488</v>
      </c>
      <c r="B1489" s="223" t="s">
        <v>6</v>
      </c>
      <c r="C1489" s="223" t="s">
        <v>1225</v>
      </c>
      <c r="D1489" s="223" t="s">
        <v>12</v>
      </c>
      <c r="E1489" s="223" t="s">
        <v>21</v>
      </c>
      <c r="F1489" s="223" t="s">
        <v>1090</v>
      </c>
      <c r="G1489" s="223" t="s">
        <v>1219</v>
      </c>
    </row>
    <row r="1490" spans="1:7" x14ac:dyDescent="0.3">
      <c r="A1490" s="223">
        <v>1489</v>
      </c>
      <c r="B1490" s="223" t="s">
        <v>6</v>
      </c>
      <c r="C1490" s="223" t="s">
        <v>1226</v>
      </c>
      <c r="D1490" s="223" t="s">
        <v>1218</v>
      </c>
      <c r="E1490" s="223" t="s">
        <v>1087</v>
      </c>
      <c r="F1490" s="223" t="s">
        <v>1093</v>
      </c>
      <c r="G1490" s="223" t="s">
        <v>1219</v>
      </c>
    </row>
    <row r="1491" spans="1:7" x14ac:dyDescent="0.3">
      <c r="A1491" s="223">
        <v>1490</v>
      </c>
      <c r="B1491" s="223" t="s">
        <v>6</v>
      </c>
      <c r="C1491" s="223" t="s">
        <v>1226</v>
      </c>
      <c r="D1491" s="223" t="s">
        <v>1218</v>
      </c>
      <c r="E1491" s="223" t="s">
        <v>1087</v>
      </c>
      <c r="F1491" s="223" t="s">
        <v>27</v>
      </c>
      <c r="G1491" s="223" t="s">
        <v>1219</v>
      </c>
    </row>
    <row r="1492" spans="1:7" x14ac:dyDescent="0.3">
      <c r="A1492" s="223">
        <v>1491</v>
      </c>
      <c r="B1492" s="223" t="s">
        <v>6</v>
      </c>
      <c r="C1492" s="223" t="s">
        <v>1226</v>
      </c>
      <c r="D1492" s="223" t="s">
        <v>1218</v>
      </c>
      <c r="E1492" s="223" t="s">
        <v>1087</v>
      </c>
      <c r="F1492" s="223" t="s">
        <v>1096</v>
      </c>
      <c r="G1492" s="223" t="s">
        <v>1219</v>
      </c>
    </row>
    <row r="1493" spans="1:7" x14ac:dyDescent="0.3">
      <c r="A1493" s="223">
        <v>1492</v>
      </c>
      <c r="B1493" s="223" t="s">
        <v>6</v>
      </c>
      <c r="C1493" s="223" t="s">
        <v>1226</v>
      </c>
      <c r="D1493" s="223" t="s">
        <v>1218</v>
      </c>
      <c r="E1493" s="223" t="s">
        <v>1087</v>
      </c>
      <c r="F1493" s="223" t="s">
        <v>1090</v>
      </c>
      <c r="G1493" s="223" t="s">
        <v>1219</v>
      </c>
    </row>
    <row r="1494" spans="1:7" x14ac:dyDescent="0.3">
      <c r="A1494" s="223">
        <v>1493</v>
      </c>
      <c r="B1494" s="223" t="s">
        <v>6</v>
      </c>
      <c r="C1494" s="223" t="s">
        <v>1226</v>
      </c>
      <c r="D1494" s="223" t="s">
        <v>1218</v>
      </c>
      <c r="E1494" s="223" t="s">
        <v>21</v>
      </c>
      <c r="F1494" s="223" t="s">
        <v>1093</v>
      </c>
      <c r="G1494" s="223" t="s">
        <v>1219</v>
      </c>
    </row>
    <row r="1495" spans="1:7" x14ac:dyDescent="0.3">
      <c r="A1495" s="223">
        <v>1494</v>
      </c>
      <c r="B1495" s="223" t="s">
        <v>6</v>
      </c>
      <c r="C1495" s="223" t="s">
        <v>1226</v>
      </c>
      <c r="D1495" s="223" t="s">
        <v>1218</v>
      </c>
      <c r="E1495" s="223" t="s">
        <v>21</v>
      </c>
      <c r="F1495" s="223" t="s">
        <v>27</v>
      </c>
      <c r="G1495" s="223" t="s">
        <v>1219</v>
      </c>
    </row>
    <row r="1496" spans="1:7" x14ac:dyDescent="0.3">
      <c r="A1496" s="223">
        <v>1495</v>
      </c>
      <c r="B1496" s="223" t="s">
        <v>6</v>
      </c>
      <c r="C1496" s="223" t="s">
        <v>1226</v>
      </c>
      <c r="D1496" s="223" t="s">
        <v>1218</v>
      </c>
      <c r="E1496" s="223" t="s">
        <v>21</v>
      </c>
      <c r="F1496" s="223" t="s">
        <v>1096</v>
      </c>
      <c r="G1496" s="223" t="s">
        <v>1219</v>
      </c>
    </row>
    <row r="1497" spans="1:7" x14ac:dyDescent="0.3">
      <c r="A1497" s="223">
        <v>1496</v>
      </c>
      <c r="B1497" s="223" t="s">
        <v>6</v>
      </c>
      <c r="C1497" s="223" t="s">
        <v>1226</v>
      </c>
      <c r="D1497" s="223" t="s">
        <v>1218</v>
      </c>
      <c r="E1497" s="223" t="s">
        <v>21</v>
      </c>
      <c r="F1497" s="223" t="s">
        <v>1090</v>
      </c>
      <c r="G1497" s="223" t="s">
        <v>1219</v>
      </c>
    </row>
    <row r="1498" spans="1:7" x14ac:dyDescent="0.3">
      <c r="A1498" s="223">
        <v>1497</v>
      </c>
      <c r="B1498" s="223" t="s">
        <v>6</v>
      </c>
      <c r="C1498" s="223" t="s">
        <v>1226</v>
      </c>
      <c r="D1498" s="223" t="s">
        <v>1220</v>
      </c>
      <c r="E1498" s="223" t="s">
        <v>1087</v>
      </c>
      <c r="F1498" s="223" t="s">
        <v>1093</v>
      </c>
      <c r="G1498" s="223" t="s">
        <v>1219</v>
      </c>
    </row>
    <row r="1499" spans="1:7" x14ac:dyDescent="0.3">
      <c r="A1499" s="223">
        <v>1498</v>
      </c>
      <c r="B1499" s="223" t="s">
        <v>6</v>
      </c>
      <c r="C1499" s="223" t="s">
        <v>1226</v>
      </c>
      <c r="D1499" s="223" t="s">
        <v>1220</v>
      </c>
      <c r="E1499" s="223" t="s">
        <v>1087</v>
      </c>
      <c r="F1499" s="223" t="s">
        <v>27</v>
      </c>
      <c r="G1499" s="223" t="s">
        <v>1219</v>
      </c>
    </row>
    <row r="1500" spans="1:7" x14ac:dyDescent="0.3">
      <c r="A1500" s="223">
        <v>1499</v>
      </c>
      <c r="B1500" s="223" t="s">
        <v>6</v>
      </c>
      <c r="C1500" s="223" t="s">
        <v>1226</v>
      </c>
      <c r="D1500" s="223" t="s">
        <v>1220</v>
      </c>
      <c r="E1500" s="223" t="s">
        <v>1087</v>
      </c>
      <c r="F1500" s="223" t="s">
        <v>1096</v>
      </c>
      <c r="G1500" s="223" t="s">
        <v>1219</v>
      </c>
    </row>
    <row r="1501" spans="1:7" x14ac:dyDescent="0.3">
      <c r="A1501" s="223">
        <v>1500</v>
      </c>
      <c r="B1501" s="223" t="s">
        <v>6</v>
      </c>
      <c r="C1501" s="223" t="s">
        <v>1226</v>
      </c>
      <c r="D1501" s="223" t="s">
        <v>1220</v>
      </c>
      <c r="E1501" s="223" t="s">
        <v>1087</v>
      </c>
      <c r="F1501" s="223" t="s">
        <v>1090</v>
      </c>
      <c r="G1501" s="223" t="s">
        <v>1219</v>
      </c>
    </row>
    <row r="1502" spans="1:7" x14ac:dyDescent="0.3">
      <c r="A1502" s="223">
        <v>1501</v>
      </c>
      <c r="B1502" s="223" t="s">
        <v>6</v>
      </c>
      <c r="C1502" s="223" t="s">
        <v>1226</v>
      </c>
      <c r="D1502" s="223" t="s">
        <v>1220</v>
      </c>
      <c r="E1502" s="223" t="s">
        <v>21</v>
      </c>
      <c r="F1502" s="223" t="s">
        <v>1093</v>
      </c>
      <c r="G1502" s="223" t="s">
        <v>1219</v>
      </c>
    </row>
    <row r="1503" spans="1:7" x14ac:dyDescent="0.3">
      <c r="A1503" s="223">
        <v>1502</v>
      </c>
      <c r="B1503" s="223" t="s">
        <v>6</v>
      </c>
      <c r="C1503" s="223" t="s">
        <v>1226</v>
      </c>
      <c r="D1503" s="223" t="s">
        <v>1220</v>
      </c>
      <c r="E1503" s="223" t="s">
        <v>21</v>
      </c>
      <c r="F1503" s="223" t="s">
        <v>27</v>
      </c>
      <c r="G1503" s="223" t="s">
        <v>1219</v>
      </c>
    </row>
    <row r="1504" spans="1:7" x14ac:dyDescent="0.3">
      <c r="A1504" s="223">
        <v>1503</v>
      </c>
      <c r="B1504" s="223" t="s">
        <v>6</v>
      </c>
      <c r="C1504" s="223" t="s">
        <v>1226</v>
      </c>
      <c r="D1504" s="223" t="s">
        <v>1220</v>
      </c>
      <c r="E1504" s="223" t="s">
        <v>21</v>
      </c>
      <c r="F1504" s="223" t="s">
        <v>1096</v>
      </c>
      <c r="G1504" s="223" t="s">
        <v>1219</v>
      </c>
    </row>
    <row r="1505" spans="1:7" x14ac:dyDescent="0.3">
      <c r="A1505" s="223">
        <v>1504</v>
      </c>
      <c r="B1505" s="223" t="s">
        <v>6</v>
      </c>
      <c r="C1505" s="223" t="s">
        <v>1226</v>
      </c>
      <c r="D1505" s="223" t="s">
        <v>1220</v>
      </c>
      <c r="E1505" s="223" t="s">
        <v>21</v>
      </c>
      <c r="F1505" s="223" t="s">
        <v>1090</v>
      </c>
      <c r="G1505" s="223" t="s">
        <v>1219</v>
      </c>
    </row>
    <row r="1506" spans="1:7" x14ac:dyDescent="0.3">
      <c r="A1506" s="223">
        <v>1505</v>
      </c>
      <c r="B1506" s="223" t="s">
        <v>6</v>
      </c>
      <c r="C1506" s="223" t="s">
        <v>1226</v>
      </c>
      <c r="D1506" s="223" t="s">
        <v>1221</v>
      </c>
      <c r="E1506" s="223" t="s">
        <v>1087</v>
      </c>
      <c r="F1506" s="223" t="s">
        <v>1093</v>
      </c>
      <c r="G1506" s="223" t="s">
        <v>1219</v>
      </c>
    </row>
    <row r="1507" spans="1:7" x14ac:dyDescent="0.3">
      <c r="A1507" s="223">
        <v>1506</v>
      </c>
      <c r="B1507" s="223" t="s">
        <v>6</v>
      </c>
      <c r="C1507" s="223" t="s">
        <v>1226</v>
      </c>
      <c r="D1507" s="223" t="s">
        <v>1221</v>
      </c>
      <c r="E1507" s="223" t="s">
        <v>1087</v>
      </c>
      <c r="F1507" s="223" t="s">
        <v>27</v>
      </c>
      <c r="G1507" s="223" t="s">
        <v>1219</v>
      </c>
    </row>
    <row r="1508" spans="1:7" x14ac:dyDescent="0.3">
      <c r="A1508" s="223">
        <v>1507</v>
      </c>
      <c r="B1508" s="223" t="s">
        <v>6</v>
      </c>
      <c r="C1508" s="223" t="s">
        <v>1226</v>
      </c>
      <c r="D1508" s="223" t="s">
        <v>1221</v>
      </c>
      <c r="E1508" s="223" t="s">
        <v>1087</v>
      </c>
      <c r="F1508" s="223" t="s">
        <v>1096</v>
      </c>
      <c r="G1508" s="223" t="s">
        <v>1219</v>
      </c>
    </row>
    <row r="1509" spans="1:7" x14ac:dyDescent="0.3">
      <c r="A1509" s="223">
        <v>1508</v>
      </c>
      <c r="B1509" s="223" t="s">
        <v>6</v>
      </c>
      <c r="C1509" s="223" t="s">
        <v>1226</v>
      </c>
      <c r="D1509" s="223" t="s">
        <v>1221</v>
      </c>
      <c r="E1509" s="223" t="s">
        <v>1087</v>
      </c>
      <c r="F1509" s="223" t="s">
        <v>1090</v>
      </c>
      <c r="G1509" s="223" t="s">
        <v>1219</v>
      </c>
    </row>
    <row r="1510" spans="1:7" x14ac:dyDescent="0.3">
      <c r="A1510" s="223">
        <v>1509</v>
      </c>
      <c r="B1510" s="223" t="s">
        <v>6</v>
      </c>
      <c r="C1510" s="223" t="s">
        <v>1226</v>
      </c>
      <c r="D1510" s="223" t="s">
        <v>1221</v>
      </c>
      <c r="E1510" s="223" t="s">
        <v>21</v>
      </c>
      <c r="F1510" s="223" t="s">
        <v>1093</v>
      </c>
      <c r="G1510" s="223" t="s">
        <v>1219</v>
      </c>
    </row>
    <row r="1511" spans="1:7" x14ac:dyDescent="0.3">
      <c r="A1511" s="223">
        <v>1510</v>
      </c>
      <c r="B1511" s="223" t="s">
        <v>6</v>
      </c>
      <c r="C1511" s="223" t="s">
        <v>1226</v>
      </c>
      <c r="D1511" s="223" t="s">
        <v>1221</v>
      </c>
      <c r="E1511" s="223" t="s">
        <v>21</v>
      </c>
      <c r="F1511" s="223" t="s">
        <v>27</v>
      </c>
      <c r="G1511" s="223" t="s">
        <v>1219</v>
      </c>
    </row>
    <row r="1512" spans="1:7" x14ac:dyDescent="0.3">
      <c r="A1512" s="223">
        <v>1511</v>
      </c>
      <c r="B1512" s="223" t="s">
        <v>6</v>
      </c>
      <c r="C1512" s="223" t="s">
        <v>1226</v>
      </c>
      <c r="D1512" s="223" t="s">
        <v>1221</v>
      </c>
      <c r="E1512" s="223" t="s">
        <v>21</v>
      </c>
      <c r="F1512" s="223" t="s">
        <v>1096</v>
      </c>
      <c r="G1512" s="223" t="s">
        <v>1219</v>
      </c>
    </row>
    <row r="1513" spans="1:7" x14ac:dyDescent="0.3">
      <c r="A1513" s="223">
        <v>1512</v>
      </c>
      <c r="B1513" s="223" t="s">
        <v>6</v>
      </c>
      <c r="C1513" s="223" t="s">
        <v>1226</v>
      </c>
      <c r="D1513" s="223" t="s">
        <v>1221</v>
      </c>
      <c r="E1513" s="223" t="s">
        <v>21</v>
      </c>
      <c r="F1513" s="223" t="s">
        <v>1090</v>
      </c>
      <c r="G1513" s="223" t="s">
        <v>1219</v>
      </c>
    </row>
    <row r="1514" spans="1:7" x14ac:dyDescent="0.3">
      <c r="A1514" s="223">
        <v>1513</v>
      </c>
      <c r="B1514" s="223" t="s">
        <v>6</v>
      </c>
      <c r="C1514" s="223" t="s">
        <v>1226</v>
      </c>
      <c r="D1514" s="223" t="s">
        <v>1222</v>
      </c>
      <c r="E1514" s="223" t="s">
        <v>1087</v>
      </c>
      <c r="F1514" s="223" t="s">
        <v>1093</v>
      </c>
      <c r="G1514" s="223" t="s">
        <v>1219</v>
      </c>
    </row>
    <row r="1515" spans="1:7" x14ac:dyDescent="0.3">
      <c r="A1515" s="223">
        <v>1514</v>
      </c>
      <c r="B1515" s="223" t="s">
        <v>6</v>
      </c>
      <c r="C1515" s="223" t="s">
        <v>1226</v>
      </c>
      <c r="D1515" s="223" t="s">
        <v>1222</v>
      </c>
      <c r="E1515" s="223" t="s">
        <v>1087</v>
      </c>
      <c r="F1515" s="223" t="s">
        <v>27</v>
      </c>
      <c r="G1515" s="223" t="s">
        <v>1219</v>
      </c>
    </row>
    <row r="1516" spans="1:7" x14ac:dyDescent="0.3">
      <c r="A1516" s="223">
        <v>1515</v>
      </c>
      <c r="B1516" s="223" t="s">
        <v>6</v>
      </c>
      <c r="C1516" s="223" t="s">
        <v>1226</v>
      </c>
      <c r="D1516" s="223" t="s">
        <v>1222</v>
      </c>
      <c r="E1516" s="223" t="s">
        <v>1087</v>
      </c>
      <c r="F1516" s="223" t="s">
        <v>1096</v>
      </c>
      <c r="G1516" s="223" t="s">
        <v>1219</v>
      </c>
    </row>
    <row r="1517" spans="1:7" x14ac:dyDescent="0.3">
      <c r="A1517" s="223">
        <v>1516</v>
      </c>
      <c r="B1517" s="223" t="s">
        <v>6</v>
      </c>
      <c r="C1517" s="223" t="s">
        <v>1226</v>
      </c>
      <c r="D1517" s="223" t="s">
        <v>1222</v>
      </c>
      <c r="E1517" s="223" t="s">
        <v>1087</v>
      </c>
      <c r="F1517" s="223" t="s">
        <v>1090</v>
      </c>
      <c r="G1517" s="223" t="s">
        <v>1219</v>
      </c>
    </row>
    <row r="1518" spans="1:7" x14ac:dyDescent="0.3">
      <c r="A1518" s="223">
        <v>1517</v>
      </c>
      <c r="B1518" s="223" t="s">
        <v>6</v>
      </c>
      <c r="C1518" s="223" t="s">
        <v>1226</v>
      </c>
      <c r="D1518" s="223" t="s">
        <v>1222</v>
      </c>
      <c r="E1518" s="223" t="s">
        <v>21</v>
      </c>
      <c r="F1518" s="223" t="s">
        <v>1093</v>
      </c>
      <c r="G1518" s="223" t="s">
        <v>1219</v>
      </c>
    </row>
    <row r="1519" spans="1:7" x14ac:dyDescent="0.3">
      <c r="A1519" s="223">
        <v>1518</v>
      </c>
      <c r="B1519" s="223" t="s">
        <v>6</v>
      </c>
      <c r="C1519" s="223" t="s">
        <v>1226</v>
      </c>
      <c r="D1519" s="223" t="s">
        <v>1222</v>
      </c>
      <c r="E1519" s="223" t="s">
        <v>21</v>
      </c>
      <c r="F1519" s="223" t="s">
        <v>27</v>
      </c>
      <c r="G1519" s="223" t="s">
        <v>1219</v>
      </c>
    </row>
    <row r="1520" spans="1:7" x14ac:dyDescent="0.3">
      <c r="A1520" s="223">
        <v>1519</v>
      </c>
      <c r="B1520" s="223" t="s">
        <v>6</v>
      </c>
      <c r="C1520" s="223" t="s">
        <v>1226</v>
      </c>
      <c r="D1520" s="223" t="s">
        <v>1222</v>
      </c>
      <c r="E1520" s="223" t="s">
        <v>21</v>
      </c>
      <c r="F1520" s="223" t="s">
        <v>1096</v>
      </c>
      <c r="G1520" s="223" t="s">
        <v>1219</v>
      </c>
    </row>
    <row r="1521" spans="1:7" x14ac:dyDescent="0.3">
      <c r="A1521" s="223">
        <v>1520</v>
      </c>
      <c r="B1521" s="223" t="s">
        <v>6</v>
      </c>
      <c r="C1521" s="223" t="s">
        <v>1226</v>
      </c>
      <c r="D1521" s="223" t="s">
        <v>1222</v>
      </c>
      <c r="E1521" s="223" t="s">
        <v>21</v>
      </c>
      <c r="F1521" s="223" t="s">
        <v>1090</v>
      </c>
      <c r="G1521" s="223" t="s">
        <v>1219</v>
      </c>
    </row>
    <row r="1522" spans="1:7" x14ac:dyDescent="0.3">
      <c r="A1522" s="223">
        <v>1521</v>
      </c>
      <c r="B1522" s="223" t="s">
        <v>6</v>
      </c>
      <c r="C1522" s="223" t="s">
        <v>1226</v>
      </c>
      <c r="D1522" s="223" t="s">
        <v>1223</v>
      </c>
      <c r="E1522" s="223" t="s">
        <v>1087</v>
      </c>
      <c r="F1522" s="223" t="s">
        <v>1093</v>
      </c>
      <c r="G1522" s="223" t="s">
        <v>1219</v>
      </c>
    </row>
    <row r="1523" spans="1:7" x14ac:dyDescent="0.3">
      <c r="A1523" s="223">
        <v>1522</v>
      </c>
      <c r="B1523" s="223" t="s">
        <v>6</v>
      </c>
      <c r="C1523" s="223" t="s">
        <v>1226</v>
      </c>
      <c r="D1523" s="223" t="s">
        <v>1223</v>
      </c>
      <c r="E1523" s="223" t="s">
        <v>1087</v>
      </c>
      <c r="F1523" s="223" t="s">
        <v>27</v>
      </c>
      <c r="G1523" s="223" t="s">
        <v>1219</v>
      </c>
    </row>
    <row r="1524" spans="1:7" x14ac:dyDescent="0.3">
      <c r="A1524" s="223">
        <v>1523</v>
      </c>
      <c r="B1524" s="223" t="s">
        <v>6</v>
      </c>
      <c r="C1524" s="223" t="s">
        <v>1226</v>
      </c>
      <c r="D1524" s="223" t="s">
        <v>1223</v>
      </c>
      <c r="E1524" s="223" t="s">
        <v>1087</v>
      </c>
      <c r="F1524" s="223" t="s">
        <v>1096</v>
      </c>
      <c r="G1524" s="223" t="s">
        <v>1219</v>
      </c>
    </row>
    <row r="1525" spans="1:7" x14ac:dyDescent="0.3">
      <c r="A1525" s="223">
        <v>1524</v>
      </c>
      <c r="B1525" s="223" t="s">
        <v>6</v>
      </c>
      <c r="C1525" s="223" t="s">
        <v>1226</v>
      </c>
      <c r="D1525" s="223" t="s">
        <v>1223</v>
      </c>
      <c r="E1525" s="223" t="s">
        <v>1087</v>
      </c>
      <c r="F1525" s="223" t="s">
        <v>1090</v>
      </c>
      <c r="G1525" s="223" t="s">
        <v>1219</v>
      </c>
    </row>
    <row r="1526" spans="1:7" x14ac:dyDescent="0.3">
      <c r="A1526" s="223">
        <v>1525</v>
      </c>
      <c r="B1526" s="223" t="s">
        <v>6</v>
      </c>
      <c r="C1526" s="223" t="s">
        <v>1226</v>
      </c>
      <c r="D1526" s="223" t="s">
        <v>1223</v>
      </c>
      <c r="E1526" s="223" t="s">
        <v>21</v>
      </c>
      <c r="F1526" s="223" t="s">
        <v>1093</v>
      </c>
      <c r="G1526" s="223" t="s">
        <v>1219</v>
      </c>
    </row>
    <row r="1527" spans="1:7" x14ac:dyDescent="0.3">
      <c r="A1527" s="223">
        <v>1526</v>
      </c>
      <c r="B1527" s="223" t="s">
        <v>6</v>
      </c>
      <c r="C1527" s="223" t="s">
        <v>1226</v>
      </c>
      <c r="D1527" s="223" t="s">
        <v>1223</v>
      </c>
      <c r="E1527" s="223" t="s">
        <v>21</v>
      </c>
      <c r="F1527" s="223" t="s">
        <v>27</v>
      </c>
      <c r="G1527" s="223" t="s">
        <v>1219</v>
      </c>
    </row>
    <row r="1528" spans="1:7" x14ac:dyDescent="0.3">
      <c r="A1528" s="223">
        <v>1527</v>
      </c>
      <c r="B1528" s="223" t="s">
        <v>6</v>
      </c>
      <c r="C1528" s="223" t="s">
        <v>1226</v>
      </c>
      <c r="D1528" s="223" t="s">
        <v>1223</v>
      </c>
      <c r="E1528" s="223" t="s">
        <v>21</v>
      </c>
      <c r="F1528" s="223" t="s">
        <v>1096</v>
      </c>
      <c r="G1528" s="223" t="s">
        <v>1219</v>
      </c>
    </row>
    <row r="1529" spans="1:7" x14ac:dyDescent="0.3">
      <c r="A1529" s="223">
        <v>1528</v>
      </c>
      <c r="B1529" s="223" t="s">
        <v>6</v>
      </c>
      <c r="C1529" s="223" t="s">
        <v>1226</v>
      </c>
      <c r="D1529" s="223" t="s">
        <v>1223</v>
      </c>
      <c r="E1529" s="223" t="s">
        <v>21</v>
      </c>
      <c r="F1529" s="223" t="s">
        <v>1090</v>
      </c>
      <c r="G1529" s="223" t="s">
        <v>1219</v>
      </c>
    </row>
    <row r="1530" spans="1:7" x14ac:dyDescent="0.3">
      <c r="A1530" s="223">
        <v>1529</v>
      </c>
      <c r="B1530" s="223" t="s">
        <v>6</v>
      </c>
      <c r="C1530" s="223" t="s">
        <v>1226</v>
      </c>
      <c r="D1530" s="223" t="s">
        <v>12</v>
      </c>
      <c r="E1530" s="223" t="s">
        <v>1087</v>
      </c>
      <c r="F1530" s="223" t="s">
        <v>1093</v>
      </c>
      <c r="G1530" s="223" t="s">
        <v>1219</v>
      </c>
    </row>
    <row r="1531" spans="1:7" x14ac:dyDescent="0.3">
      <c r="A1531" s="223">
        <v>1530</v>
      </c>
      <c r="B1531" s="223" t="s">
        <v>6</v>
      </c>
      <c r="C1531" s="223" t="s">
        <v>1226</v>
      </c>
      <c r="D1531" s="223" t="s">
        <v>12</v>
      </c>
      <c r="E1531" s="223" t="s">
        <v>1087</v>
      </c>
      <c r="F1531" s="223" t="s">
        <v>27</v>
      </c>
      <c r="G1531" s="223" t="s">
        <v>1219</v>
      </c>
    </row>
    <row r="1532" spans="1:7" x14ac:dyDescent="0.3">
      <c r="A1532" s="223">
        <v>1531</v>
      </c>
      <c r="B1532" s="223" t="s">
        <v>6</v>
      </c>
      <c r="C1532" s="223" t="s">
        <v>1226</v>
      </c>
      <c r="D1532" s="223" t="s">
        <v>12</v>
      </c>
      <c r="E1532" s="223" t="s">
        <v>1087</v>
      </c>
      <c r="F1532" s="223" t="s">
        <v>1096</v>
      </c>
      <c r="G1532" s="223" t="s">
        <v>1219</v>
      </c>
    </row>
    <row r="1533" spans="1:7" x14ac:dyDescent="0.3">
      <c r="A1533" s="223">
        <v>1532</v>
      </c>
      <c r="B1533" s="223" t="s">
        <v>6</v>
      </c>
      <c r="C1533" s="223" t="s">
        <v>1226</v>
      </c>
      <c r="D1533" s="223" t="s">
        <v>12</v>
      </c>
      <c r="E1533" s="223" t="s">
        <v>1087</v>
      </c>
      <c r="F1533" s="223" t="s">
        <v>1090</v>
      </c>
      <c r="G1533" s="223" t="s">
        <v>1219</v>
      </c>
    </row>
    <row r="1534" spans="1:7" x14ac:dyDescent="0.3">
      <c r="A1534" s="223">
        <v>1533</v>
      </c>
      <c r="B1534" s="223" t="s">
        <v>6</v>
      </c>
      <c r="C1534" s="223" t="s">
        <v>1226</v>
      </c>
      <c r="D1534" s="223" t="s">
        <v>12</v>
      </c>
      <c r="E1534" s="223" t="s">
        <v>21</v>
      </c>
      <c r="F1534" s="223" t="s">
        <v>1093</v>
      </c>
      <c r="G1534" s="223" t="s">
        <v>1219</v>
      </c>
    </row>
    <row r="1535" spans="1:7" x14ac:dyDescent="0.3">
      <c r="A1535" s="223">
        <v>1534</v>
      </c>
      <c r="B1535" s="223" t="s">
        <v>6</v>
      </c>
      <c r="C1535" s="223" t="s">
        <v>1226</v>
      </c>
      <c r="D1535" s="223" t="s">
        <v>12</v>
      </c>
      <c r="E1535" s="223" t="s">
        <v>21</v>
      </c>
      <c r="F1535" s="223" t="s">
        <v>27</v>
      </c>
      <c r="G1535" s="223" t="s">
        <v>1219</v>
      </c>
    </row>
    <row r="1536" spans="1:7" x14ac:dyDescent="0.3">
      <c r="A1536" s="223">
        <v>1535</v>
      </c>
      <c r="B1536" s="223" t="s">
        <v>6</v>
      </c>
      <c r="C1536" s="223" t="s">
        <v>1226</v>
      </c>
      <c r="D1536" s="223" t="s">
        <v>12</v>
      </c>
      <c r="E1536" s="223" t="s">
        <v>21</v>
      </c>
      <c r="F1536" s="223" t="s">
        <v>1096</v>
      </c>
      <c r="G1536" s="223" t="s">
        <v>1219</v>
      </c>
    </row>
    <row r="1537" spans="1:7" x14ac:dyDescent="0.3">
      <c r="A1537" s="223">
        <v>1536</v>
      </c>
      <c r="B1537" s="223" t="s">
        <v>6</v>
      </c>
      <c r="C1537" s="223" t="s">
        <v>1226</v>
      </c>
      <c r="D1537" s="223" t="s">
        <v>12</v>
      </c>
      <c r="E1537" s="223" t="s">
        <v>21</v>
      </c>
      <c r="F1537" s="223" t="s">
        <v>1090</v>
      </c>
      <c r="G1537" s="223" t="s">
        <v>1219</v>
      </c>
    </row>
    <row r="1538" spans="1:7" x14ac:dyDescent="0.3">
      <c r="A1538" s="223">
        <v>1537</v>
      </c>
      <c r="B1538" s="223" t="s">
        <v>6</v>
      </c>
      <c r="C1538" s="223" t="s">
        <v>9</v>
      </c>
      <c r="D1538" s="223" t="s">
        <v>1218</v>
      </c>
      <c r="E1538" s="223" t="s">
        <v>1087</v>
      </c>
      <c r="F1538" s="223" t="s">
        <v>1093</v>
      </c>
      <c r="G1538" s="223" t="s">
        <v>1219</v>
      </c>
    </row>
    <row r="1539" spans="1:7" x14ac:dyDescent="0.3">
      <c r="A1539" s="223">
        <v>1538</v>
      </c>
      <c r="B1539" s="223" t="s">
        <v>6</v>
      </c>
      <c r="C1539" s="223" t="s">
        <v>9</v>
      </c>
      <c r="D1539" s="223" t="s">
        <v>1218</v>
      </c>
      <c r="E1539" s="223" t="s">
        <v>1087</v>
      </c>
      <c r="F1539" s="223" t="s">
        <v>27</v>
      </c>
      <c r="G1539" s="223" t="s">
        <v>1219</v>
      </c>
    </row>
    <row r="1540" spans="1:7" x14ac:dyDescent="0.3">
      <c r="A1540" s="223">
        <v>1539</v>
      </c>
      <c r="B1540" s="223" t="s">
        <v>6</v>
      </c>
      <c r="C1540" s="223" t="s">
        <v>9</v>
      </c>
      <c r="D1540" s="223" t="s">
        <v>1218</v>
      </c>
      <c r="E1540" s="223" t="s">
        <v>1087</v>
      </c>
      <c r="F1540" s="223" t="s">
        <v>1096</v>
      </c>
      <c r="G1540" s="223" t="s">
        <v>1219</v>
      </c>
    </row>
    <row r="1541" spans="1:7" x14ac:dyDescent="0.3">
      <c r="A1541" s="223">
        <v>1540</v>
      </c>
      <c r="B1541" s="223" t="s">
        <v>6</v>
      </c>
      <c r="C1541" s="223" t="s">
        <v>9</v>
      </c>
      <c r="D1541" s="223" t="s">
        <v>1218</v>
      </c>
      <c r="E1541" s="223" t="s">
        <v>1087</v>
      </c>
      <c r="F1541" s="223" t="s">
        <v>1090</v>
      </c>
      <c r="G1541" s="223" t="s">
        <v>1219</v>
      </c>
    </row>
    <row r="1542" spans="1:7" x14ac:dyDescent="0.3">
      <c r="A1542" s="223">
        <v>1541</v>
      </c>
      <c r="B1542" s="223" t="s">
        <v>6</v>
      </c>
      <c r="C1542" s="223" t="s">
        <v>9</v>
      </c>
      <c r="D1542" s="223" t="s">
        <v>1218</v>
      </c>
      <c r="E1542" s="223" t="s">
        <v>21</v>
      </c>
      <c r="F1542" s="223" t="s">
        <v>1093</v>
      </c>
      <c r="G1542" s="223" t="s">
        <v>1219</v>
      </c>
    </row>
    <row r="1543" spans="1:7" x14ac:dyDescent="0.3">
      <c r="A1543" s="223">
        <v>1542</v>
      </c>
      <c r="B1543" s="223" t="s">
        <v>6</v>
      </c>
      <c r="C1543" s="223" t="s">
        <v>9</v>
      </c>
      <c r="D1543" s="223" t="s">
        <v>1218</v>
      </c>
      <c r="E1543" s="223" t="s">
        <v>21</v>
      </c>
      <c r="F1543" s="223" t="s">
        <v>27</v>
      </c>
      <c r="G1543" s="223" t="s">
        <v>1219</v>
      </c>
    </row>
    <row r="1544" spans="1:7" x14ac:dyDescent="0.3">
      <c r="A1544" s="223">
        <v>1543</v>
      </c>
      <c r="B1544" s="223" t="s">
        <v>6</v>
      </c>
      <c r="C1544" s="223" t="s">
        <v>9</v>
      </c>
      <c r="D1544" s="223" t="s">
        <v>1218</v>
      </c>
      <c r="E1544" s="223" t="s">
        <v>21</v>
      </c>
      <c r="F1544" s="223" t="s">
        <v>1096</v>
      </c>
      <c r="G1544" s="223" t="s">
        <v>1219</v>
      </c>
    </row>
    <row r="1545" spans="1:7" x14ac:dyDescent="0.3">
      <c r="A1545" s="223">
        <v>1544</v>
      </c>
      <c r="B1545" s="223" t="s">
        <v>6</v>
      </c>
      <c r="C1545" s="223" t="s">
        <v>9</v>
      </c>
      <c r="D1545" s="223" t="s">
        <v>1218</v>
      </c>
      <c r="E1545" s="223" t="s">
        <v>21</v>
      </c>
      <c r="F1545" s="223" t="s">
        <v>1090</v>
      </c>
      <c r="G1545" s="223" t="s">
        <v>1219</v>
      </c>
    </row>
    <row r="1546" spans="1:7" x14ac:dyDescent="0.3">
      <c r="A1546" s="223">
        <v>1545</v>
      </c>
      <c r="B1546" s="223" t="s">
        <v>6</v>
      </c>
      <c r="C1546" s="223" t="s">
        <v>9</v>
      </c>
      <c r="D1546" s="223" t="s">
        <v>1220</v>
      </c>
      <c r="E1546" s="223" t="s">
        <v>1087</v>
      </c>
      <c r="F1546" s="223" t="s">
        <v>1093</v>
      </c>
      <c r="G1546" s="223" t="s">
        <v>1219</v>
      </c>
    </row>
    <row r="1547" spans="1:7" x14ac:dyDescent="0.3">
      <c r="A1547" s="223">
        <v>1546</v>
      </c>
      <c r="B1547" s="223" t="s">
        <v>6</v>
      </c>
      <c r="C1547" s="223" t="s">
        <v>9</v>
      </c>
      <c r="D1547" s="223" t="s">
        <v>1220</v>
      </c>
      <c r="E1547" s="223" t="s">
        <v>1087</v>
      </c>
      <c r="F1547" s="223" t="s">
        <v>27</v>
      </c>
      <c r="G1547" s="223" t="s">
        <v>1219</v>
      </c>
    </row>
    <row r="1548" spans="1:7" x14ac:dyDescent="0.3">
      <c r="A1548" s="223">
        <v>1547</v>
      </c>
      <c r="B1548" s="223" t="s">
        <v>6</v>
      </c>
      <c r="C1548" s="223" t="s">
        <v>9</v>
      </c>
      <c r="D1548" s="223" t="s">
        <v>1220</v>
      </c>
      <c r="E1548" s="223" t="s">
        <v>1087</v>
      </c>
      <c r="F1548" s="223" t="s">
        <v>1096</v>
      </c>
      <c r="G1548" s="223" t="s">
        <v>1219</v>
      </c>
    </row>
    <row r="1549" spans="1:7" x14ac:dyDescent="0.3">
      <c r="A1549" s="223">
        <v>1548</v>
      </c>
      <c r="B1549" s="223" t="s">
        <v>6</v>
      </c>
      <c r="C1549" s="223" t="s">
        <v>9</v>
      </c>
      <c r="D1549" s="223" t="s">
        <v>1220</v>
      </c>
      <c r="E1549" s="223" t="s">
        <v>1087</v>
      </c>
      <c r="F1549" s="223" t="s">
        <v>1090</v>
      </c>
      <c r="G1549" s="223" t="s">
        <v>1219</v>
      </c>
    </row>
    <row r="1550" spans="1:7" x14ac:dyDescent="0.3">
      <c r="A1550" s="223">
        <v>1549</v>
      </c>
      <c r="B1550" s="223" t="s">
        <v>6</v>
      </c>
      <c r="C1550" s="223" t="s">
        <v>9</v>
      </c>
      <c r="D1550" s="223" t="s">
        <v>1220</v>
      </c>
      <c r="E1550" s="223" t="s">
        <v>21</v>
      </c>
      <c r="F1550" s="223" t="s">
        <v>1093</v>
      </c>
      <c r="G1550" s="223" t="s">
        <v>1219</v>
      </c>
    </row>
    <row r="1551" spans="1:7" x14ac:dyDescent="0.3">
      <c r="A1551" s="223">
        <v>1550</v>
      </c>
      <c r="B1551" s="223" t="s">
        <v>6</v>
      </c>
      <c r="C1551" s="223" t="s">
        <v>9</v>
      </c>
      <c r="D1551" s="223" t="s">
        <v>1220</v>
      </c>
      <c r="E1551" s="223" t="s">
        <v>21</v>
      </c>
      <c r="F1551" s="223" t="s">
        <v>27</v>
      </c>
      <c r="G1551" s="223" t="s">
        <v>1219</v>
      </c>
    </row>
    <row r="1552" spans="1:7" x14ac:dyDescent="0.3">
      <c r="A1552" s="223">
        <v>1551</v>
      </c>
      <c r="B1552" s="223" t="s">
        <v>6</v>
      </c>
      <c r="C1552" s="223" t="s">
        <v>9</v>
      </c>
      <c r="D1552" s="223" t="s">
        <v>1220</v>
      </c>
      <c r="E1552" s="223" t="s">
        <v>21</v>
      </c>
      <c r="F1552" s="223" t="s">
        <v>1096</v>
      </c>
      <c r="G1552" s="223" t="s">
        <v>1219</v>
      </c>
    </row>
    <row r="1553" spans="1:7" x14ac:dyDescent="0.3">
      <c r="A1553" s="223">
        <v>1552</v>
      </c>
      <c r="B1553" s="223" t="s">
        <v>6</v>
      </c>
      <c r="C1553" s="223" t="s">
        <v>9</v>
      </c>
      <c r="D1553" s="223" t="s">
        <v>1220</v>
      </c>
      <c r="E1553" s="223" t="s">
        <v>21</v>
      </c>
      <c r="F1553" s="223" t="s">
        <v>1090</v>
      </c>
      <c r="G1553" s="223" t="s">
        <v>1219</v>
      </c>
    </row>
    <row r="1554" spans="1:7" x14ac:dyDescent="0.3">
      <c r="A1554" s="223">
        <v>1553</v>
      </c>
      <c r="B1554" s="223" t="s">
        <v>6</v>
      </c>
      <c r="C1554" s="223" t="s">
        <v>9</v>
      </c>
      <c r="D1554" s="223" t="s">
        <v>1221</v>
      </c>
      <c r="E1554" s="223" t="s">
        <v>1087</v>
      </c>
      <c r="F1554" s="223" t="s">
        <v>1093</v>
      </c>
      <c r="G1554" s="223" t="s">
        <v>1219</v>
      </c>
    </row>
    <row r="1555" spans="1:7" x14ac:dyDescent="0.3">
      <c r="A1555" s="223">
        <v>1554</v>
      </c>
      <c r="B1555" s="223" t="s">
        <v>6</v>
      </c>
      <c r="C1555" s="223" t="s">
        <v>9</v>
      </c>
      <c r="D1555" s="223" t="s">
        <v>1221</v>
      </c>
      <c r="E1555" s="223" t="s">
        <v>1087</v>
      </c>
      <c r="F1555" s="223" t="s">
        <v>27</v>
      </c>
      <c r="G1555" s="223" t="s">
        <v>1219</v>
      </c>
    </row>
    <row r="1556" spans="1:7" x14ac:dyDescent="0.3">
      <c r="A1556" s="223">
        <v>1555</v>
      </c>
      <c r="B1556" s="223" t="s">
        <v>6</v>
      </c>
      <c r="C1556" s="223" t="s">
        <v>9</v>
      </c>
      <c r="D1556" s="223" t="s">
        <v>1221</v>
      </c>
      <c r="E1556" s="223" t="s">
        <v>1087</v>
      </c>
      <c r="F1556" s="223" t="s">
        <v>1096</v>
      </c>
      <c r="G1556" s="223" t="s">
        <v>1219</v>
      </c>
    </row>
    <row r="1557" spans="1:7" x14ac:dyDescent="0.3">
      <c r="A1557" s="223">
        <v>1556</v>
      </c>
      <c r="B1557" s="223" t="s">
        <v>6</v>
      </c>
      <c r="C1557" s="223" t="s">
        <v>9</v>
      </c>
      <c r="D1557" s="223" t="s">
        <v>1221</v>
      </c>
      <c r="E1557" s="223" t="s">
        <v>1087</v>
      </c>
      <c r="F1557" s="223" t="s">
        <v>1090</v>
      </c>
      <c r="G1557" s="223" t="s">
        <v>1219</v>
      </c>
    </row>
    <row r="1558" spans="1:7" x14ac:dyDescent="0.3">
      <c r="A1558" s="223">
        <v>1557</v>
      </c>
      <c r="B1558" s="223" t="s">
        <v>6</v>
      </c>
      <c r="C1558" s="223" t="s">
        <v>9</v>
      </c>
      <c r="D1558" s="223" t="s">
        <v>1221</v>
      </c>
      <c r="E1558" s="223" t="s">
        <v>21</v>
      </c>
      <c r="F1558" s="223" t="s">
        <v>1093</v>
      </c>
      <c r="G1558" s="223" t="s">
        <v>1219</v>
      </c>
    </row>
    <row r="1559" spans="1:7" x14ac:dyDescent="0.3">
      <c r="A1559" s="223">
        <v>1558</v>
      </c>
      <c r="B1559" s="223" t="s">
        <v>6</v>
      </c>
      <c r="C1559" s="223" t="s">
        <v>9</v>
      </c>
      <c r="D1559" s="223" t="s">
        <v>1221</v>
      </c>
      <c r="E1559" s="223" t="s">
        <v>21</v>
      </c>
      <c r="F1559" s="223" t="s">
        <v>27</v>
      </c>
      <c r="G1559" s="223" t="s">
        <v>1219</v>
      </c>
    </row>
    <row r="1560" spans="1:7" x14ac:dyDescent="0.3">
      <c r="A1560" s="223">
        <v>1559</v>
      </c>
      <c r="B1560" s="223" t="s">
        <v>6</v>
      </c>
      <c r="C1560" s="223" t="s">
        <v>9</v>
      </c>
      <c r="D1560" s="223" t="s">
        <v>1221</v>
      </c>
      <c r="E1560" s="223" t="s">
        <v>21</v>
      </c>
      <c r="F1560" s="223" t="s">
        <v>1096</v>
      </c>
      <c r="G1560" s="223" t="s">
        <v>1219</v>
      </c>
    </row>
    <row r="1561" spans="1:7" x14ac:dyDescent="0.3">
      <c r="A1561" s="223">
        <v>1560</v>
      </c>
      <c r="B1561" s="223" t="s">
        <v>6</v>
      </c>
      <c r="C1561" s="223" t="s">
        <v>9</v>
      </c>
      <c r="D1561" s="223" t="s">
        <v>1221</v>
      </c>
      <c r="E1561" s="223" t="s">
        <v>21</v>
      </c>
      <c r="F1561" s="223" t="s">
        <v>1090</v>
      </c>
      <c r="G1561" s="223" t="s">
        <v>1219</v>
      </c>
    </row>
    <row r="1562" spans="1:7" x14ac:dyDescent="0.3">
      <c r="A1562" s="223">
        <v>1561</v>
      </c>
      <c r="B1562" s="223" t="s">
        <v>6</v>
      </c>
      <c r="C1562" s="223" t="s">
        <v>9</v>
      </c>
      <c r="D1562" s="223" t="s">
        <v>1222</v>
      </c>
      <c r="E1562" s="223" t="s">
        <v>1087</v>
      </c>
      <c r="F1562" s="223" t="s">
        <v>1093</v>
      </c>
      <c r="G1562" s="223" t="s">
        <v>1219</v>
      </c>
    </row>
    <row r="1563" spans="1:7" x14ac:dyDescent="0.3">
      <c r="A1563" s="223">
        <v>1562</v>
      </c>
      <c r="B1563" s="223" t="s">
        <v>6</v>
      </c>
      <c r="C1563" s="223" t="s">
        <v>9</v>
      </c>
      <c r="D1563" s="223" t="s">
        <v>1222</v>
      </c>
      <c r="E1563" s="223" t="s">
        <v>1087</v>
      </c>
      <c r="F1563" s="223" t="s">
        <v>27</v>
      </c>
      <c r="G1563" s="223" t="s">
        <v>1219</v>
      </c>
    </row>
    <row r="1564" spans="1:7" x14ac:dyDescent="0.3">
      <c r="A1564" s="223">
        <v>1563</v>
      </c>
      <c r="B1564" s="223" t="s">
        <v>6</v>
      </c>
      <c r="C1564" s="223" t="s">
        <v>9</v>
      </c>
      <c r="D1564" s="223" t="s">
        <v>1222</v>
      </c>
      <c r="E1564" s="223" t="s">
        <v>1087</v>
      </c>
      <c r="F1564" s="223" t="s">
        <v>1096</v>
      </c>
      <c r="G1564" s="223" t="s">
        <v>1219</v>
      </c>
    </row>
    <row r="1565" spans="1:7" x14ac:dyDescent="0.3">
      <c r="A1565" s="223">
        <v>1564</v>
      </c>
      <c r="B1565" s="223" t="s">
        <v>6</v>
      </c>
      <c r="C1565" s="223" t="s">
        <v>9</v>
      </c>
      <c r="D1565" s="223" t="s">
        <v>1222</v>
      </c>
      <c r="E1565" s="223" t="s">
        <v>1087</v>
      </c>
      <c r="F1565" s="223" t="s">
        <v>1090</v>
      </c>
      <c r="G1565" s="223" t="s">
        <v>1219</v>
      </c>
    </row>
    <row r="1566" spans="1:7" x14ac:dyDescent="0.3">
      <c r="A1566" s="223">
        <v>1565</v>
      </c>
      <c r="B1566" s="223" t="s">
        <v>6</v>
      </c>
      <c r="C1566" s="223" t="s">
        <v>9</v>
      </c>
      <c r="D1566" s="223" t="s">
        <v>1222</v>
      </c>
      <c r="E1566" s="223" t="s">
        <v>21</v>
      </c>
      <c r="F1566" s="223" t="s">
        <v>1093</v>
      </c>
      <c r="G1566" s="223" t="s">
        <v>1219</v>
      </c>
    </row>
    <row r="1567" spans="1:7" x14ac:dyDescent="0.3">
      <c r="A1567" s="223">
        <v>1566</v>
      </c>
      <c r="B1567" s="223" t="s">
        <v>6</v>
      </c>
      <c r="C1567" s="223" t="s">
        <v>9</v>
      </c>
      <c r="D1567" s="223" t="s">
        <v>1222</v>
      </c>
      <c r="E1567" s="223" t="s">
        <v>21</v>
      </c>
      <c r="F1567" s="223" t="s">
        <v>27</v>
      </c>
      <c r="G1567" s="223" t="s">
        <v>1219</v>
      </c>
    </row>
    <row r="1568" spans="1:7" x14ac:dyDescent="0.3">
      <c r="A1568" s="223">
        <v>1567</v>
      </c>
      <c r="B1568" s="223" t="s">
        <v>6</v>
      </c>
      <c r="C1568" s="223" t="s">
        <v>9</v>
      </c>
      <c r="D1568" s="223" t="s">
        <v>1222</v>
      </c>
      <c r="E1568" s="223" t="s">
        <v>21</v>
      </c>
      <c r="F1568" s="223" t="s">
        <v>1096</v>
      </c>
      <c r="G1568" s="223" t="s">
        <v>1219</v>
      </c>
    </row>
    <row r="1569" spans="1:7" x14ac:dyDescent="0.3">
      <c r="A1569" s="223">
        <v>1568</v>
      </c>
      <c r="B1569" s="223" t="s">
        <v>6</v>
      </c>
      <c r="C1569" s="223" t="s">
        <v>9</v>
      </c>
      <c r="D1569" s="223" t="s">
        <v>1222</v>
      </c>
      <c r="E1569" s="223" t="s">
        <v>21</v>
      </c>
      <c r="F1569" s="223" t="s">
        <v>1090</v>
      </c>
      <c r="G1569" s="223" t="s">
        <v>1219</v>
      </c>
    </row>
    <row r="1570" spans="1:7" x14ac:dyDescent="0.3">
      <c r="A1570" s="223">
        <v>1569</v>
      </c>
      <c r="B1570" s="223" t="s">
        <v>6</v>
      </c>
      <c r="C1570" s="223" t="s">
        <v>9</v>
      </c>
      <c r="D1570" s="223" t="s">
        <v>1223</v>
      </c>
      <c r="E1570" s="223" t="s">
        <v>1087</v>
      </c>
      <c r="F1570" s="223" t="s">
        <v>1093</v>
      </c>
      <c r="G1570" s="223" t="s">
        <v>1219</v>
      </c>
    </row>
    <row r="1571" spans="1:7" x14ac:dyDescent="0.3">
      <c r="A1571" s="223">
        <v>1570</v>
      </c>
      <c r="B1571" s="223" t="s">
        <v>6</v>
      </c>
      <c r="C1571" s="223" t="s">
        <v>9</v>
      </c>
      <c r="D1571" s="223" t="s">
        <v>1223</v>
      </c>
      <c r="E1571" s="223" t="s">
        <v>1087</v>
      </c>
      <c r="F1571" s="223" t="s">
        <v>27</v>
      </c>
      <c r="G1571" s="223" t="s">
        <v>1219</v>
      </c>
    </row>
    <row r="1572" spans="1:7" x14ac:dyDescent="0.3">
      <c r="A1572" s="223">
        <v>1571</v>
      </c>
      <c r="B1572" s="223" t="s">
        <v>6</v>
      </c>
      <c r="C1572" s="223" t="s">
        <v>9</v>
      </c>
      <c r="D1572" s="223" t="s">
        <v>1223</v>
      </c>
      <c r="E1572" s="223" t="s">
        <v>1087</v>
      </c>
      <c r="F1572" s="223" t="s">
        <v>1096</v>
      </c>
      <c r="G1572" s="223" t="s">
        <v>1219</v>
      </c>
    </row>
    <row r="1573" spans="1:7" x14ac:dyDescent="0.3">
      <c r="A1573" s="223">
        <v>1572</v>
      </c>
      <c r="B1573" s="223" t="s">
        <v>6</v>
      </c>
      <c r="C1573" s="223" t="s">
        <v>9</v>
      </c>
      <c r="D1573" s="223" t="s">
        <v>1223</v>
      </c>
      <c r="E1573" s="223" t="s">
        <v>1087</v>
      </c>
      <c r="F1573" s="223" t="s">
        <v>1090</v>
      </c>
      <c r="G1573" s="223" t="s">
        <v>1219</v>
      </c>
    </row>
    <row r="1574" spans="1:7" x14ac:dyDescent="0.3">
      <c r="A1574" s="223">
        <v>1573</v>
      </c>
      <c r="B1574" s="223" t="s">
        <v>6</v>
      </c>
      <c r="C1574" s="223" t="s">
        <v>9</v>
      </c>
      <c r="D1574" s="223" t="s">
        <v>1223</v>
      </c>
      <c r="E1574" s="223" t="s">
        <v>21</v>
      </c>
      <c r="F1574" s="223" t="s">
        <v>1093</v>
      </c>
      <c r="G1574" s="223" t="s">
        <v>1219</v>
      </c>
    </row>
    <row r="1575" spans="1:7" x14ac:dyDescent="0.3">
      <c r="A1575" s="223">
        <v>1574</v>
      </c>
      <c r="B1575" s="223" t="s">
        <v>6</v>
      </c>
      <c r="C1575" s="223" t="s">
        <v>9</v>
      </c>
      <c r="D1575" s="223" t="s">
        <v>1223</v>
      </c>
      <c r="E1575" s="223" t="s">
        <v>21</v>
      </c>
      <c r="F1575" s="223" t="s">
        <v>27</v>
      </c>
      <c r="G1575" s="223" t="s">
        <v>1219</v>
      </c>
    </row>
    <row r="1576" spans="1:7" x14ac:dyDescent="0.3">
      <c r="A1576" s="223">
        <v>1575</v>
      </c>
      <c r="B1576" s="223" t="s">
        <v>6</v>
      </c>
      <c r="C1576" s="223" t="s">
        <v>9</v>
      </c>
      <c r="D1576" s="223" t="s">
        <v>1223</v>
      </c>
      <c r="E1576" s="223" t="s">
        <v>21</v>
      </c>
      <c r="F1576" s="223" t="s">
        <v>1096</v>
      </c>
      <c r="G1576" s="223" t="s">
        <v>1219</v>
      </c>
    </row>
    <row r="1577" spans="1:7" x14ac:dyDescent="0.3">
      <c r="A1577" s="223">
        <v>1576</v>
      </c>
      <c r="B1577" s="223" t="s">
        <v>6</v>
      </c>
      <c r="C1577" s="223" t="s">
        <v>9</v>
      </c>
      <c r="D1577" s="223" t="s">
        <v>1223</v>
      </c>
      <c r="E1577" s="223" t="s">
        <v>21</v>
      </c>
      <c r="F1577" s="223" t="s">
        <v>1090</v>
      </c>
      <c r="G1577" s="223" t="s">
        <v>1219</v>
      </c>
    </row>
    <row r="1578" spans="1:7" x14ac:dyDescent="0.3">
      <c r="A1578" s="223">
        <v>1577</v>
      </c>
      <c r="B1578" s="223" t="s">
        <v>6</v>
      </c>
      <c r="C1578" s="223" t="s">
        <v>9</v>
      </c>
      <c r="D1578" s="223" t="s">
        <v>12</v>
      </c>
      <c r="E1578" s="223" t="s">
        <v>1087</v>
      </c>
      <c r="F1578" s="223" t="s">
        <v>1093</v>
      </c>
      <c r="G1578" s="223" t="s">
        <v>1219</v>
      </c>
    </row>
    <row r="1579" spans="1:7" x14ac:dyDescent="0.3">
      <c r="A1579" s="223">
        <v>1578</v>
      </c>
      <c r="B1579" s="223" t="s">
        <v>6</v>
      </c>
      <c r="C1579" s="223" t="s">
        <v>9</v>
      </c>
      <c r="D1579" s="223" t="s">
        <v>12</v>
      </c>
      <c r="E1579" s="223" t="s">
        <v>1087</v>
      </c>
      <c r="F1579" s="223" t="s">
        <v>27</v>
      </c>
      <c r="G1579" s="223" t="s">
        <v>1219</v>
      </c>
    </row>
    <row r="1580" spans="1:7" x14ac:dyDescent="0.3">
      <c r="A1580" s="223">
        <v>1579</v>
      </c>
      <c r="B1580" s="223" t="s">
        <v>6</v>
      </c>
      <c r="C1580" s="223" t="s">
        <v>9</v>
      </c>
      <c r="D1580" s="223" t="s">
        <v>12</v>
      </c>
      <c r="E1580" s="223" t="s">
        <v>1087</v>
      </c>
      <c r="F1580" s="223" t="s">
        <v>1096</v>
      </c>
      <c r="G1580" s="223" t="s">
        <v>1219</v>
      </c>
    </row>
    <row r="1581" spans="1:7" x14ac:dyDescent="0.3">
      <c r="A1581" s="223">
        <v>1580</v>
      </c>
      <c r="B1581" s="223" t="s">
        <v>6</v>
      </c>
      <c r="C1581" s="223" t="s">
        <v>9</v>
      </c>
      <c r="D1581" s="223" t="s">
        <v>12</v>
      </c>
      <c r="E1581" s="223" t="s">
        <v>1087</v>
      </c>
      <c r="F1581" s="223" t="s">
        <v>1090</v>
      </c>
      <c r="G1581" s="223" t="s">
        <v>1219</v>
      </c>
    </row>
    <row r="1582" spans="1:7" x14ac:dyDescent="0.3">
      <c r="A1582" s="223">
        <v>1581</v>
      </c>
      <c r="B1582" s="223" t="s">
        <v>6</v>
      </c>
      <c r="C1582" s="223" t="s">
        <v>9</v>
      </c>
      <c r="D1582" s="223" t="s">
        <v>12</v>
      </c>
      <c r="E1582" s="223" t="s">
        <v>21</v>
      </c>
      <c r="F1582" s="223" t="s">
        <v>1093</v>
      </c>
      <c r="G1582" s="223" t="s">
        <v>1219</v>
      </c>
    </row>
    <row r="1583" spans="1:7" x14ac:dyDescent="0.3">
      <c r="A1583" s="223">
        <v>1582</v>
      </c>
      <c r="B1583" s="223" t="s">
        <v>6</v>
      </c>
      <c r="C1583" s="223" t="s">
        <v>9</v>
      </c>
      <c r="D1583" s="223" t="s">
        <v>12</v>
      </c>
      <c r="E1583" s="223" t="s">
        <v>21</v>
      </c>
      <c r="F1583" s="223" t="s">
        <v>27</v>
      </c>
      <c r="G1583" s="223" t="s">
        <v>1219</v>
      </c>
    </row>
    <row r="1584" spans="1:7" x14ac:dyDescent="0.3">
      <c r="A1584" s="223">
        <v>1583</v>
      </c>
      <c r="B1584" s="223" t="s">
        <v>6</v>
      </c>
      <c r="C1584" s="223" t="s">
        <v>9</v>
      </c>
      <c r="D1584" s="223" t="s">
        <v>12</v>
      </c>
      <c r="E1584" s="223" t="s">
        <v>21</v>
      </c>
      <c r="F1584" s="223" t="s">
        <v>1096</v>
      </c>
      <c r="G1584" s="223" t="s">
        <v>1219</v>
      </c>
    </row>
    <row r="1585" spans="1:7" x14ac:dyDescent="0.3">
      <c r="A1585" s="223">
        <v>1584</v>
      </c>
      <c r="B1585" s="223" t="s">
        <v>6</v>
      </c>
      <c r="C1585" s="223" t="s">
        <v>9</v>
      </c>
      <c r="D1585" s="223" t="s">
        <v>12</v>
      </c>
      <c r="E1585" s="223" t="s">
        <v>21</v>
      </c>
      <c r="F1585" s="223" t="s">
        <v>1090</v>
      </c>
      <c r="G1585" s="223" t="s">
        <v>1219</v>
      </c>
    </row>
    <row r="1586" spans="1:7" x14ac:dyDescent="0.3">
      <c r="A1586" s="223">
        <v>1585</v>
      </c>
      <c r="B1586" s="223" t="s">
        <v>6</v>
      </c>
      <c r="C1586" s="223" t="s">
        <v>1227</v>
      </c>
      <c r="D1586" s="223" t="s">
        <v>1218</v>
      </c>
      <c r="E1586" s="223" t="s">
        <v>1087</v>
      </c>
      <c r="F1586" s="223" t="s">
        <v>1093</v>
      </c>
      <c r="G1586" s="223" t="s">
        <v>1219</v>
      </c>
    </row>
    <row r="1587" spans="1:7" x14ac:dyDescent="0.3">
      <c r="A1587" s="223">
        <v>1586</v>
      </c>
      <c r="B1587" s="223" t="s">
        <v>6</v>
      </c>
      <c r="C1587" s="223" t="s">
        <v>1227</v>
      </c>
      <c r="D1587" s="223" t="s">
        <v>1218</v>
      </c>
      <c r="E1587" s="223" t="s">
        <v>1087</v>
      </c>
      <c r="F1587" s="223" t="s">
        <v>27</v>
      </c>
      <c r="G1587" s="223" t="s">
        <v>1219</v>
      </c>
    </row>
    <row r="1588" spans="1:7" x14ac:dyDescent="0.3">
      <c r="A1588" s="223">
        <v>1587</v>
      </c>
      <c r="B1588" s="223" t="s">
        <v>6</v>
      </c>
      <c r="C1588" s="223" t="s">
        <v>1227</v>
      </c>
      <c r="D1588" s="223" t="s">
        <v>1218</v>
      </c>
      <c r="E1588" s="223" t="s">
        <v>1087</v>
      </c>
      <c r="F1588" s="223" t="s">
        <v>1096</v>
      </c>
      <c r="G1588" s="223" t="s">
        <v>1219</v>
      </c>
    </row>
    <row r="1589" spans="1:7" x14ac:dyDescent="0.3">
      <c r="A1589" s="223">
        <v>1588</v>
      </c>
      <c r="B1589" s="223" t="s">
        <v>6</v>
      </c>
      <c r="C1589" s="223" t="s">
        <v>1227</v>
      </c>
      <c r="D1589" s="223" t="s">
        <v>1218</v>
      </c>
      <c r="E1589" s="223" t="s">
        <v>1087</v>
      </c>
      <c r="F1589" s="223" t="s">
        <v>1090</v>
      </c>
      <c r="G1589" s="223" t="s">
        <v>1219</v>
      </c>
    </row>
    <row r="1590" spans="1:7" x14ac:dyDescent="0.3">
      <c r="A1590" s="223">
        <v>1589</v>
      </c>
      <c r="B1590" s="223" t="s">
        <v>6</v>
      </c>
      <c r="C1590" s="223" t="s">
        <v>1227</v>
      </c>
      <c r="D1590" s="223" t="s">
        <v>1218</v>
      </c>
      <c r="E1590" s="223" t="s">
        <v>21</v>
      </c>
      <c r="F1590" s="223" t="s">
        <v>1093</v>
      </c>
      <c r="G1590" s="223" t="s">
        <v>1219</v>
      </c>
    </row>
    <row r="1591" spans="1:7" x14ac:dyDescent="0.3">
      <c r="A1591" s="223">
        <v>1590</v>
      </c>
      <c r="B1591" s="223" t="s">
        <v>6</v>
      </c>
      <c r="C1591" s="223" t="s">
        <v>1227</v>
      </c>
      <c r="D1591" s="223" t="s">
        <v>1218</v>
      </c>
      <c r="E1591" s="223" t="s">
        <v>21</v>
      </c>
      <c r="F1591" s="223" t="s">
        <v>27</v>
      </c>
      <c r="G1591" s="223" t="s">
        <v>1219</v>
      </c>
    </row>
    <row r="1592" spans="1:7" x14ac:dyDescent="0.3">
      <c r="A1592" s="223">
        <v>1591</v>
      </c>
      <c r="B1592" s="223" t="s">
        <v>6</v>
      </c>
      <c r="C1592" s="223" t="s">
        <v>1227</v>
      </c>
      <c r="D1592" s="223" t="s">
        <v>1218</v>
      </c>
      <c r="E1592" s="223" t="s">
        <v>21</v>
      </c>
      <c r="F1592" s="223" t="s">
        <v>1096</v>
      </c>
      <c r="G1592" s="223" t="s">
        <v>1219</v>
      </c>
    </row>
    <row r="1593" spans="1:7" x14ac:dyDescent="0.3">
      <c r="A1593" s="223">
        <v>1592</v>
      </c>
      <c r="B1593" s="223" t="s">
        <v>6</v>
      </c>
      <c r="C1593" s="223" t="s">
        <v>1227</v>
      </c>
      <c r="D1593" s="223" t="s">
        <v>1218</v>
      </c>
      <c r="E1593" s="223" t="s">
        <v>21</v>
      </c>
      <c r="F1593" s="223" t="s">
        <v>1090</v>
      </c>
      <c r="G1593" s="223" t="s">
        <v>1219</v>
      </c>
    </row>
    <row r="1594" spans="1:7" x14ac:dyDescent="0.3">
      <c r="A1594" s="223">
        <v>1593</v>
      </c>
      <c r="B1594" s="223" t="s">
        <v>6</v>
      </c>
      <c r="C1594" s="223" t="s">
        <v>1227</v>
      </c>
      <c r="D1594" s="223" t="s">
        <v>1220</v>
      </c>
      <c r="E1594" s="223" t="s">
        <v>1087</v>
      </c>
      <c r="F1594" s="223" t="s">
        <v>1093</v>
      </c>
      <c r="G1594" s="223" t="s">
        <v>1219</v>
      </c>
    </row>
    <row r="1595" spans="1:7" x14ac:dyDescent="0.3">
      <c r="A1595" s="223">
        <v>1594</v>
      </c>
      <c r="B1595" s="223" t="s">
        <v>6</v>
      </c>
      <c r="C1595" s="223" t="s">
        <v>1227</v>
      </c>
      <c r="D1595" s="223" t="s">
        <v>1220</v>
      </c>
      <c r="E1595" s="223" t="s">
        <v>1087</v>
      </c>
      <c r="F1595" s="223" t="s">
        <v>27</v>
      </c>
      <c r="G1595" s="223" t="s">
        <v>1219</v>
      </c>
    </row>
    <row r="1596" spans="1:7" x14ac:dyDescent="0.3">
      <c r="A1596" s="223">
        <v>1595</v>
      </c>
      <c r="B1596" s="223" t="s">
        <v>6</v>
      </c>
      <c r="C1596" s="223" t="s">
        <v>1227</v>
      </c>
      <c r="D1596" s="223" t="s">
        <v>1220</v>
      </c>
      <c r="E1596" s="223" t="s">
        <v>1087</v>
      </c>
      <c r="F1596" s="223" t="s">
        <v>1096</v>
      </c>
      <c r="G1596" s="223" t="s">
        <v>1219</v>
      </c>
    </row>
    <row r="1597" spans="1:7" x14ac:dyDescent="0.3">
      <c r="A1597" s="223">
        <v>1596</v>
      </c>
      <c r="B1597" s="223" t="s">
        <v>6</v>
      </c>
      <c r="C1597" s="223" t="s">
        <v>1227</v>
      </c>
      <c r="D1597" s="223" t="s">
        <v>1220</v>
      </c>
      <c r="E1597" s="223" t="s">
        <v>1087</v>
      </c>
      <c r="F1597" s="223" t="s">
        <v>1090</v>
      </c>
      <c r="G1597" s="223" t="s">
        <v>1219</v>
      </c>
    </row>
    <row r="1598" spans="1:7" x14ac:dyDescent="0.3">
      <c r="A1598" s="223">
        <v>1597</v>
      </c>
      <c r="B1598" s="223" t="s">
        <v>6</v>
      </c>
      <c r="C1598" s="223" t="s">
        <v>1227</v>
      </c>
      <c r="D1598" s="223" t="s">
        <v>1220</v>
      </c>
      <c r="E1598" s="223" t="s">
        <v>21</v>
      </c>
      <c r="F1598" s="223" t="s">
        <v>1093</v>
      </c>
      <c r="G1598" s="223" t="s">
        <v>1219</v>
      </c>
    </row>
    <row r="1599" spans="1:7" x14ac:dyDescent="0.3">
      <c r="A1599" s="223">
        <v>1598</v>
      </c>
      <c r="B1599" s="223" t="s">
        <v>6</v>
      </c>
      <c r="C1599" s="223" t="s">
        <v>1227</v>
      </c>
      <c r="D1599" s="223" t="s">
        <v>1220</v>
      </c>
      <c r="E1599" s="223" t="s">
        <v>21</v>
      </c>
      <c r="F1599" s="223" t="s">
        <v>27</v>
      </c>
      <c r="G1599" s="223" t="s">
        <v>1219</v>
      </c>
    </row>
    <row r="1600" spans="1:7" x14ac:dyDescent="0.3">
      <c r="A1600" s="223">
        <v>1599</v>
      </c>
      <c r="B1600" s="223" t="s">
        <v>6</v>
      </c>
      <c r="C1600" s="223" t="s">
        <v>1227</v>
      </c>
      <c r="D1600" s="223" t="s">
        <v>1220</v>
      </c>
      <c r="E1600" s="223" t="s">
        <v>21</v>
      </c>
      <c r="F1600" s="223" t="s">
        <v>1096</v>
      </c>
      <c r="G1600" s="223" t="s">
        <v>1219</v>
      </c>
    </row>
    <row r="1601" spans="1:7" x14ac:dyDescent="0.3">
      <c r="A1601" s="223">
        <v>1600</v>
      </c>
      <c r="B1601" s="223" t="s">
        <v>6</v>
      </c>
      <c r="C1601" s="223" t="s">
        <v>1227</v>
      </c>
      <c r="D1601" s="223" t="s">
        <v>1220</v>
      </c>
      <c r="E1601" s="223" t="s">
        <v>21</v>
      </c>
      <c r="F1601" s="223" t="s">
        <v>1090</v>
      </c>
      <c r="G1601" s="223" t="s">
        <v>1219</v>
      </c>
    </row>
    <row r="1602" spans="1:7" x14ac:dyDescent="0.3">
      <c r="A1602" s="223">
        <v>1601</v>
      </c>
      <c r="B1602" s="223" t="s">
        <v>6</v>
      </c>
      <c r="C1602" s="223" t="s">
        <v>1227</v>
      </c>
      <c r="D1602" s="223" t="s">
        <v>1221</v>
      </c>
      <c r="E1602" s="223" t="s">
        <v>1087</v>
      </c>
      <c r="F1602" s="223" t="s">
        <v>1093</v>
      </c>
      <c r="G1602" s="223" t="s">
        <v>1219</v>
      </c>
    </row>
    <row r="1603" spans="1:7" x14ac:dyDescent="0.3">
      <c r="A1603" s="223">
        <v>1602</v>
      </c>
      <c r="B1603" s="223" t="s">
        <v>6</v>
      </c>
      <c r="C1603" s="223" t="s">
        <v>1227</v>
      </c>
      <c r="D1603" s="223" t="s">
        <v>1221</v>
      </c>
      <c r="E1603" s="223" t="s">
        <v>1087</v>
      </c>
      <c r="F1603" s="223" t="s">
        <v>27</v>
      </c>
      <c r="G1603" s="223" t="s">
        <v>1219</v>
      </c>
    </row>
    <row r="1604" spans="1:7" x14ac:dyDescent="0.3">
      <c r="A1604" s="223">
        <v>1603</v>
      </c>
      <c r="B1604" s="223" t="s">
        <v>6</v>
      </c>
      <c r="C1604" s="223" t="s">
        <v>1227</v>
      </c>
      <c r="D1604" s="223" t="s">
        <v>1221</v>
      </c>
      <c r="E1604" s="223" t="s">
        <v>1087</v>
      </c>
      <c r="F1604" s="223" t="s">
        <v>1096</v>
      </c>
      <c r="G1604" s="223" t="s">
        <v>1219</v>
      </c>
    </row>
    <row r="1605" spans="1:7" x14ac:dyDescent="0.3">
      <c r="A1605" s="223">
        <v>1604</v>
      </c>
      <c r="B1605" s="223" t="s">
        <v>6</v>
      </c>
      <c r="C1605" s="223" t="s">
        <v>1227</v>
      </c>
      <c r="D1605" s="223" t="s">
        <v>1221</v>
      </c>
      <c r="E1605" s="223" t="s">
        <v>1087</v>
      </c>
      <c r="F1605" s="223" t="s">
        <v>1090</v>
      </c>
      <c r="G1605" s="223" t="s">
        <v>1219</v>
      </c>
    </row>
    <row r="1606" spans="1:7" x14ac:dyDescent="0.3">
      <c r="A1606" s="223">
        <v>1605</v>
      </c>
      <c r="B1606" s="223" t="s">
        <v>6</v>
      </c>
      <c r="C1606" s="223" t="s">
        <v>1227</v>
      </c>
      <c r="D1606" s="223" t="s">
        <v>1221</v>
      </c>
      <c r="E1606" s="223" t="s">
        <v>21</v>
      </c>
      <c r="F1606" s="223" t="s">
        <v>1093</v>
      </c>
      <c r="G1606" s="223" t="s">
        <v>1219</v>
      </c>
    </row>
    <row r="1607" spans="1:7" x14ac:dyDescent="0.3">
      <c r="A1607" s="223">
        <v>1606</v>
      </c>
      <c r="B1607" s="223" t="s">
        <v>6</v>
      </c>
      <c r="C1607" s="223" t="s">
        <v>1227</v>
      </c>
      <c r="D1607" s="223" t="s">
        <v>1221</v>
      </c>
      <c r="E1607" s="223" t="s">
        <v>21</v>
      </c>
      <c r="F1607" s="223" t="s">
        <v>27</v>
      </c>
      <c r="G1607" s="223" t="s">
        <v>1219</v>
      </c>
    </row>
    <row r="1608" spans="1:7" x14ac:dyDescent="0.3">
      <c r="A1608" s="223">
        <v>1607</v>
      </c>
      <c r="B1608" s="223" t="s">
        <v>6</v>
      </c>
      <c r="C1608" s="223" t="s">
        <v>1227</v>
      </c>
      <c r="D1608" s="223" t="s">
        <v>1221</v>
      </c>
      <c r="E1608" s="223" t="s">
        <v>21</v>
      </c>
      <c r="F1608" s="223" t="s">
        <v>1096</v>
      </c>
      <c r="G1608" s="223" t="s">
        <v>1219</v>
      </c>
    </row>
    <row r="1609" spans="1:7" x14ac:dyDescent="0.3">
      <c r="A1609" s="223">
        <v>1608</v>
      </c>
      <c r="B1609" s="223" t="s">
        <v>6</v>
      </c>
      <c r="C1609" s="223" t="s">
        <v>1227</v>
      </c>
      <c r="D1609" s="223" t="s">
        <v>1221</v>
      </c>
      <c r="E1609" s="223" t="s">
        <v>21</v>
      </c>
      <c r="F1609" s="223" t="s">
        <v>1090</v>
      </c>
      <c r="G1609" s="223" t="s">
        <v>1219</v>
      </c>
    </row>
    <row r="1610" spans="1:7" x14ac:dyDescent="0.3">
      <c r="A1610" s="223">
        <v>1609</v>
      </c>
      <c r="B1610" s="223" t="s">
        <v>6</v>
      </c>
      <c r="C1610" s="223" t="s">
        <v>1227</v>
      </c>
      <c r="D1610" s="223" t="s">
        <v>1222</v>
      </c>
      <c r="E1610" s="223" t="s">
        <v>1087</v>
      </c>
      <c r="F1610" s="223" t="s">
        <v>1093</v>
      </c>
      <c r="G1610" s="223" t="s">
        <v>1219</v>
      </c>
    </row>
    <row r="1611" spans="1:7" x14ac:dyDescent="0.3">
      <c r="A1611" s="223">
        <v>1610</v>
      </c>
      <c r="B1611" s="223" t="s">
        <v>6</v>
      </c>
      <c r="C1611" s="223" t="s">
        <v>1227</v>
      </c>
      <c r="D1611" s="223" t="s">
        <v>1222</v>
      </c>
      <c r="E1611" s="223" t="s">
        <v>1087</v>
      </c>
      <c r="F1611" s="223" t="s">
        <v>27</v>
      </c>
      <c r="G1611" s="223" t="s">
        <v>1219</v>
      </c>
    </row>
    <row r="1612" spans="1:7" x14ac:dyDescent="0.3">
      <c r="A1612" s="223">
        <v>1611</v>
      </c>
      <c r="B1612" s="223" t="s">
        <v>6</v>
      </c>
      <c r="C1612" s="223" t="s">
        <v>1227</v>
      </c>
      <c r="D1612" s="223" t="s">
        <v>1222</v>
      </c>
      <c r="E1612" s="223" t="s">
        <v>1087</v>
      </c>
      <c r="F1612" s="223" t="s">
        <v>1096</v>
      </c>
      <c r="G1612" s="223" t="s">
        <v>1219</v>
      </c>
    </row>
    <row r="1613" spans="1:7" x14ac:dyDescent="0.3">
      <c r="A1613" s="223">
        <v>1612</v>
      </c>
      <c r="B1613" s="223" t="s">
        <v>6</v>
      </c>
      <c r="C1613" s="223" t="s">
        <v>1227</v>
      </c>
      <c r="D1613" s="223" t="s">
        <v>1222</v>
      </c>
      <c r="E1613" s="223" t="s">
        <v>1087</v>
      </c>
      <c r="F1613" s="223" t="s">
        <v>1090</v>
      </c>
      <c r="G1613" s="223" t="s">
        <v>1219</v>
      </c>
    </row>
    <row r="1614" spans="1:7" x14ac:dyDescent="0.3">
      <c r="A1614" s="223">
        <v>1613</v>
      </c>
      <c r="B1614" s="223" t="s">
        <v>6</v>
      </c>
      <c r="C1614" s="223" t="s">
        <v>1227</v>
      </c>
      <c r="D1614" s="223" t="s">
        <v>1222</v>
      </c>
      <c r="E1614" s="223" t="s">
        <v>21</v>
      </c>
      <c r="F1614" s="223" t="s">
        <v>1093</v>
      </c>
      <c r="G1614" s="223" t="s">
        <v>1219</v>
      </c>
    </row>
    <row r="1615" spans="1:7" x14ac:dyDescent="0.3">
      <c r="A1615" s="223">
        <v>1614</v>
      </c>
      <c r="B1615" s="223" t="s">
        <v>6</v>
      </c>
      <c r="C1615" s="223" t="s">
        <v>1227</v>
      </c>
      <c r="D1615" s="223" t="s">
        <v>1222</v>
      </c>
      <c r="E1615" s="223" t="s">
        <v>21</v>
      </c>
      <c r="F1615" s="223" t="s">
        <v>27</v>
      </c>
      <c r="G1615" s="223" t="s">
        <v>1219</v>
      </c>
    </row>
    <row r="1616" spans="1:7" x14ac:dyDescent="0.3">
      <c r="A1616" s="223">
        <v>1615</v>
      </c>
      <c r="B1616" s="223" t="s">
        <v>6</v>
      </c>
      <c r="C1616" s="223" t="s">
        <v>1227</v>
      </c>
      <c r="D1616" s="223" t="s">
        <v>1222</v>
      </c>
      <c r="E1616" s="223" t="s">
        <v>21</v>
      </c>
      <c r="F1616" s="223" t="s">
        <v>1096</v>
      </c>
      <c r="G1616" s="223" t="s">
        <v>1219</v>
      </c>
    </row>
    <row r="1617" spans="1:7" x14ac:dyDescent="0.3">
      <c r="A1617" s="223">
        <v>1616</v>
      </c>
      <c r="B1617" s="223" t="s">
        <v>6</v>
      </c>
      <c r="C1617" s="223" t="s">
        <v>1227</v>
      </c>
      <c r="D1617" s="223" t="s">
        <v>1222</v>
      </c>
      <c r="E1617" s="223" t="s">
        <v>21</v>
      </c>
      <c r="F1617" s="223" t="s">
        <v>1090</v>
      </c>
      <c r="G1617" s="223" t="s">
        <v>1219</v>
      </c>
    </row>
    <row r="1618" spans="1:7" x14ac:dyDescent="0.3">
      <c r="A1618" s="223">
        <v>1617</v>
      </c>
      <c r="B1618" s="223" t="s">
        <v>6</v>
      </c>
      <c r="C1618" s="223" t="s">
        <v>1227</v>
      </c>
      <c r="D1618" s="223" t="s">
        <v>1223</v>
      </c>
      <c r="E1618" s="223" t="s">
        <v>1087</v>
      </c>
      <c r="F1618" s="223" t="s">
        <v>1093</v>
      </c>
      <c r="G1618" s="223" t="s">
        <v>1219</v>
      </c>
    </row>
    <row r="1619" spans="1:7" x14ac:dyDescent="0.3">
      <c r="A1619" s="223">
        <v>1618</v>
      </c>
      <c r="B1619" s="223" t="s">
        <v>6</v>
      </c>
      <c r="C1619" s="223" t="s">
        <v>1227</v>
      </c>
      <c r="D1619" s="223" t="s">
        <v>1223</v>
      </c>
      <c r="E1619" s="223" t="s">
        <v>1087</v>
      </c>
      <c r="F1619" s="223" t="s">
        <v>27</v>
      </c>
      <c r="G1619" s="223" t="s">
        <v>1219</v>
      </c>
    </row>
    <row r="1620" spans="1:7" x14ac:dyDescent="0.3">
      <c r="A1620" s="223">
        <v>1619</v>
      </c>
      <c r="B1620" s="223" t="s">
        <v>6</v>
      </c>
      <c r="C1620" s="223" t="s">
        <v>1227</v>
      </c>
      <c r="D1620" s="223" t="s">
        <v>1223</v>
      </c>
      <c r="E1620" s="223" t="s">
        <v>1087</v>
      </c>
      <c r="F1620" s="223" t="s">
        <v>1096</v>
      </c>
      <c r="G1620" s="223" t="s">
        <v>1219</v>
      </c>
    </row>
    <row r="1621" spans="1:7" x14ac:dyDescent="0.3">
      <c r="A1621" s="223">
        <v>1620</v>
      </c>
      <c r="B1621" s="223" t="s">
        <v>6</v>
      </c>
      <c r="C1621" s="223" t="s">
        <v>1227</v>
      </c>
      <c r="D1621" s="223" t="s">
        <v>1223</v>
      </c>
      <c r="E1621" s="223" t="s">
        <v>1087</v>
      </c>
      <c r="F1621" s="223" t="s">
        <v>1090</v>
      </c>
      <c r="G1621" s="223" t="s">
        <v>1219</v>
      </c>
    </row>
    <row r="1622" spans="1:7" x14ac:dyDescent="0.3">
      <c r="A1622" s="223">
        <v>1621</v>
      </c>
      <c r="B1622" s="223" t="s">
        <v>6</v>
      </c>
      <c r="C1622" s="223" t="s">
        <v>1227</v>
      </c>
      <c r="D1622" s="223" t="s">
        <v>1223</v>
      </c>
      <c r="E1622" s="223" t="s">
        <v>21</v>
      </c>
      <c r="F1622" s="223" t="s">
        <v>1093</v>
      </c>
      <c r="G1622" s="223" t="s">
        <v>1219</v>
      </c>
    </row>
    <row r="1623" spans="1:7" x14ac:dyDescent="0.3">
      <c r="A1623" s="223">
        <v>1622</v>
      </c>
      <c r="B1623" s="223" t="s">
        <v>6</v>
      </c>
      <c r="C1623" s="223" t="s">
        <v>1227</v>
      </c>
      <c r="D1623" s="223" t="s">
        <v>1223</v>
      </c>
      <c r="E1623" s="223" t="s">
        <v>21</v>
      </c>
      <c r="F1623" s="223" t="s">
        <v>27</v>
      </c>
      <c r="G1623" s="223" t="s">
        <v>1219</v>
      </c>
    </row>
    <row r="1624" spans="1:7" x14ac:dyDescent="0.3">
      <c r="A1624" s="223">
        <v>1623</v>
      </c>
      <c r="B1624" s="223" t="s">
        <v>6</v>
      </c>
      <c r="C1624" s="223" t="s">
        <v>1227</v>
      </c>
      <c r="D1624" s="223" t="s">
        <v>1223</v>
      </c>
      <c r="E1624" s="223" t="s">
        <v>21</v>
      </c>
      <c r="F1624" s="223" t="s">
        <v>1096</v>
      </c>
      <c r="G1624" s="223" t="s">
        <v>1219</v>
      </c>
    </row>
    <row r="1625" spans="1:7" x14ac:dyDescent="0.3">
      <c r="A1625" s="223">
        <v>1624</v>
      </c>
      <c r="B1625" s="223" t="s">
        <v>6</v>
      </c>
      <c r="C1625" s="223" t="s">
        <v>1227</v>
      </c>
      <c r="D1625" s="223" t="s">
        <v>1223</v>
      </c>
      <c r="E1625" s="223" t="s">
        <v>21</v>
      </c>
      <c r="F1625" s="223" t="s">
        <v>1090</v>
      </c>
      <c r="G1625" s="223" t="s">
        <v>1219</v>
      </c>
    </row>
    <row r="1626" spans="1:7" x14ac:dyDescent="0.3">
      <c r="A1626" s="223">
        <v>1625</v>
      </c>
      <c r="B1626" s="223" t="s">
        <v>6</v>
      </c>
      <c r="C1626" s="223" t="s">
        <v>1227</v>
      </c>
      <c r="D1626" s="223" t="s">
        <v>12</v>
      </c>
      <c r="E1626" s="223" t="s">
        <v>1087</v>
      </c>
      <c r="F1626" s="223" t="s">
        <v>1093</v>
      </c>
      <c r="G1626" s="223" t="s">
        <v>1219</v>
      </c>
    </row>
    <row r="1627" spans="1:7" x14ac:dyDescent="0.3">
      <c r="A1627" s="223">
        <v>1626</v>
      </c>
      <c r="B1627" s="223" t="s">
        <v>6</v>
      </c>
      <c r="C1627" s="223" t="s">
        <v>1227</v>
      </c>
      <c r="D1627" s="223" t="s">
        <v>12</v>
      </c>
      <c r="E1627" s="223" t="s">
        <v>1087</v>
      </c>
      <c r="F1627" s="223" t="s">
        <v>27</v>
      </c>
      <c r="G1627" s="223" t="s">
        <v>1219</v>
      </c>
    </row>
    <row r="1628" spans="1:7" x14ac:dyDescent="0.3">
      <c r="A1628" s="223">
        <v>1627</v>
      </c>
      <c r="B1628" s="223" t="s">
        <v>6</v>
      </c>
      <c r="C1628" s="223" t="s">
        <v>1227</v>
      </c>
      <c r="D1628" s="223" t="s">
        <v>12</v>
      </c>
      <c r="E1628" s="223" t="s">
        <v>1087</v>
      </c>
      <c r="F1628" s="223" t="s">
        <v>1096</v>
      </c>
      <c r="G1628" s="223" t="s">
        <v>1219</v>
      </c>
    </row>
    <row r="1629" spans="1:7" x14ac:dyDescent="0.3">
      <c r="A1629" s="223">
        <v>1628</v>
      </c>
      <c r="B1629" s="223" t="s">
        <v>6</v>
      </c>
      <c r="C1629" s="223" t="s">
        <v>1227</v>
      </c>
      <c r="D1629" s="223" t="s">
        <v>12</v>
      </c>
      <c r="E1629" s="223" t="s">
        <v>1087</v>
      </c>
      <c r="F1629" s="223" t="s">
        <v>1090</v>
      </c>
      <c r="G1629" s="223" t="s">
        <v>1219</v>
      </c>
    </row>
    <row r="1630" spans="1:7" x14ac:dyDescent="0.3">
      <c r="A1630" s="223">
        <v>1629</v>
      </c>
      <c r="B1630" s="223" t="s">
        <v>6</v>
      </c>
      <c r="C1630" s="223" t="s">
        <v>1227</v>
      </c>
      <c r="D1630" s="223" t="s">
        <v>12</v>
      </c>
      <c r="E1630" s="223" t="s">
        <v>21</v>
      </c>
      <c r="F1630" s="223" t="s">
        <v>1093</v>
      </c>
      <c r="G1630" s="223" t="s">
        <v>1219</v>
      </c>
    </row>
    <row r="1631" spans="1:7" x14ac:dyDescent="0.3">
      <c r="A1631" s="223">
        <v>1630</v>
      </c>
      <c r="B1631" s="223" t="s">
        <v>6</v>
      </c>
      <c r="C1631" s="223" t="s">
        <v>1227</v>
      </c>
      <c r="D1631" s="223" t="s">
        <v>12</v>
      </c>
      <c r="E1631" s="223" t="s">
        <v>21</v>
      </c>
      <c r="F1631" s="223" t="s">
        <v>27</v>
      </c>
      <c r="G1631" s="223" t="s">
        <v>1219</v>
      </c>
    </row>
    <row r="1632" spans="1:7" x14ac:dyDescent="0.3">
      <c r="A1632" s="223">
        <v>1631</v>
      </c>
      <c r="B1632" s="223" t="s">
        <v>6</v>
      </c>
      <c r="C1632" s="223" t="s">
        <v>1227</v>
      </c>
      <c r="D1632" s="223" t="s">
        <v>12</v>
      </c>
      <c r="E1632" s="223" t="s">
        <v>21</v>
      </c>
      <c r="F1632" s="223" t="s">
        <v>1096</v>
      </c>
      <c r="G1632" s="223" t="s">
        <v>1219</v>
      </c>
    </row>
    <row r="1633" spans="1:7" x14ac:dyDescent="0.3">
      <c r="A1633" s="223">
        <v>1632</v>
      </c>
      <c r="B1633" s="223" t="s">
        <v>6</v>
      </c>
      <c r="C1633" s="223" t="s">
        <v>1227</v>
      </c>
      <c r="D1633" s="223" t="s">
        <v>12</v>
      </c>
      <c r="E1633" s="223" t="s">
        <v>21</v>
      </c>
      <c r="F1633" s="223" t="s">
        <v>1090</v>
      </c>
      <c r="G1633" s="223" t="s">
        <v>1219</v>
      </c>
    </row>
    <row r="1634" spans="1:7" x14ac:dyDescent="0.3">
      <c r="A1634" s="223">
        <v>1633</v>
      </c>
      <c r="B1634" s="223" t="s">
        <v>6</v>
      </c>
      <c r="C1634" s="223" t="s">
        <v>1228</v>
      </c>
      <c r="D1634" s="223" t="s">
        <v>1218</v>
      </c>
      <c r="E1634" s="223" t="s">
        <v>1087</v>
      </c>
      <c r="F1634" s="223" t="s">
        <v>1093</v>
      </c>
      <c r="G1634" s="223" t="s">
        <v>1219</v>
      </c>
    </row>
    <row r="1635" spans="1:7" x14ac:dyDescent="0.3">
      <c r="A1635" s="223">
        <v>1634</v>
      </c>
      <c r="B1635" s="223" t="s">
        <v>6</v>
      </c>
      <c r="C1635" s="223" t="s">
        <v>1228</v>
      </c>
      <c r="D1635" s="223" t="s">
        <v>1218</v>
      </c>
      <c r="E1635" s="223" t="s">
        <v>1087</v>
      </c>
      <c r="F1635" s="223" t="s">
        <v>27</v>
      </c>
      <c r="G1635" s="223" t="s">
        <v>1219</v>
      </c>
    </row>
    <row r="1636" spans="1:7" x14ac:dyDescent="0.3">
      <c r="A1636" s="223">
        <v>1635</v>
      </c>
      <c r="B1636" s="223" t="s">
        <v>6</v>
      </c>
      <c r="C1636" s="223" t="s">
        <v>1228</v>
      </c>
      <c r="D1636" s="223" t="s">
        <v>1218</v>
      </c>
      <c r="E1636" s="223" t="s">
        <v>1087</v>
      </c>
      <c r="F1636" s="223" t="s">
        <v>1096</v>
      </c>
      <c r="G1636" s="223" t="s">
        <v>1219</v>
      </c>
    </row>
    <row r="1637" spans="1:7" x14ac:dyDescent="0.3">
      <c r="A1637" s="223">
        <v>1636</v>
      </c>
      <c r="B1637" s="223" t="s">
        <v>6</v>
      </c>
      <c r="C1637" s="223" t="s">
        <v>1228</v>
      </c>
      <c r="D1637" s="223" t="s">
        <v>1218</v>
      </c>
      <c r="E1637" s="223" t="s">
        <v>1087</v>
      </c>
      <c r="F1637" s="223" t="s">
        <v>1090</v>
      </c>
      <c r="G1637" s="223" t="s">
        <v>1219</v>
      </c>
    </row>
    <row r="1638" spans="1:7" x14ac:dyDescent="0.3">
      <c r="A1638" s="223">
        <v>1637</v>
      </c>
      <c r="B1638" s="223" t="s">
        <v>6</v>
      </c>
      <c r="C1638" s="223" t="s">
        <v>1228</v>
      </c>
      <c r="D1638" s="223" t="s">
        <v>1218</v>
      </c>
      <c r="E1638" s="223" t="s">
        <v>21</v>
      </c>
      <c r="F1638" s="223" t="s">
        <v>1093</v>
      </c>
      <c r="G1638" s="223" t="s">
        <v>1219</v>
      </c>
    </row>
    <row r="1639" spans="1:7" x14ac:dyDescent="0.3">
      <c r="A1639" s="223">
        <v>1638</v>
      </c>
      <c r="B1639" s="223" t="s">
        <v>6</v>
      </c>
      <c r="C1639" s="223" t="s">
        <v>1228</v>
      </c>
      <c r="D1639" s="223" t="s">
        <v>1218</v>
      </c>
      <c r="E1639" s="223" t="s">
        <v>21</v>
      </c>
      <c r="F1639" s="223" t="s">
        <v>27</v>
      </c>
      <c r="G1639" s="223" t="s">
        <v>1219</v>
      </c>
    </row>
    <row r="1640" spans="1:7" x14ac:dyDescent="0.3">
      <c r="A1640" s="223">
        <v>1639</v>
      </c>
      <c r="B1640" s="223" t="s">
        <v>6</v>
      </c>
      <c r="C1640" s="223" t="s">
        <v>1228</v>
      </c>
      <c r="D1640" s="223" t="s">
        <v>1218</v>
      </c>
      <c r="E1640" s="223" t="s">
        <v>21</v>
      </c>
      <c r="F1640" s="223" t="s">
        <v>1096</v>
      </c>
      <c r="G1640" s="223" t="s">
        <v>1219</v>
      </c>
    </row>
    <row r="1641" spans="1:7" x14ac:dyDescent="0.3">
      <c r="A1641" s="223">
        <v>1640</v>
      </c>
      <c r="B1641" s="223" t="s">
        <v>6</v>
      </c>
      <c r="C1641" s="223" t="s">
        <v>1228</v>
      </c>
      <c r="D1641" s="223" t="s">
        <v>1218</v>
      </c>
      <c r="E1641" s="223" t="s">
        <v>21</v>
      </c>
      <c r="F1641" s="223" t="s">
        <v>1090</v>
      </c>
      <c r="G1641" s="223" t="s">
        <v>1219</v>
      </c>
    </row>
    <row r="1642" spans="1:7" x14ac:dyDescent="0.3">
      <c r="A1642" s="223">
        <v>1641</v>
      </c>
      <c r="B1642" s="223" t="s">
        <v>6</v>
      </c>
      <c r="C1642" s="223" t="s">
        <v>1228</v>
      </c>
      <c r="D1642" s="223" t="s">
        <v>1220</v>
      </c>
      <c r="E1642" s="223" t="s">
        <v>1087</v>
      </c>
      <c r="F1642" s="223" t="s">
        <v>1093</v>
      </c>
      <c r="G1642" s="223" t="s">
        <v>1219</v>
      </c>
    </row>
    <row r="1643" spans="1:7" x14ac:dyDescent="0.3">
      <c r="A1643" s="223">
        <v>1642</v>
      </c>
      <c r="B1643" s="223" t="s">
        <v>6</v>
      </c>
      <c r="C1643" s="223" t="s">
        <v>1228</v>
      </c>
      <c r="D1643" s="223" t="s">
        <v>1220</v>
      </c>
      <c r="E1643" s="223" t="s">
        <v>1087</v>
      </c>
      <c r="F1643" s="223" t="s">
        <v>27</v>
      </c>
      <c r="G1643" s="223" t="s">
        <v>1219</v>
      </c>
    </row>
    <row r="1644" spans="1:7" x14ac:dyDescent="0.3">
      <c r="A1644" s="223">
        <v>1643</v>
      </c>
      <c r="B1644" s="223" t="s">
        <v>6</v>
      </c>
      <c r="C1644" s="223" t="s">
        <v>1228</v>
      </c>
      <c r="D1644" s="223" t="s">
        <v>1220</v>
      </c>
      <c r="E1644" s="223" t="s">
        <v>1087</v>
      </c>
      <c r="F1644" s="223" t="s">
        <v>1096</v>
      </c>
      <c r="G1644" s="223" t="s">
        <v>1219</v>
      </c>
    </row>
    <row r="1645" spans="1:7" x14ac:dyDescent="0.3">
      <c r="A1645" s="223">
        <v>1644</v>
      </c>
      <c r="B1645" s="223" t="s">
        <v>6</v>
      </c>
      <c r="C1645" s="223" t="s">
        <v>1228</v>
      </c>
      <c r="D1645" s="223" t="s">
        <v>1220</v>
      </c>
      <c r="E1645" s="223" t="s">
        <v>1087</v>
      </c>
      <c r="F1645" s="223" t="s">
        <v>1090</v>
      </c>
      <c r="G1645" s="223" t="s">
        <v>1219</v>
      </c>
    </row>
    <row r="1646" spans="1:7" x14ac:dyDescent="0.3">
      <c r="A1646" s="223">
        <v>1645</v>
      </c>
      <c r="B1646" s="223" t="s">
        <v>6</v>
      </c>
      <c r="C1646" s="223" t="s">
        <v>1228</v>
      </c>
      <c r="D1646" s="223" t="s">
        <v>1220</v>
      </c>
      <c r="E1646" s="223" t="s">
        <v>21</v>
      </c>
      <c r="F1646" s="223" t="s">
        <v>1093</v>
      </c>
      <c r="G1646" s="223" t="s">
        <v>1219</v>
      </c>
    </row>
    <row r="1647" spans="1:7" x14ac:dyDescent="0.3">
      <c r="A1647" s="223">
        <v>1646</v>
      </c>
      <c r="B1647" s="223" t="s">
        <v>6</v>
      </c>
      <c r="C1647" s="223" t="s">
        <v>1228</v>
      </c>
      <c r="D1647" s="223" t="s">
        <v>1220</v>
      </c>
      <c r="E1647" s="223" t="s">
        <v>21</v>
      </c>
      <c r="F1647" s="223" t="s">
        <v>27</v>
      </c>
      <c r="G1647" s="223" t="s">
        <v>1219</v>
      </c>
    </row>
    <row r="1648" spans="1:7" x14ac:dyDescent="0.3">
      <c r="A1648" s="223">
        <v>1647</v>
      </c>
      <c r="B1648" s="223" t="s">
        <v>6</v>
      </c>
      <c r="C1648" s="223" t="s">
        <v>1228</v>
      </c>
      <c r="D1648" s="223" t="s">
        <v>1220</v>
      </c>
      <c r="E1648" s="223" t="s">
        <v>21</v>
      </c>
      <c r="F1648" s="223" t="s">
        <v>1096</v>
      </c>
      <c r="G1648" s="223" t="s">
        <v>1219</v>
      </c>
    </row>
    <row r="1649" spans="1:7" x14ac:dyDescent="0.3">
      <c r="A1649" s="223">
        <v>1648</v>
      </c>
      <c r="B1649" s="223" t="s">
        <v>6</v>
      </c>
      <c r="C1649" s="223" t="s">
        <v>1228</v>
      </c>
      <c r="D1649" s="223" t="s">
        <v>1220</v>
      </c>
      <c r="E1649" s="223" t="s">
        <v>21</v>
      </c>
      <c r="F1649" s="223" t="s">
        <v>1090</v>
      </c>
      <c r="G1649" s="223" t="s">
        <v>1219</v>
      </c>
    </row>
    <row r="1650" spans="1:7" x14ac:dyDescent="0.3">
      <c r="A1650" s="223">
        <v>1649</v>
      </c>
      <c r="B1650" s="223" t="s">
        <v>6</v>
      </c>
      <c r="C1650" s="223" t="s">
        <v>1228</v>
      </c>
      <c r="D1650" s="223" t="s">
        <v>1221</v>
      </c>
      <c r="E1650" s="223" t="s">
        <v>1087</v>
      </c>
      <c r="F1650" s="223" t="s">
        <v>1093</v>
      </c>
      <c r="G1650" s="223" t="s">
        <v>1219</v>
      </c>
    </row>
    <row r="1651" spans="1:7" x14ac:dyDescent="0.3">
      <c r="A1651" s="223">
        <v>1650</v>
      </c>
      <c r="B1651" s="223" t="s">
        <v>6</v>
      </c>
      <c r="C1651" s="223" t="s">
        <v>1228</v>
      </c>
      <c r="D1651" s="223" t="s">
        <v>1221</v>
      </c>
      <c r="E1651" s="223" t="s">
        <v>1087</v>
      </c>
      <c r="F1651" s="223" t="s">
        <v>27</v>
      </c>
      <c r="G1651" s="223" t="s">
        <v>1219</v>
      </c>
    </row>
    <row r="1652" spans="1:7" x14ac:dyDescent="0.3">
      <c r="A1652" s="223">
        <v>1651</v>
      </c>
      <c r="B1652" s="223" t="s">
        <v>6</v>
      </c>
      <c r="C1652" s="223" t="s">
        <v>1228</v>
      </c>
      <c r="D1652" s="223" t="s">
        <v>1221</v>
      </c>
      <c r="E1652" s="223" t="s">
        <v>1087</v>
      </c>
      <c r="F1652" s="223" t="s">
        <v>1096</v>
      </c>
      <c r="G1652" s="223" t="s">
        <v>1219</v>
      </c>
    </row>
    <row r="1653" spans="1:7" x14ac:dyDescent="0.3">
      <c r="A1653" s="223">
        <v>1652</v>
      </c>
      <c r="B1653" s="223" t="s">
        <v>6</v>
      </c>
      <c r="C1653" s="223" t="s">
        <v>1228</v>
      </c>
      <c r="D1653" s="223" t="s">
        <v>1221</v>
      </c>
      <c r="E1653" s="223" t="s">
        <v>1087</v>
      </c>
      <c r="F1653" s="223" t="s">
        <v>1090</v>
      </c>
      <c r="G1653" s="223" t="s">
        <v>1219</v>
      </c>
    </row>
    <row r="1654" spans="1:7" x14ac:dyDescent="0.3">
      <c r="A1654" s="223">
        <v>1653</v>
      </c>
      <c r="B1654" s="223" t="s">
        <v>6</v>
      </c>
      <c r="C1654" s="223" t="s">
        <v>1228</v>
      </c>
      <c r="D1654" s="223" t="s">
        <v>1221</v>
      </c>
      <c r="E1654" s="223" t="s">
        <v>21</v>
      </c>
      <c r="F1654" s="223" t="s">
        <v>1093</v>
      </c>
      <c r="G1654" s="223" t="s">
        <v>1219</v>
      </c>
    </row>
    <row r="1655" spans="1:7" x14ac:dyDescent="0.3">
      <c r="A1655" s="223">
        <v>1654</v>
      </c>
      <c r="B1655" s="223" t="s">
        <v>6</v>
      </c>
      <c r="C1655" s="223" t="s">
        <v>1228</v>
      </c>
      <c r="D1655" s="223" t="s">
        <v>1221</v>
      </c>
      <c r="E1655" s="223" t="s">
        <v>21</v>
      </c>
      <c r="F1655" s="223" t="s">
        <v>27</v>
      </c>
      <c r="G1655" s="223" t="s">
        <v>1219</v>
      </c>
    </row>
    <row r="1656" spans="1:7" x14ac:dyDescent="0.3">
      <c r="A1656" s="223">
        <v>1655</v>
      </c>
      <c r="B1656" s="223" t="s">
        <v>6</v>
      </c>
      <c r="C1656" s="223" t="s">
        <v>1228</v>
      </c>
      <c r="D1656" s="223" t="s">
        <v>1221</v>
      </c>
      <c r="E1656" s="223" t="s">
        <v>21</v>
      </c>
      <c r="F1656" s="223" t="s">
        <v>1096</v>
      </c>
      <c r="G1656" s="223" t="s">
        <v>1219</v>
      </c>
    </row>
    <row r="1657" spans="1:7" x14ac:dyDescent="0.3">
      <c r="A1657" s="223">
        <v>1656</v>
      </c>
      <c r="B1657" s="223" t="s">
        <v>6</v>
      </c>
      <c r="C1657" s="223" t="s">
        <v>1228</v>
      </c>
      <c r="D1657" s="223" t="s">
        <v>1221</v>
      </c>
      <c r="E1657" s="223" t="s">
        <v>21</v>
      </c>
      <c r="F1657" s="223" t="s">
        <v>1090</v>
      </c>
      <c r="G1657" s="223" t="s">
        <v>1219</v>
      </c>
    </row>
    <row r="1658" spans="1:7" x14ac:dyDescent="0.3">
      <c r="A1658" s="223">
        <v>1657</v>
      </c>
      <c r="B1658" s="223" t="s">
        <v>6</v>
      </c>
      <c r="C1658" s="223" t="s">
        <v>1228</v>
      </c>
      <c r="D1658" s="223" t="s">
        <v>1222</v>
      </c>
      <c r="E1658" s="223" t="s">
        <v>1087</v>
      </c>
      <c r="F1658" s="223" t="s">
        <v>1093</v>
      </c>
      <c r="G1658" s="223" t="s">
        <v>1219</v>
      </c>
    </row>
    <row r="1659" spans="1:7" x14ac:dyDescent="0.3">
      <c r="A1659" s="223">
        <v>1658</v>
      </c>
      <c r="B1659" s="223" t="s">
        <v>6</v>
      </c>
      <c r="C1659" s="223" t="s">
        <v>1228</v>
      </c>
      <c r="D1659" s="223" t="s">
        <v>1222</v>
      </c>
      <c r="E1659" s="223" t="s">
        <v>1087</v>
      </c>
      <c r="F1659" s="223" t="s">
        <v>27</v>
      </c>
      <c r="G1659" s="223" t="s">
        <v>1219</v>
      </c>
    </row>
    <row r="1660" spans="1:7" x14ac:dyDescent="0.3">
      <c r="A1660" s="223">
        <v>1659</v>
      </c>
      <c r="B1660" s="223" t="s">
        <v>6</v>
      </c>
      <c r="C1660" s="223" t="s">
        <v>1228</v>
      </c>
      <c r="D1660" s="223" t="s">
        <v>1222</v>
      </c>
      <c r="E1660" s="223" t="s">
        <v>1087</v>
      </c>
      <c r="F1660" s="223" t="s">
        <v>1096</v>
      </c>
      <c r="G1660" s="223" t="s">
        <v>1219</v>
      </c>
    </row>
    <row r="1661" spans="1:7" x14ac:dyDescent="0.3">
      <c r="A1661" s="223">
        <v>1660</v>
      </c>
      <c r="B1661" s="223" t="s">
        <v>6</v>
      </c>
      <c r="C1661" s="223" t="s">
        <v>1228</v>
      </c>
      <c r="D1661" s="223" t="s">
        <v>1222</v>
      </c>
      <c r="E1661" s="223" t="s">
        <v>1087</v>
      </c>
      <c r="F1661" s="223" t="s">
        <v>1090</v>
      </c>
      <c r="G1661" s="223" t="s">
        <v>1219</v>
      </c>
    </row>
    <row r="1662" spans="1:7" x14ac:dyDescent="0.3">
      <c r="A1662" s="223">
        <v>1661</v>
      </c>
      <c r="B1662" s="223" t="s">
        <v>6</v>
      </c>
      <c r="C1662" s="223" t="s">
        <v>1228</v>
      </c>
      <c r="D1662" s="223" t="s">
        <v>1222</v>
      </c>
      <c r="E1662" s="223" t="s">
        <v>21</v>
      </c>
      <c r="F1662" s="223" t="s">
        <v>1093</v>
      </c>
      <c r="G1662" s="223" t="s">
        <v>1219</v>
      </c>
    </row>
    <row r="1663" spans="1:7" x14ac:dyDescent="0.3">
      <c r="A1663" s="223">
        <v>1662</v>
      </c>
      <c r="B1663" s="223" t="s">
        <v>6</v>
      </c>
      <c r="C1663" s="223" t="s">
        <v>1228</v>
      </c>
      <c r="D1663" s="223" t="s">
        <v>1222</v>
      </c>
      <c r="E1663" s="223" t="s">
        <v>21</v>
      </c>
      <c r="F1663" s="223" t="s">
        <v>27</v>
      </c>
      <c r="G1663" s="223" t="s">
        <v>1219</v>
      </c>
    </row>
    <row r="1664" spans="1:7" x14ac:dyDescent="0.3">
      <c r="A1664" s="223">
        <v>1663</v>
      </c>
      <c r="B1664" s="223" t="s">
        <v>6</v>
      </c>
      <c r="C1664" s="223" t="s">
        <v>1228</v>
      </c>
      <c r="D1664" s="223" t="s">
        <v>1222</v>
      </c>
      <c r="E1664" s="223" t="s">
        <v>21</v>
      </c>
      <c r="F1664" s="223" t="s">
        <v>1096</v>
      </c>
      <c r="G1664" s="223" t="s">
        <v>1219</v>
      </c>
    </row>
    <row r="1665" spans="1:7" x14ac:dyDescent="0.3">
      <c r="A1665" s="223">
        <v>1664</v>
      </c>
      <c r="B1665" s="223" t="s">
        <v>6</v>
      </c>
      <c r="C1665" s="223" t="s">
        <v>1228</v>
      </c>
      <c r="D1665" s="223" t="s">
        <v>1222</v>
      </c>
      <c r="E1665" s="223" t="s">
        <v>21</v>
      </c>
      <c r="F1665" s="223" t="s">
        <v>1090</v>
      </c>
      <c r="G1665" s="223" t="s">
        <v>1219</v>
      </c>
    </row>
    <row r="1666" spans="1:7" x14ac:dyDescent="0.3">
      <c r="A1666" s="223">
        <v>1665</v>
      </c>
      <c r="B1666" s="223" t="s">
        <v>6</v>
      </c>
      <c r="C1666" s="223" t="s">
        <v>1228</v>
      </c>
      <c r="D1666" s="223" t="s">
        <v>1223</v>
      </c>
      <c r="E1666" s="223" t="s">
        <v>1087</v>
      </c>
      <c r="F1666" s="223" t="s">
        <v>1093</v>
      </c>
      <c r="G1666" s="223" t="s">
        <v>1219</v>
      </c>
    </row>
    <row r="1667" spans="1:7" x14ac:dyDescent="0.3">
      <c r="A1667" s="223">
        <v>1666</v>
      </c>
      <c r="B1667" s="223" t="s">
        <v>6</v>
      </c>
      <c r="C1667" s="223" t="s">
        <v>1228</v>
      </c>
      <c r="D1667" s="223" t="s">
        <v>1223</v>
      </c>
      <c r="E1667" s="223" t="s">
        <v>1087</v>
      </c>
      <c r="F1667" s="223" t="s">
        <v>27</v>
      </c>
      <c r="G1667" s="223" t="s">
        <v>1219</v>
      </c>
    </row>
    <row r="1668" spans="1:7" x14ac:dyDescent="0.3">
      <c r="A1668" s="223">
        <v>1667</v>
      </c>
      <c r="B1668" s="223" t="s">
        <v>6</v>
      </c>
      <c r="C1668" s="223" t="s">
        <v>1228</v>
      </c>
      <c r="D1668" s="223" t="s">
        <v>1223</v>
      </c>
      <c r="E1668" s="223" t="s">
        <v>1087</v>
      </c>
      <c r="F1668" s="223" t="s">
        <v>1096</v>
      </c>
      <c r="G1668" s="223" t="s">
        <v>1219</v>
      </c>
    </row>
    <row r="1669" spans="1:7" x14ac:dyDescent="0.3">
      <c r="A1669" s="223">
        <v>1668</v>
      </c>
      <c r="B1669" s="223" t="s">
        <v>6</v>
      </c>
      <c r="C1669" s="223" t="s">
        <v>1228</v>
      </c>
      <c r="D1669" s="223" t="s">
        <v>1223</v>
      </c>
      <c r="E1669" s="223" t="s">
        <v>1087</v>
      </c>
      <c r="F1669" s="223" t="s">
        <v>1090</v>
      </c>
      <c r="G1669" s="223" t="s">
        <v>1219</v>
      </c>
    </row>
    <row r="1670" spans="1:7" x14ac:dyDescent="0.3">
      <c r="A1670" s="223">
        <v>1669</v>
      </c>
      <c r="B1670" s="223" t="s">
        <v>6</v>
      </c>
      <c r="C1670" s="223" t="s">
        <v>1228</v>
      </c>
      <c r="D1670" s="223" t="s">
        <v>1223</v>
      </c>
      <c r="E1670" s="223" t="s">
        <v>21</v>
      </c>
      <c r="F1670" s="223" t="s">
        <v>1093</v>
      </c>
      <c r="G1670" s="223" t="s">
        <v>1219</v>
      </c>
    </row>
    <row r="1671" spans="1:7" x14ac:dyDescent="0.3">
      <c r="A1671" s="223">
        <v>1670</v>
      </c>
      <c r="B1671" s="223" t="s">
        <v>6</v>
      </c>
      <c r="C1671" s="223" t="s">
        <v>1228</v>
      </c>
      <c r="D1671" s="223" t="s">
        <v>1223</v>
      </c>
      <c r="E1671" s="223" t="s">
        <v>21</v>
      </c>
      <c r="F1671" s="223" t="s">
        <v>27</v>
      </c>
      <c r="G1671" s="223" t="s">
        <v>1219</v>
      </c>
    </row>
    <row r="1672" spans="1:7" x14ac:dyDescent="0.3">
      <c r="A1672" s="223">
        <v>1671</v>
      </c>
      <c r="B1672" s="223" t="s">
        <v>6</v>
      </c>
      <c r="C1672" s="223" t="s">
        <v>1228</v>
      </c>
      <c r="D1672" s="223" t="s">
        <v>1223</v>
      </c>
      <c r="E1672" s="223" t="s">
        <v>21</v>
      </c>
      <c r="F1672" s="223" t="s">
        <v>1096</v>
      </c>
      <c r="G1672" s="223" t="s">
        <v>1219</v>
      </c>
    </row>
    <row r="1673" spans="1:7" x14ac:dyDescent="0.3">
      <c r="A1673" s="223">
        <v>1672</v>
      </c>
      <c r="B1673" s="223" t="s">
        <v>6</v>
      </c>
      <c r="C1673" s="223" t="s">
        <v>1228</v>
      </c>
      <c r="D1673" s="223" t="s">
        <v>1223</v>
      </c>
      <c r="E1673" s="223" t="s">
        <v>21</v>
      </c>
      <c r="F1673" s="223" t="s">
        <v>1090</v>
      </c>
      <c r="G1673" s="223" t="s">
        <v>1219</v>
      </c>
    </row>
    <row r="1674" spans="1:7" x14ac:dyDescent="0.3">
      <c r="A1674" s="223">
        <v>1673</v>
      </c>
      <c r="B1674" s="223" t="s">
        <v>6</v>
      </c>
      <c r="C1674" s="223" t="s">
        <v>1228</v>
      </c>
      <c r="D1674" s="223" t="s">
        <v>12</v>
      </c>
      <c r="E1674" s="223" t="s">
        <v>1087</v>
      </c>
      <c r="F1674" s="223" t="s">
        <v>1093</v>
      </c>
      <c r="G1674" s="223" t="s">
        <v>1219</v>
      </c>
    </row>
    <row r="1675" spans="1:7" x14ac:dyDescent="0.3">
      <c r="A1675" s="223">
        <v>1674</v>
      </c>
      <c r="B1675" s="223" t="s">
        <v>6</v>
      </c>
      <c r="C1675" s="223" t="s">
        <v>1228</v>
      </c>
      <c r="D1675" s="223" t="s">
        <v>12</v>
      </c>
      <c r="E1675" s="223" t="s">
        <v>1087</v>
      </c>
      <c r="F1675" s="223" t="s">
        <v>27</v>
      </c>
      <c r="G1675" s="223" t="s">
        <v>1219</v>
      </c>
    </row>
    <row r="1676" spans="1:7" x14ac:dyDescent="0.3">
      <c r="A1676" s="223">
        <v>1675</v>
      </c>
      <c r="B1676" s="223" t="s">
        <v>6</v>
      </c>
      <c r="C1676" s="223" t="s">
        <v>1228</v>
      </c>
      <c r="D1676" s="223" t="s">
        <v>12</v>
      </c>
      <c r="E1676" s="223" t="s">
        <v>1087</v>
      </c>
      <c r="F1676" s="223" t="s">
        <v>1096</v>
      </c>
      <c r="G1676" s="223" t="s">
        <v>1219</v>
      </c>
    </row>
    <row r="1677" spans="1:7" x14ac:dyDescent="0.3">
      <c r="A1677" s="223">
        <v>1676</v>
      </c>
      <c r="B1677" s="223" t="s">
        <v>6</v>
      </c>
      <c r="C1677" s="223" t="s">
        <v>1228</v>
      </c>
      <c r="D1677" s="223" t="s">
        <v>12</v>
      </c>
      <c r="E1677" s="223" t="s">
        <v>1087</v>
      </c>
      <c r="F1677" s="223" t="s">
        <v>1090</v>
      </c>
      <c r="G1677" s="223" t="s">
        <v>1219</v>
      </c>
    </row>
    <row r="1678" spans="1:7" x14ac:dyDescent="0.3">
      <c r="A1678" s="223">
        <v>1677</v>
      </c>
      <c r="B1678" s="223" t="s">
        <v>6</v>
      </c>
      <c r="C1678" s="223" t="s">
        <v>1228</v>
      </c>
      <c r="D1678" s="223" t="s">
        <v>12</v>
      </c>
      <c r="E1678" s="223" t="s">
        <v>21</v>
      </c>
      <c r="F1678" s="223" t="s">
        <v>1093</v>
      </c>
      <c r="G1678" s="223" t="s">
        <v>1219</v>
      </c>
    </row>
    <row r="1679" spans="1:7" x14ac:dyDescent="0.3">
      <c r="A1679" s="223">
        <v>1678</v>
      </c>
      <c r="B1679" s="223" t="s">
        <v>6</v>
      </c>
      <c r="C1679" s="223" t="s">
        <v>1228</v>
      </c>
      <c r="D1679" s="223" t="s">
        <v>12</v>
      </c>
      <c r="E1679" s="223" t="s">
        <v>21</v>
      </c>
      <c r="F1679" s="223" t="s">
        <v>27</v>
      </c>
      <c r="G1679" s="223" t="s">
        <v>1219</v>
      </c>
    </row>
    <row r="1680" spans="1:7" x14ac:dyDescent="0.3">
      <c r="A1680" s="223">
        <v>1679</v>
      </c>
      <c r="B1680" s="223" t="s">
        <v>6</v>
      </c>
      <c r="C1680" s="223" t="s">
        <v>1228</v>
      </c>
      <c r="D1680" s="223" t="s">
        <v>12</v>
      </c>
      <c r="E1680" s="223" t="s">
        <v>21</v>
      </c>
      <c r="F1680" s="223" t="s">
        <v>1096</v>
      </c>
      <c r="G1680" s="223" t="s">
        <v>1219</v>
      </c>
    </row>
    <row r="1681" spans="1:7" x14ac:dyDescent="0.3">
      <c r="A1681" s="223">
        <v>1680</v>
      </c>
      <c r="B1681" s="223" t="s">
        <v>6</v>
      </c>
      <c r="C1681" s="223" t="s">
        <v>1228</v>
      </c>
      <c r="D1681" s="223" t="s">
        <v>12</v>
      </c>
      <c r="E1681" s="223" t="s">
        <v>21</v>
      </c>
      <c r="F1681" s="223" t="s">
        <v>1090</v>
      </c>
      <c r="G1681" s="223" t="s">
        <v>1219</v>
      </c>
    </row>
    <row r="1682" spans="1:7" x14ac:dyDescent="0.3">
      <c r="A1682" s="223">
        <v>1681</v>
      </c>
      <c r="B1682" s="223" t="s">
        <v>1154</v>
      </c>
      <c r="C1682" s="223" t="s">
        <v>1217</v>
      </c>
      <c r="D1682" s="223" t="s">
        <v>1218</v>
      </c>
      <c r="E1682" s="223" t="s">
        <v>1087</v>
      </c>
      <c r="F1682" s="223" t="s">
        <v>1093</v>
      </c>
      <c r="G1682" s="223" t="s">
        <v>1219</v>
      </c>
    </row>
    <row r="1683" spans="1:7" x14ac:dyDescent="0.3">
      <c r="A1683" s="223">
        <v>1682</v>
      </c>
      <c r="B1683" s="223" t="s">
        <v>1154</v>
      </c>
      <c r="C1683" s="223" t="s">
        <v>1217</v>
      </c>
      <c r="D1683" s="223" t="s">
        <v>1218</v>
      </c>
      <c r="E1683" s="223" t="s">
        <v>1087</v>
      </c>
      <c r="F1683" s="223" t="s">
        <v>27</v>
      </c>
      <c r="G1683" s="223" t="s">
        <v>1219</v>
      </c>
    </row>
    <row r="1684" spans="1:7" x14ac:dyDescent="0.3">
      <c r="A1684" s="223">
        <v>1683</v>
      </c>
      <c r="B1684" s="223" t="s">
        <v>1154</v>
      </c>
      <c r="C1684" s="223" t="s">
        <v>1217</v>
      </c>
      <c r="D1684" s="223" t="s">
        <v>1218</v>
      </c>
      <c r="E1684" s="223" t="s">
        <v>1087</v>
      </c>
      <c r="F1684" s="223" t="s">
        <v>1096</v>
      </c>
      <c r="G1684" s="223" t="s">
        <v>1219</v>
      </c>
    </row>
    <row r="1685" spans="1:7" x14ac:dyDescent="0.3">
      <c r="A1685" s="223">
        <v>1684</v>
      </c>
      <c r="B1685" s="223" t="s">
        <v>1154</v>
      </c>
      <c r="C1685" s="223" t="s">
        <v>1217</v>
      </c>
      <c r="D1685" s="223" t="s">
        <v>1218</v>
      </c>
      <c r="E1685" s="223" t="s">
        <v>1087</v>
      </c>
      <c r="F1685" s="223" t="s">
        <v>1090</v>
      </c>
      <c r="G1685" s="223" t="s">
        <v>1219</v>
      </c>
    </row>
    <row r="1686" spans="1:7" x14ac:dyDescent="0.3">
      <c r="A1686" s="223">
        <v>1685</v>
      </c>
      <c r="B1686" s="223" t="s">
        <v>1154</v>
      </c>
      <c r="C1686" s="223" t="s">
        <v>1217</v>
      </c>
      <c r="D1686" s="223" t="s">
        <v>1218</v>
      </c>
      <c r="E1686" s="223" t="s">
        <v>21</v>
      </c>
      <c r="F1686" s="223" t="s">
        <v>1093</v>
      </c>
      <c r="G1686" s="223" t="s">
        <v>1219</v>
      </c>
    </row>
    <row r="1687" spans="1:7" x14ac:dyDescent="0.3">
      <c r="A1687" s="223">
        <v>1686</v>
      </c>
      <c r="B1687" s="223" t="s">
        <v>1154</v>
      </c>
      <c r="C1687" s="223" t="s">
        <v>1217</v>
      </c>
      <c r="D1687" s="223" t="s">
        <v>1218</v>
      </c>
      <c r="E1687" s="223" t="s">
        <v>21</v>
      </c>
      <c r="F1687" s="223" t="s">
        <v>27</v>
      </c>
      <c r="G1687" s="223" t="s">
        <v>1219</v>
      </c>
    </row>
    <row r="1688" spans="1:7" x14ac:dyDescent="0.3">
      <c r="A1688" s="223">
        <v>1687</v>
      </c>
      <c r="B1688" s="223" t="s">
        <v>1154</v>
      </c>
      <c r="C1688" s="223" t="s">
        <v>1217</v>
      </c>
      <c r="D1688" s="223" t="s">
        <v>1218</v>
      </c>
      <c r="E1688" s="223" t="s">
        <v>21</v>
      </c>
      <c r="F1688" s="223" t="s">
        <v>1096</v>
      </c>
      <c r="G1688" s="223" t="s">
        <v>1219</v>
      </c>
    </row>
    <row r="1689" spans="1:7" x14ac:dyDescent="0.3">
      <c r="A1689" s="223">
        <v>1688</v>
      </c>
      <c r="B1689" s="223" t="s">
        <v>1154</v>
      </c>
      <c r="C1689" s="223" t="s">
        <v>1217</v>
      </c>
      <c r="D1689" s="223" t="s">
        <v>1218</v>
      </c>
      <c r="E1689" s="223" t="s">
        <v>21</v>
      </c>
      <c r="F1689" s="223" t="s">
        <v>1090</v>
      </c>
      <c r="G1689" s="223" t="s">
        <v>1219</v>
      </c>
    </row>
    <row r="1690" spans="1:7" x14ac:dyDescent="0.3">
      <c r="A1690" s="223">
        <v>1689</v>
      </c>
      <c r="B1690" s="223" t="s">
        <v>1154</v>
      </c>
      <c r="C1690" s="223" t="s">
        <v>1217</v>
      </c>
      <c r="D1690" s="223" t="s">
        <v>1220</v>
      </c>
      <c r="E1690" s="223" t="s">
        <v>1087</v>
      </c>
      <c r="F1690" s="223" t="s">
        <v>1093</v>
      </c>
      <c r="G1690" s="223" t="s">
        <v>1219</v>
      </c>
    </row>
    <row r="1691" spans="1:7" x14ac:dyDescent="0.3">
      <c r="A1691" s="223">
        <v>1690</v>
      </c>
      <c r="B1691" s="223" t="s">
        <v>1154</v>
      </c>
      <c r="C1691" s="223" t="s">
        <v>1217</v>
      </c>
      <c r="D1691" s="223" t="s">
        <v>1220</v>
      </c>
      <c r="E1691" s="223" t="s">
        <v>1087</v>
      </c>
      <c r="F1691" s="223" t="s">
        <v>27</v>
      </c>
      <c r="G1691" s="223" t="s">
        <v>1219</v>
      </c>
    </row>
    <row r="1692" spans="1:7" x14ac:dyDescent="0.3">
      <c r="A1692" s="223">
        <v>1691</v>
      </c>
      <c r="B1692" s="223" t="s">
        <v>1154</v>
      </c>
      <c r="C1692" s="223" t="s">
        <v>1217</v>
      </c>
      <c r="D1692" s="223" t="s">
        <v>1220</v>
      </c>
      <c r="E1692" s="223" t="s">
        <v>1087</v>
      </c>
      <c r="F1692" s="223" t="s">
        <v>1096</v>
      </c>
      <c r="G1692" s="223" t="s">
        <v>1219</v>
      </c>
    </row>
    <row r="1693" spans="1:7" x14ac:dyDescent="0.3">
      <c r="A1693" s="223">
        <v>1692</v>
      </c>
      <c r="B1693" s="223" t="s">
        <v>1154</v>
      </c>
      <c r="C1693" s="223" t="s">
        <v>1217</v>
      </c>
      <c r="D1693" s="223" t="s">
        <v>1220</v>
      </c>
      <c r="E1693" s="223" t="s">
        <v>1087</v>
      </c>
      <c r="F1693" s="223" t="s">
        <v>1090</v>
      </c>
      <c r="G1693" s="223" t="s">
        <v>1219</v>
      </c>
    </row>
    <row r="1694" spans="1:7" x14ac:dyDescent="0.3">
      <c r="A1694" s="223">
        <v>1693</v>
      </c>
      <c r="B1694" s="223" t="s">
        <v>1154</v>
      </c>
      <c r="C1694" s="223" t="s">
        <v>1217</v>
      </c>
      <c r="D1694" s="223" t="s">
        <v>1220</v>
      </c>
      <c r="E1694" s="223" t="s">
        <v>21</v>
      </c>
      <c r="F1694" s="223" t="s">
        <v>1093</v>
      </c>
      <c r="G1694" s="223" t="s">
        <v>1219</v>
      </c>
    </row>
    <row r="1695" spans="1:7" x14ac:dyDescent="0.3">
      <c r="A1695" s="223">
        <v>1694</v>
      </c>
      <c r="B1695" s="223" t="s">
        <v>1154</v>
      </c>
      <c r="C1695" s="223" t="s">
        <v>1217</v>
      </c>
      <c r="D1695" s="223" t="s">
        <v>1220</v>
      </c>
      <c r="E1695" s="223" t="s">
        <v>21</v>
      </c>
      <c r="F1695" s="223" t="s">
        <v>27</v>
      </c>
      <c r="G1695" s="223" t="s">
        <v>1219</v>
      </c>
    </row>
    <row r="1696" spans="1:7" x14ac:dyDescent="0.3">
      <c r="A1696" s="223">
        <v>1695</v>
      </c>
      <c r="B1696" s="223" t="s">
        <v>1154</v>
      </c>
      <c r="C1696" s="223" t="s">
        <v>1217</v>
      </c>
      <c r="D1696" s="223" t="s">
        <v>1220</v>
      </c>
      <c r="E1696" s="223" t="s">
        <v>21</v>
      </c>
      <c r="F1696" s="223" t="s">
        <v>1096</v>
      </c>
      <c r="G1696" s="223" t="s">
        <v>1219</v>
      </c>
    </row>
    <row r="1697" spans="1:7" x14ac:dyDescent="0.3">
      <c r="A1697" s="223">
        <v>1696</v>
      </c>
      <c r="B1697" s="223" t="s">
        <v>1154</v>
      </c>
      <c r="C1697" s="223" t="s">
        <v>1217</v>
      </c>
      <c r="D1697" s="223" t="s">
        <v>1220</v>
      </c>
      <c r="E1697" s="223" t="s">
        <v>21</v>
      </c>
      <c r="F1697" s="223" t="s">
        <v>1090</v>
      </c>
      <c r="G1697" s="223" t="s">
        <v>1219</v>
      </c>
    </row>
    <row r="1698" spans="1:7" x14ac:dyDescent="0.3">
      <c r="A1698" s="223">
        <v>1697</v>
      </c>
      <c r="B1698" s="223" t="s">
        <v>1154</v>
      </c>
      <c r="C1698" s="223" t="s">
        <v>1217</v>
      </c>
      <c r="D1698" s="223" t="s">
        <v>1221</v>
      </c>
      <c r="E1698" s="223" t="s">
        <v>1087</v>
      </c>
      <c r="F1698" s="223" t="s">
        <v>1093</v>
      </c>
      <c r="G1698" s="223" t="s">
        <v>1219</v>
      </c>
    </row>
    <row r="1699" spans="1:7" x14ac:dyDescent="0.3">
      <c r="A1699" s="223">
        <v>1698</v>
      </c>
      <c r="B1699" s="223" t="s">
        <v>1154</v>
      </c>
      <c r="C1699" s="223" t="s">
        <v>1217</v>
      </c>
      <c r="D1699" s="223" t="s">
        <v>1221</v>
      </c>
      <c r="E1699" s="223" t="s">
        <v>1087</v>
      </c>
      <c r="F1699" s="223" t="s">
        <v>27</v>
      </c>
      <c r="G1699" s="223" t="s">
        <v>1219</v>
      </c>
    </row>
    <row r="1700" spans="1:7" x14ac:dyDescent="0.3">
      <c r="A1700" s="223">
        <v>1699</v>
      </c>
      <c r="B1700" s="223" t="s">
        <v>1154</v>
      </c>
      <c r="C1700" s="223" t="s">
        <v>1217</v>
      </c>
      <c r="D1700" s="223" t="s">
        <v>1221</v>
      </c>
      <c r="E1700" s="223" t="s">
        <v>1087</v>
      </c>
      <c r="F1700" s="223" t="s">
        <v>1096</v>
      </c>
      <c r="G1700" s="223" t="s">
        <v>1219</v>
      </c>
    </row>
    <row r="1701" spans="1:7" x14ac:dyDescent="0.3">
      <c r="A1701" s="223">
        <v>1700</v>
      </c>
      <c r="B1701" s="223" t="s">
        <v>1154</v>
      </c>
      <c r="C1701" s="223" t="s">
        <v>1217</v>
      </c>
      <c r="D1701" s="223" t="s">
        <v>1221</v>
      </c>
      <c r="E1701" s="223" t="s">
        <v>1087</v>
      </c>
      <c r="F1701" s="223" t="s">
        <v>1090</v>
      </c>
      <c r="G1701" s="223" t="s">
        <v>1219</v>
      </c>
    </row>
    <row r="1702" spans="1:7" x14ac:dyDescent="0.3">
      <c r="A1702" s="223">
        <v>1701</v>
      </c>
      <c r="B1702" s="223" t="s">
        <v>1154</v>
      </c>
      <c r="C1702" s="223" t="s">
        <v>1217</v>
      </c>
      <c r="D1702" s="223" t="s">
        <v>1221</v>
      </c>
      <c r="E1702" s="223" t="s">
        <v>21</v>
      </c>
      <c r="F1702" s="223" t="s">
        <v>1093</v>
      </c>
      <c r="G1702" s="223" t="s">
        <v>1219</v>
      </c>
    </row>
    <row r="1703" spans="1:7" x14ac:dyDescent="0.3">
      <c r="A1703" s="223">
        <v>1702</v>
      </c>
      <c r="B1703" s="223" t="s">
        <v>1154</v>
      </c>
      <c r="C1703" s="223" t="s">
        <v>1217</v>
      </c>
      <c r="D1703" s="223" t="s">
        <v>1221</v>
      </c>
      <c r="E1703" s="223" t="s">
        <v>21</v>
      </c>
      <c r="F1703" s="223" t="s">
        <v>27</v>
      </c>
      <c r="G1703" s="223" t="s">
        <v>1219</v>
      </c>
    </row>
    <row r="1704" spans="1:7" x14ac:dyDescent="0.3">
      <c r="A1704" s="223">
        <v>1703</v>
      </c>
      <c r="B1704" s="223" t="s">
        <v>1154</v>
      </c>
      <c r="C1704" s="223" t="s">
        <v>1217</v>
      </c>
      <c r="D1704" s="223" t="s">
        <v>1221</v>
      </c>
      <c r="E1704" s="223" t="s">
        <v>21</v>
      </c>
      <c r="F1704" s="223" t="s">
        <v>1096</v>
      </c>
      <c r="G1704" s="223" t="s">
        <v>1219</v>
      </c>
    </row>
    <row r="1705" spans="1:7" x14ac:dyDescent="0.3">
      <c r="A1705" s="223">
        <v>1704</v>
      </c>
      <c r="B1705" s="223" t="s">
        <v>1154</v>
      </c>
      <c r="C1705" s="223" t="s">
        <v>1217</v>
      </c>
      <c r="D1705" s="223" t="s">
        <v>1221</v>
      </c>
      <c r="E1705" s="223" t="s">
        <v>21</v>
      </c>
      <c r="F1705" s="223" t="s">
        <v>1090</v>
      </c>
      <c r="G1705" s="223" t="s">
        <v>1219</v>
      </c>
    </row>
    <row r="1706" spans="1:7" x14ac:dyDescent="0.3">
      <c r="A1706" s="223">
        <v>1705</v>
      </c>
      <c r="B1706" s="223" t="s">
        <v>1154</v>
      </c>
      <c r="C1706" s="223" t="s">
        <v>1217</v>
      </c>
      <c r="D1706" s="223" t="s">
        <v>1222</v>
      </c>
      <c r="E1706" s="223" t="s">
        <v>1087</v>
      </c>
      <c r="F1706" s="223" t="s">
        <v>1093</v>
      </c>
      <c r="G1706" s="223" t="s">
        <v>1219</v>
      </c>
    </row>
    <row r="1707" spans="1:7" x14ac:dyDescent="0.3">
      <c r="A1707" s="223">
        <v>1706</v>
      </c>
      <c r="B1707" s="223" t="s">
        <v>1154</v>
      </c>
      <c r="C1707" s="223" t="s">
        <v>1217</v>
      </c>
      <c r="D1707" s="223" t="s">
        <v>1222</v>
      </c>
      <c r="E1707" s="223" t="s">
        <v>1087</v>
      </c>
      <c r="F1707" s="223" t="s">
        <v>27</v>
      </c>
      <c r="G1707" s="223" t="s">
        <v>1219</v>
      </c>
    </row>
    <row r="1708" spans="1:7" x14ac:dyDescent="0.3">
      <c r="A1708" s="223">
        <v>1707</v>
      </c>
      <c r="B1708" s="223" t="s">
        <v>1154</v>
      </c>
      <c r="C1708" s="223" t="s">
        <v>1217</v>
      </c>
      <c r="D1708" s="223" t="s">
        <v>1222</v>
      </c>
      <c r="E1708" s="223" t="s">
        <v>1087</v>
      </c>
      <c r="F1708" s="223" t="s">
        <v>1096</v>
      </c>
      <c r="G1708" s="223" t="s">
        <v>1219</v>
      </c>
    </row>
    <row r="1709" spans="1:7" x14ac:dyDescent="0.3">
      <c r="A1709" s="223">
        <v>1708</v>
      </c>
      <c r="B1709" s="223" t="s">
        <v>1154</v>
      </c>
      <c r="C1709" s="223" t="s">
        <v>1217</v>
      </c>
      <c r="D1709" s="223" t="s">
        <v>1222</v>
      </c>
      <c r="E1709" s="223" t="s">
        <v>1087</v>
      </c>
      <c r="F1709" s="223" t="s">
        <v>1090</v>
      </c>
      <c r="G1709" s="223" t="s">
        <v>1219</v>
      </c>
    </row>
    <row r="1710" spans="1:7" x14ac:dyDescent="0.3">
      <c r="A1710" s="223">
        <v>1709</v>
      </c>
      <c r="B1710" s="223" t="s">
        <v>1154</v>
      </c>
      <c r="C1710" s="223" t="s">
        <v>1217</v>
      </c>
      <c r="D1710" s="223" t="s">
        <v>1222</v>
      </c>
      <c r="E1710" s="223" t="s">
        <v>21</v>
      </c>
      <c r="F1710" s="223" t="s">
        <v>1093</v>
      </c>
      <c r="G1710" s="223" t="s">
        <v>1219</v>
      </c>
    </row>
    <row r="1711" spans="1:7" x14ac:dyDescent="0.3">
      <c r="A1711" s="223">
        <v>1710</v>
      </c>
      <c r="B1711" s="223" t="s">
        <v>1154</v>
      </c>
      <c r="C1711" s="223" t="s">
        <v>1217</v>
      </c>
      <c r="D1711" s="223" t="s">
        <v>1222</v>
      </c>
      <c r="E1711" s="223" t="s">
        <v>21</v>
      </c>
      <c r="F1711" s="223" t="s">
        <v>27</v>
      </c>
      <c r="G1711" s="223" t="s">
        <v>1219</v>
      </c>
    </row>
    <row r="1712" spans="1:7" x14ac:dyDescent="0.3">
      <c r="A1712" s="223">
        <v>1711</v>
      </c>
      <c r="B1712" s="223" t="s">
        <v>1154</v>
      </c>
      <c r="C1712" s="223" t="s">
        <v>1217</v>
      </c>
      <c r="D1712" s="223" t="s">
        <v>1222</v>
      </c>
      <c r="E1712" s="223" t="s">
        <v>21</v>
      </c>
      <c r="F1712" s="223" t="s">
        <v>1096</v>
      </c>
      <c r="G1712" s="223" t="s">
        <v>1219</v>
      </c>
    </row>
    <row r="1713" spans="1:7" x14ac:dyDescent="0.3">
      <c r="A1713" s="223">
        <v>1712</v>
      </c>
      <c r="B1713" s="223" t="s">
        <v>1154</v>
      </c>
      <c r="C1713" s="223" t="s">
        <v>1217</v>
      </c>
      <c r="D1713" s="223" t="s">
        <v>1222</v>
      </c>
      <c r="E1713" s="223" t="s">
        <v>21</v>
      </c>
      <c r="F1713" s="223" t="s">
        <v>1090</v>
      </c>
      <c r="G1713" s="223" t="s">
        <v>1219</v>
      </c>
    </row>
    <row r="1714" spans="1:7" x14ac:dyDescent="0.3">
      <c r="A1714" s="223">
        <v>1713</v>
      </c>
      <c r="B1714" s="223" t="s">
        <v>1154</v>
      </c>
      <c r="C1714" s="223" t="s">
        <v>1217</v>
      </c>
      <c r="D1714" s="223" t="s">
        <v>1223</v>
      </c>
      <c r="E1714" s="223" t="s">
        <v>1087</v>
      </c>
      <c r="F1714" s="223" t="s">
        <v>1093</v>
      </c>
      <c r="G1714" s="223" t="s">
        <v>1219</v>
      </c>
    </row>
    <row r="1715" spans="1:7" x14ac:dyDescent="0.3">
      <c r="A1715" s="223">
        <v>1714</v>
      </c>
      <c r="B1715" s="223" t="s">
        <v>1154</v>
      </c>
      <c r="C1715" s="223" t="s">
        <v>1217</v>
      </c>
      <c r="D1715" s="223" t="s">
        <v>1223</v>
      </c>
      <c r="E1715" s="223" t="s">
        <v>1087</v>
      </c>
      <c r="F1715" s="223" t="s">
        <v>27</v>
      </c>
      <c r="G1715" s="223" t="s">
        <v>1219</v>
      </c>
    </row>
    <row r="1716" spans="1:7" x14ac:dyDescent="0.3">
      <c r="A1716" s="223">
        <v>1715</v>
      </c>
      <c r="B1716" s="223" t="s">
        <v>1154</v>
      </c>
      <c r="C1716" s="223" t="s">
        <v>1217</v>
      </c>
      <c r="D1716" s="223" t="s">
        <v>1223</v>
      </c>
      <c r="E1716" s="223" t="s">
        <v>1087</v>
      </c>
      <c r="F1716" s="223" t="s">
        <v>1096</v>
      </c>
      <c r="G1716" s="223" t="s">
        <v>1219</v>
      </c>
    </row>
    <row r="1717" spans="1:7" x14ac:dyDescent="0.3">
      <c r="A1717" s="223">
        <v>1716</v>
      </c>
      <c r="B1717" s="223" t="s">
        <v>1154</v>
      </c>
      <c r="C1717" s="223" t="s">
        <v>1217</v>
      </c>
      <c r="D1717" s="223" t="s">
        <v>1223</v>
      </c>
      <c r="E1717" s="223" t="s">
        <v>1087</v>
      </c>
      <c r="F1717" s="223" t="s">
        <v>1090</v>
      </c>
      <c r="G1717" s="223" t="s">
        <v>1219</v>
      </c>
    </row>
    <row r="1718" spans="1:7" x14ac:dyDescent="0.3">
      <c r="A1718" s="223">
        <v>1717</v>
      </c>
      <c r="B1718" s="223" t="s">
        <v>1154</v>
      </c>
      <c r="C1718" s="223" t="s">
        <v>1217</v>
      </c>
      <c r="D1718" s="223" t="s">
        <v>1223</v>
      </c>
      <c r="E1718" s="223" t="s">
        <v>21</v>
      </c>
      <c r="F1718" s="223" t="s">
        <v>1093</v>
      </c>
      <c r="G1718" s="223" t="s">
        <v>1219</v>
      </c>
    </row>
    <row r="1719" spans="1:7" x14ac:dyDescent="0.3">
      <c r="A1719" s="223">
        <v>1718</v>
      </c>
      <c r="B1719" s="223" t="s">
        <v>1154</v>
      </c>
      <c r="C1719" s="223" t="s">
        <v>1217</v>
      </c>
      <c r="D1719" s="223" t="s">
        <v>1223</v>
      </c>
      <c r="E1719" s="223" t="s">
        <v>21</v>
      </c>
      <c r="F1719" s="223" t="s">
        <v>27</v>
      </c>
      <c r="G1719" s="223" t="s">
        <v>1219</v>
      </c>
    </row>
    <row r="1720" spans="1:7" x14ac:dyDescent="0.3">
      <c r="A1720" s="223">
        <v>1719</v>
      </c>
      <c r="B1720" s="223" t="s">
        <v>1154</v>
      </c>
      <c r="C1720" s="223" t="s">
        <v>1217</v>
      </c>
      <c r="D1720" s="223" t="s">
        <v>1223</v>
      </c>
      <c r="E1720" s="223" t="s">
        <v>21</v>
      </c>
      <c r="F1720" s="223" t="s">
        <v>1096</v>
      </c>
      <c r="G1720" s="223" t="s">
        <v>1219</v>
      </c>
    </row>
    <row r="1721" spans="1:7" x14ac:dyDescent="0.3">
      <c r="A1721" s="223">
        <v>1720</v>
      </c>
      <c r="B1721" s="223" t="s">
        <v>1154</v>
      </c>
      <c r="C1721" s="223" t="s">
        <v>1217</v>
      </c>
      <c r="D1721" s="223" t="s">
        <v>1223</v>
      </c>
      <c r="E1721" s="223" t="s">
        <v>21</v>
      </c>
      <c r="F1721" s="223" t="s">
        <v>1090</v>
      </c>
      <c r="G1721" s="223" t="s">
        <v>1219</v>
      </c>
    </row>
    <row r="1722" spans="1:7" x14ac:dyDescent="0.3">
      <c r="A1722" s="223">
        <v>1721</v>
      </c>
      <c r="B1722" s="223" t="s">
        <v>1154</v>
      </c>
      <c r="C1722" s="223" t="s">
        <v>1217</v>
      </c>
      <c r="D1722" s="223" t="s">
        <v>12</v>
      </c>
      <c r="E1722" s="223" t="s">
        <v>1087</v>
      </c>
      <c r="F1722" s="223" t="s">
        <v>1093</v>
      </c>
      <c r="G1722" s="223" t="s">
        <v>1219</v>
      </c>
    </row>
    <row r="1723" spans="1:7" x14ac:dyDescent="0.3">
      <c r="A1723" s="223">
        <v>1722</v>
      </c>
      <c r="B1723" s="223" t="s">
        <v>1154</v>
      </c>
      <c r="C1723" s="223" t="s">
        <v>1217</v>
      </c>
      <c r="D1723" s="223" t="s">
        <v>12</v>
      </c>
      <c r="E1723" s="223" t="s">
        <v>1087</v>
      </c>
      <c r="F1723" s="223" t="s">
        <v>27</v>
      </c>
      <c r="G1723" s="223" t="s">
        <v>1219</v>
      </c>
    </row>
    <row r="1724" spans="1:7" x14ac:dyDescent="0.3">
      <c r="A1724" s="223">
        <v>1723</v>
      </c>
      <c r="B1724" s="223" t="s">
        <v>1154</v>
      </c>
      <c r="C1724" s="223" t="s">
        <v>1217</v>
      </c>
      <c r="D1724" s="223" t="s">
        <v>12</v>
      </c>
      <c r="E1724" s="223" t="s">
        <v>1087</v>
      </c>
      <c r="F1724" s="223" t="s">
        <v>1096</v>
      </c>
      <c r="G1724" s="223" t="s">
        <v>1219</v>
      </c>
    </row>
    <row r="1725" spans="1:7" x14ac:dyDescent="0.3">
      <c r="A1725" s="223">
        <v>1724</v>
      </c>
      <c r="B1725" s="223" t="s">
        <v>1154</v>
      </c>
      <c r="C1725" s="223" t="s">
        <v>1217</v>
      </c>
      <c r="D1725" s="223" t="s">
        <v>12</v>
      </c>
      <c r="E1725" s="223" t="s">
        <v>1087</v>
      </c>
      <c r="F1725" s="223" t="s">
        <v>1090</v>
      </c>
      <c r="G1725" s="223" t="s">
        <v>1219</v>
      </c>
    </row>
    <row r="1726" spans="1:7" x14ac:dyDescent="0.3">
      <c r="A1726" s="223">
        <v>1725</v>
      </c>
      <c r="B1726" s="223" t="s">
        <v>1154</v>
      </c>
      <c r="C1726" s="223" t="s">
        <v>1217</v>
      </c>
      <c r="D1726" s="223" t="s">
        <v>12</v>
      </c>
      <c r="E1726" s="223" t="s">
        <v>21</v>
      </c>
      <c r="F1726" s="223" t="s">
        <v>1093</v>
      </c>
      <c r="G1726" s="223" t="s">
        <v>1219</v>
      </c>
    </row>
    <row r="1727" spans="1:7" x14ac:dyDescent="0.3">
      <c r="A1727" s="223">
        <v>1726</v>
      </c>
      <c r="B1727" s="223" t="s">
        <v>1154</v>
      </c>
      <c r="C1727" s="223" t="s">
        <v>1217</v>
      </c>
      <c r="D1727" s="223" t="s">
        <v>12</v>
      </c>
      <c r="E1727" s="223" t="s">
        <v>21</v>
      </c>
      <c r="F1727" s="223" t="s">
        <v>27</v>
      </c>
      <c r="G1727" s="223" t="s">
        <v>1219</v>
      </c>
    </row>
    <row r="1728" spans="1:7" x14ac:dyDescent="0.3">
      <c r="A1728" s="223">
        <v>1727</v>
      </c>
      <c r="B1728" s="223" t="s">
        <v>1154</v>
      </c>
      <c r="C1728" s="223" t="s">
        <v>1217</v>
      </c>
      <c r="D1728" s="223" t="s">
        <v>12</v>
      </c>
      <c r="E1728" s="223" t="s">
        <v>21</v>
      </c>
      <c r="F1728" s="223" t="s">
        <v>1096</v>
      </c>
      <c r="G1728" s="223" t="s">
        <v>1219</v>
      </c>
    </row>
    <row r="1729" spans="1:7" x14ac:dyDescent="0.3">
      <c r="A1729" s="223">
        <v>1728</v>
      </c>
      <c r="B1729" s="223" t="s">
        <v>1154</v>
      </c>
      <c r="C1729" s="223" t="s">
        <v>1217</v>
      </c>
      <c r="D1729" s="223" t="s">
        <v>12</v>
      </c>
      <c r="E1729" s="223" t="s">
        <v>21</v>
      </c>
      <c r="F1729" s="223" t="s">
        <v>1090</v>
      </c>
      <c r="G1729" s="223" t="s">
        <v>1219</v>
      </c>
    </row>
    <row r="1730" spans="1:7" x14ac:dyDescent="0.3">
      <c r="A1730" s="223">
        <v>1729</v>
      </c>
      <c r="B1730" s="223" t="s">
        <v>1154</v>
      </c>
      <c r="C1730" s="223" t="s">
        <v>1224</v>
      </c>
      <c r="D1730" s="223" t="s">
        <v>1218</v>
      </c>
      <c r="E1730" s="223" t="s">
        <v>1087</v>
      </c>
      <c r="F1730" s="223" t="s">
        <v>1093</v>
      </c>
      <c r="G1730" s="223" t="s">
        <v>1219</v>
      </c>
    </row>
    <row r="1731" spans="1:7" x14ac:dyDescent="0.3">
      <c r="A1731" s="223">
        <v>1730</v>
      </c>
      <c r="B1731" s="223" t="s">
        <v>1154</v>
      </c>
      <c r="C1731" s="223" t="s">
        <v>1224</v>
      </c>
      <c r="D1731" s="223" t="s">
        <v>1218</v>
      </c>
      <c r="E1731" s="223" t="s">
        <v>1087</v>
      </c>
      <c r="F1731" s="223" t="s">
        <v>27</v>
      </c>
      <c r="G1731" s="223" t="s">
        <v>1219</v>
      </c>
    </row>
    <row r="1732" spans="1:7" x14ac:dyDescent="0.3">
      <c r="A1732" s="223">
        <v>1731</v>
      </c>
      <c r="B1732" s="223" t="s">
        <v>1154</v>
      </c>
      <c r="C1732" s="223" t="s">
        <v>1224</v>
      </c>
      <c r="D1732" s="223" t="s">
        <v>1218</v>
      </c>
      <c r="E1732" s="223" t="s">
        <v>1087</v>
      </c>
      <c r="F1732" s="223" t="s">
        <v>1096</v>
      </c>
      <c r="G1732" s="223" t="s">
        <v>1219</v>
      </c>
    </row>
    <row r="1733" spans="1:7" x14ac:dyDescent="0.3">
      <c r="A1733" s="223">
        <v>1732</v>
      </c>
      <c r="B1733" s="223" t="s">
        <v>1154</v>
      </c>
      <c r="C1733" s="223" t="s">
        <v>1224</v>
      </c>
      <c r="D1733" s="223" t="s">
        <v>1218</v>
      </c>
      <c r="E1733" s="223" t="s">
        <v>1087</v>
      </c>
      <c r="F1733" s="223" t="s">
        <v>1090</v>
      </c>
      <c r="G1733" s="223" t="s">
        <v>1219</v>
      </c>
    </row>
    <row r="1734" spans="1:7" x14ac:dyDescent="0.3">
      <c r="A1734" s="223">
        <v>1733</v>
      </c>
      <c r="B1734" s="223" t="s">
        <v>1154</v>
      </c>
      <c r="C1734" s="223" t="s">
        <v>1224</v>
      </c>
      <c r="D1734" s="223" t="s">
        <v>1218</v>
      </c>
      <c r="E1734" s="223" t="s">
        <v>21</v>
      </c>
      <c r="F1734" s="223" t="s">
        <v>1093</v>
      </c>
      <c r="G1734" s="223" t="s">
        <v>1219</v>
      </c>
    </row>
    <row r="1735" spans="1:7" x14ac:dyDescent="0.3">
      <c r="A1735" s="223">
        <v>1734</v>
      </c>
      <c r="B1735" s="223" t="s">
        <v>1154</v>
      </c>
      <c r="C1735" s="223" t="s">
        <v>1224</v>
      </c>
      <c r="D1735" s="223" t="s">
        <v>1218</v>
      </c>
      <c r="E1735" s="223" t="s">
        <v>21</v>
      </c>
      <c r="F1735" s="223" t="s">
        <v>27</v>
      </c>
      <c r="G1735" s="223" t="s">
        <v>1219</v>
      </c>
    </row>
    <row r="1736" spans="1:7" x14ac:dyDescent="0.3">
      <c r="A1736" s="223">
        <v>1735</v>
      </c>
      <c r="B1736" s="223" t="s">
        <v>1154</v>
      </c>
      <c r="C1736" s="223" t="s">
        <v>1224</v>
      </c>
      <c r="D1736" s="223" t="s">
        <v>1218</v>
      </c>
      <c r="E1736" s="223" t="s">
        <v>21</v>
      </c>
      <c r="F1736" s="223" t="s">
        <v>1096</v>
      </c>
      <c r="G1736" s="223" t="s">
        <v>1219</v>
      </c>
    </row>
    <row r="1737" spans="1:7" x14ac:dyDescent="0.3">
      <c r="A1737" s="223">
        <v>1736</v>
      </c>
      <c r="B1737" s="223" t="s">
        <v>1154</v>
      </c>
      <c r="C1737" s="223" t="s">
        <v>1224</v>
      </c>
      <c r="D1737" s="223" t="s">
        <v>1218</v>
      </c>
      <c r="E1737" s="223" t="s">
        <v>21</v>
      </c>
      <c r="F1737" s="223" t="s">
        <v>1090</v>
      </c>
      <c r="G1737" s="223" t="s">
        <v>1219</v>
      </c>
    </row>
    <row r="1738" spans="1:7" x14ac:dyDescent="0.3">
      <c r="A1738" s="223">
        <v>1737</v>
      </c>
      <c r="B1738" s="223" t="s">
        <v>1154</v>
      </c>
      <c r="C1738" s="223" t="s">
        <v>1224</v>
      </c>
      <c r="D1738" s="223" t="s">
        <v>1220</v>
      </c>
      <c r="E1738" s="223" t="s">
        <v>1087</v>
      </c>
      <c r="F1738" s="223" t="s">
        <v>1093</v>
      </c>
      <c r="G1738" s="223" t="s">
        <v>1219</v>
      </c>
    </row>
    <row r="1739" spans="1:7" x14ac:dyDescent="0.3">
      <c r="A1739" s="223">
        <v>1738</v>
      </c>
      <c r="B1739" s="223" t="s">
        <v>1154</v>
      </c>
      <c r="C1739" s="223" t="s">
        <v>1224</v>
      </c>
      <c r="D1739" s="223" t="s">
        <v>1220</v>
      </c>
      <c r="E1739" s="223" t="s">
        <v>1087</v>
      </c>
      <c r="F1739" s="223" t="s">
        <v>27</v>
      </c>
      <c r="G1739" s="223" t="s">
        <v>1219</v>
      </c>
    </row>
    <row r="1740" spans="1:7" x14ac:dyDescent="0.3">
      <c r="A1740" s="223">
        <v>1739</v>
      </c>
      <c r="B1740" s="223" t="s">
        <v>1154</v>
      </c>
      <c r="C1740" s="223" t="s">
        <v>1224</v>
      </c>
      <c r="D1740" s="223" t="s">
        <v>1220</v>
      </c>
      <c r="E1740" s="223" t="s">
        <v>1087</v>
      </c>
      <c r="F1740" s="223" t="s">
        <v>1096</v>
      </c>
      <c r="G1740" s="223" t="s">
        <v>1219</v>
      </c>
    </row>
    <row r="1741" spans="1:7" x14ac:dyDescent="0.3">
      <c r="A1741" s="223">
        <v>1740</v>
      </c>
      <c r="B1741" s="223" t="s">
        <v>1154</v>
      </c>
      <c r="C1741" s="223" t="s">
        <v>1224</v>
      </c>
      <c r="D1741" s="223" t="s">
        <v>1220</v>
      </c>
      <c r="E1741" s="223" t="s">
        <v>1087</v>
      </c>
      <c r="F1741" s="223" t="s">
        <v>1090</v>
      </c>
      <c r="G1741" s="223" t="s">
        <v>1219</v>
      </c>
    </row>
    <row r="1742" spans="1:7" x14ac:dyDescent="0.3">
      <c r="A1742" s="223">
        <v>1741</v>
      </c>
      <c r="B1742" s="223" t="s">
        <v>1154</v>
      </c>
      <c r="C1742" s="223" t="s">
        <v>1224</v>
      </c>
      <c r="D1742" s="223" t="s">
        <v>1220</v>
      </c>
      <c r="E1742" s="223" t="s">
        <v>21</v>
      </c>
      <c r="F1742" s="223" t="s">
        <v>1093</v>
      </c>
      <c r="G1742" s="223" t="s">
        <v>1219</v>
      </c>
    </row>
    <row r="1743" spans="1:7" x14ac:dyDescent="0.3">
      <c r="A1743" s="223">
        <v>1742</v>
      </c>
      <c r="B1743" s="223" t="s">
        <v>1154</v>
      </c>
      <c r="C1743" s="223" t="s">
        <v>1224</v>
      </c>
      <c r="D1743" s="223" t="s">
        <v>1220</v>
      </c>
      <c r="E1743" s="223" t="s">
        <v>21</v>
      </c>
      <c r="F1743" s="223" t="s">
        <v>27</v>
      </c>
      <c r="G1743" s="223" t="s">
        <v>1219</v>
      </c>
    </row>
    <row r="1744" spans="1:7" x14ac:dyDescent="0.3">
      <c r="A1744" s="223">
        <v>1743</v>
      </c>
      <c r="B1744" s="223" t="s">
        <v>1154</v>
      </c>
      <c r="C1744" s="223" t="s">
        <v>1224</v>
      </c>
      <c r="D1744" s="223" t="s">
        <v>1220</v>
      </c>
      <c r="E1744" s="223" t="s">
        <v>21</v>
      </c>
      <c r="F1744" s="223" t="s">
        <v>1096</v>
      </c>
      <c r="G1744" s="223" t="s">
        <v>1219</v>
      </c>
    </row>
    <row r="1745" spans="1:7" x14ac:dyDescent="0.3">
      <c r="A1745" s="223">
        <v>1744</v>
      </c>
      <c r="B1745" s="223" t="s">
        <v>1154</v>
      </c>
      <c r="C1745" s="223" t="s">
        <v>1224</v>
      </c>
      <c r="D1745" s="223" t="s">
        <v>1220</v>
      </c>
      <c r="E1745" s="223" t="s">
        <v>21</v>
      </c>
      <c r="F1745" s="223" t="s">
        <v>1090</v>
      </c>
      <c r="G1745" s="223" t="s">
        <v>1219</v>
      </c>
    </row>
    <row r="1746" spans="1:7" x14ac:dyDescent="0.3">
      <c r="A1746" s="223">
        <v>1745</v>
      </c>
      <c r="B1746" s="223" t="s">
        <v>1154</v>
      </c>
      <c r="C1746" s="223" t="s">
        <v>1224</v>
      </c>
      <c r="D1746" s="223" t="s">
        <v>1221</v>
      </c>
      <c r="E1746" s="223" t="s">
        <v>1087</v>
      </c>
      <c r="F1746" s="223" t="s">
        <v>1093</v>
      </c>
      <c r="G1746" s="223" t="s">
        <v>1219</v>
      </c>
    </row>
    <row r="1747" spans="1:7" x14ac:dyDescent="0.3">
      <c r="A1747" s="223">
        <v>1746</v>
      </c>
      <c r="B1747" s="223" t="s">
        <v>1154</v>
      </c>
      <c r="C1747" s="223" t="s">
        <v>1224</v>
      </c>
      <c r="D1747" s="223" t="s">
        <v>1221</v>
      </c>
      <c r="E1747" s="223" t="s">
        <v>1087</v>
      </c>
      <c r="F1747" s="223" t="s">
        <v>27</v>
      </c>
      <c r="G1747" s="223" t="s">
        <v>1219</v>
      </c>
    </row>
    <row r="1748" spans="1:7" x14ac:dyDescent="0.3">
      <c r="A1748" s="223">
        <v>1747</v>
      </c>
      <c r="B1748" s="223" t="s">
        <v>1154</v>
      </c>
      <c r="C1748" s="223" t="s">
        <v>1224</v>
      </c>
      <c r="D1748" s="223" t="s">
        <v>1221</v>
      </c>
      <c r="E1748" s="223" t="s">
        <v>1087</v>
      </c>
      <c r="F1748" s="223" t="s">
        <v>1096</v>
      </c>
      <c r="G1748" s="223" t="s">
        <v>1219</v>
      </c>
    </row>
    <row r="1749" spans="1:7" x14ac:dyDescent="0.3">
      <c r="A1749" s="223">
        <v>1748</v>
      </c>
      <c r="B1749" s="223" t="s">
        <v>1154</v>
      </c>
      <c r="C1749" s="223" t="s">
        <v>1224</v>
      </c>
      <c r="D1749" s="223" t="s">
        <v>1221</v>
      </c>
      <c r="E1749" s="223" t="s">
        <v>1087</v>
      </c>
      <c r="F1749" s="223" t="s">
        <v>1090</v>
      </c>
      <c r="G1749" s="223" t="s">
        <v>1219</v>
      </c>
    </row>
    <row r="1750" spans="1:7" x14ac:dyDescent="0.3">
      <c r="A1750" s="223">
        <v>1749</v>
      </c>
      <c r="B1750" s="223" t="s">
        <v>1154</v>
      </c>
      <c r="C1750" s="223" t="s">
        <v>1224</v>
      </c>
      <c r="D1750" s="223" t="s">
        <v>1221</v>
      </c>
      <c r="E1750" s="223" t="s">
        <v>21</v>
      </c>
      <c r="F1750" s="223" t="s">
        <v>1093</v>
      </c>
      <c r="G1750" s="223" t="s">
        <v>1219</v>
      </c>
    </row>
    <row r="1751" spans="1:7" x14ac:dyDescent="0.3">
      <c r="A1751" s="223">
        <v>1750</v>
      </c>
      <c r="B1751" s="223" t="s">
        <v>1154</v>
      </c>
      <c r="C1751" s="223" t="s">
        <v>1224</v>
      </c>
      <c r="D1751" s="223" t="s">
        <v>1221</v>
      </c>
      <c r="E1751" s="223" t="s">
        <v>21</v>
      </c>
      <c r="F1751" s="223" t="s">
        <v>27</v>
      </c>
      <c r="G1751" s="223" t="s">
        <v>1219</v>
      </c>
    </row>
    <row r="1752" spans="1:7" x14ac:dyDescent="0.3">
      <c r="A1752" s="223">
        <v>1751</v>
      </c>
      <c r="B1752" s="223" t="s">
        <v>1154</v>
      </c>
      <c r="C1752" s="223" t="s">
        <v>1224</v>
      </c>
      <c r="D1752" s="223" t="s">
        <v>1221</v>
      </c>
      <c r="E1752" s="223" t="s">
        <v>21</v>
      </c>
      <c r="F1752" s="223" t="s">
        <v>1096</v>
      </c>
      <c r="G1752" s="223" t="s">
        <v>1219</v>
      </c>
    </row>
    <row r="1753" spans="1:7" x14ac:dyDescent="0.3">
      <c r="A1753" s="223">
        <v>1752</v>
      </c>
      <c r="B1753" s="223" t="s">
        <v>1154</v>
      </c>
      <c r="C1753" s="223" t="s">
        <v>1224</v>
      </c>
      <c r="D1753" s="223" t="s">
        <v>1221</v>
      </c>
      <c r="E1753" s="223" t="s">
        <v>21</v>
      </c>
      <c r="F1753" s="223" t="s">
        <v>1090</v>
      </c>
      <c r="G1753" s="223" t="s">
        <v>1219</v>
      </c>
    </row>
    <row r="1754" spans="1:7" x14ac:dyDescent="0.3">
      <c r="A1754" s="223">
        <v>1753</v>
      </c>
      <c r="B1754" s="223" t="s">
        <v>1154</v>
      </c>
      <c r="C1754" s="223" t="s">
        <v>1224</v>
      </c>
      <c r="D1754" s="223" t="s">
        <v>1222</v>
      </c>
      <c r="E1754" s="223" t="s">
        <v>1087</v>
      </c>
      <c r="F1754" s="223" t="s">
        <v>1093</v>
      </c>
      <c r="G1754" s="223" t="s">
        <v>1219</v>
      </c>
    </row>
    <row r="1755" spans="1:7" x14ac:dyDescent="0.3">
      <c r="A1755" s="223">
        <v>1754</v>
      </c>
      <c r="B1755" s="223" t="s">
        <v>1154</v>
      </c>
      <c r="C1755" s="223" t="s">
        <v>1224</v>
      </c>
      <c r="D1755" s="223" t="s">
        <v>1222</v>
      </c>
      <c r="E1755" s="223" t="s">
        <v>1087</v>
      </c>
      <c r="F1755" s="223" t="s">
        <v>27</v>
      </c>
      <c r="G1755" s="223" t="s">
        <v>1219</v>
      </c>
    </row>
    <row r="1756" spans="1:7" x14ac:dyDescent="0.3">
      <c r="A1756" s="223">
        <v>1755</v>
      </c>
      <c r="B1756" s="223" t="s">
        <v>1154</v>
      </c>
      <c r="C1756" s="223" t="s">
        <v>1224</v>
      </c>
      <c r="D1756" s="223" t="s">
        <v>1222</v>
      </c>
      <c r="E1756" s="223" t="s">
        <v>1087</v>
      </c>
      <c r="F1756" s="223" t="s">
        <v>1096</v>
      </c>
      <c r="G1756" s="223" t="s">
        <v>1219</v>
      </c>
    </row>
    <row r="1757" spans="1:7" x14ac:dyDescent="0.3">
      <c r="A1757" s="223">
        <v>1756</v>
      </c>
      <c r="B1757" s="223" t="s">
        <v>1154</v>
      </c>
      <c r="C1757" s="223" t="s">
        <v>1224</v>
      </c>
      <c r="D1757" s="223" t="s">
        <v>1222</v>
      </c>
      <c r="E1757" s="223" t="s">
        <v>1087</v>
      </c>
      <c r="F1757" s="223" t="s">
        <v>1090</v>
      </c>
      <c r="G1757" s="223" t="s">
        <v>1219</v>
      </c>
    </row>
    <row r="1758" spans="1:7" x14ac:dyDescent="0.3">
      <c r="A1758" s="223">
        <v>1757</v>
      </c>
      <c r="B1758" s="223" t="s">
        <v>1154</v>
      </c>
      <c r="C1758" s="223" t="s">
        <v>1224</v>
      </c>
      <c r="D1758" s="223" t="s">
        <v>1222</v>
      </c>
      <c r="E1758" s="223" t="s">
        <v>21</v>
      </c>
      <c r="F1758" s="223" t="s">
        <v>1093</v>
      </c>
      <c r="G1758" s="223" t="s">
        <v>1219</v>
      </c>
    </row>
    <row r="1759" spans="1:7" x14ac:dyDescent="0.3">
      <c r="A1759" s="223">
        <v>1758</v>
      </c>
      <c r="B1759" s="223" t="s">
        <v>1154</v>
      </c>
      <c r="C1759" s="223" t="s">
        <v>1224</v>
      </c>
      <c r="D1759" s="223" t="s">
        <v>1222</v>
      </c>
      <c r="E1759" s="223" t="s">
        <v>21</v>
      </c>
      <c r="F1759" s="223" t="s">
        <v>27</v>
      </c>
      <c r="G1759" s="223" t="s">
        <v>1219</v>
      </c>
    </row>
    <row r="1760" spans="1:7" x14ac:dyDescent="0.3">
      <c r="A1760" s="223">
        <v>1759</v>
      </c>
      <c r="B1760" s="223" t="s">
        <v>1154</v>
      </c>
      <c r="C1760" s="223" t="s">
        <v>1224</v>
      </c>
      <c r="D1760" s="223" t="s">
        <v>1222</v>
      </c>
      <c r="E1760" s="223" t="s">
        <v>21</v>
      </c>
      <c r="F1760" s="223" t="s">
        <v>1096</v>
      </c>
      <c r="G1760" s="223" t="s">
        <v>1219</v>
      </c>
    </row>
    <row r="1761" spans="1:7" x14ac:dyDescent="0.3">
      <c r="A1761" s="223">
        <v>1760</v>
      </c>
      <c r="B1761" s="223" t="s">
        <v>1154</v>
      </c>
      <c r="C1761" s="223" t="s">
        <v>1224</v>
      </c>
      <c r="D1761" s="223" t="s">
        <v>1222</v>
      </c>
      <c r="E1761" s="223" t="s">
        <v>21</v>
      </c>
      <c r="F1761" s="223" t="s">
        <v>1090</v>
      </c>
      <c r="G1761" s="223" t="s">
        <v>1219</v>
      </c>
    </row>
    <row r="1762" spans="1:7" x14ac:dyDescent="0.3">
      <c r="A1762" s="223">
        <v>1761</v>
      </c>
      <c r="B1762" s="223" t="s">
        <v>1154</v>
      </c>
      <c r="C1762" s="223" t="s">
        <v>1224</v>
      </c>
      <c r="D1762" s="223" t="s">
        <v>1223</v>
      </c>
      <c r="E1762" s="223" t="s">
        <v>1087</v>
      </c>
      <c r="F1762" s="223" t="s">
        <v>1093</v>
      </c>
      <c r="G1762" s="223" t="s">
        <v>1219</v>
      </c>
    </row>
    <row r="1763" spans="1:7" x14ac:dyDescent="0.3">
      <c r="A1763" s="223">
        <v>1762</v>
      </c>
      <c r="B1763" s="223" t="s">
        <v>1154</v>
      </c>
      <c r="C1763" s="223" t="s">
        <v>1224</v>
      </c>
      <c r="D1763" s="223" t="s">
        <v>1223</v>
      </c>
      <c r="E1763" s="223" t="s">
        <v>1087</v>
      </c>
      <c r="F1763" s="223" t="s">
        <v>27</v>
      </c>
      <c r="G1763" s="223" t="s">
        <v>1219</v>
      </c>
    </row>
    <row r="1764" spans="1:7" x14ac:dyDescent="0.3">
      <c r="A1764" s="223">
        <v>1763</v>
      </c>
      <c r="B1764" s="223" t="s">
        <v>1154</v>
      </c>
      <c r="C1764" s="223" t="s">
        <v>1224</v>
      </c>
      <c r="D1764" s="223" t="s">
        <v>1223</v>
      </c>
      <c r="E1764" s="223" t="s">
        <v>1087</v>
      </c>
      <c r="F1764" s="223" t="s">
        <v>1096</v>
      </c>
      <c r="G1764" s="223" t="s">
        <v>1219</v>
      </c>
    </row>
    <row r="1765" spans="1:7" x14ac:dyDescent="0.3">
      <c r="A1765" s="223">
        <v>1764</v>
      </c>
      <c r="B1765" s="223" t="s">
        <v>1154</v>
      </c>
      <c r="C1765" s="223" t="s">
        <v>1224</v>
      </c>
      <c r="D1765" s="223" t="s">
        <v>1223</v>
      </c>
      <c r="E1765" s="223" t="s">
        <v>1087</v>
      </c>
      <c r="F1765" s="223" t="s">
        <v>1090</v>
      </c>
      <c r="G1765" s="223" t="s">
        <v>1219</v>
      </c>
    </row>
    <row r="1766" spans="1:7" x14ac:dyDescent="0.3">
      <c r="A1766" s="223">
        <v>1765</v>
      </c>
      <c r="B1766" s="223" t="s">
        <v>1154</v>
      </c>
      <c r="C1766" s="223" t="s">
        <v>1224</v>
      </c>
      <c r="D1766" s="223" t="s">
        <v>1223</v>
      </c>
      <c r="E1766" s="223" t="s">
        <v>21</v>
      </c>
      <c r="F1766" s="223" t="s">
        <v>1093</v>
      </c>
      <c r="G1766" s="223" t="s">
        <v>1219</v>
      </c>
    </row>
    <row r="1767" spans="1:7" x14ac:dyDescent="0.3">
      <c r="A1767" s="223">
        <v>1766</v>
      </c>
      <c r="B1767" s="223" t="s">
        <v>1154</v>
      </c>
      <c r="C1767" s="223" t="s">
        <v>1224</v>
      </c>
      <c r="D1767" s="223" t="s">
        <v>1223</v>
      </c>
      <c r="E1767" s="223" t="s">
        <v>21</v>
      </c>
      <c r="F1767" s="223" t="s">
        <v>27</v>
      </c>
      <c r="G1767" s="223" t="s">
        <v>1219</v>
      </c>
    </row>
    <row r="1768" spans="1:7" x14ac:dyDescent="0.3">
      <c r="A1768" s="223">
        <v>1767</v>
      </c>
      <c r="B1768" s="223" t="s">
        <v>1154</v>
      </c>
      <c r="C1768" s="223" t="s">
        <v>1224</v>
      </c>
      <c r="D1768" s="223" t="s">
        <v>1223</v>
      </c>
      <c r="E1768" s="223" t="s">
        <v>21</v>
      </c>
      <c r="F1768" s="223" t="s">
        <v>1096</v>
      </c>
      <c r="G1768" s="223" t="s">
        <v>1219</v>
      </c>
    </row>
    <row r="1769" spans="1:7" x14ac:dyDescent="0.3">
      <c r="A1769" s="223">
        <v>1768</v>
      </c>
      <c r="B1769" s="223" t="s">
        <v>1154</v>
      </c>
      <c r="C1769" s="223" t="s">
        <v>1224</v>
      </c>
      <c r="D1769" s="223" t="s">
        <v>1223</v>
      </c>
      <c r="E1769" s="223" t="s">
        <v>21</v>
      </c>
      <c r="F1769" s="223" t="s">
        <v>1090</v>
      </c>
      <c r="G1769" s="223" t="s">
        <v>1219</v>
      </c>
    </row>
    <row r="1770" spans="1:7" x14ac:dyDescent="0.3">
      <c r="A1770" s="223">
        <v>1769</v>
      </c>
      <c r="B1770" s="223" t="s">
        <v>1154</v>
      </c>
      <c r="C1770" s="223" t="s">
        <v>1224</v>
      </c>
      <c r="D1770" s="223" t="s">
        <v>12</v>
      </c>
      <c r="E1770" s="223" t="s">
        <v>1087</v>
      </c>
      <c r="F1770" s="223" t="s">
        <v>1093</v>
      </c>
      <c r="G1770" s="223" t="s">
        <v>1219</v>
      </c>
    </row>
    <row r="1771" spans="1:7" x14ac:dyDescent="0.3">
      <c r="A1771" s="223">
        <v>1770</v>
      </c>
      <c r="B1771" s="223" t="s">
        <v>1154</v>
      </c>
      <c r="C1771" s="223" t="s">
        <v>1224</v>
      </c>
      <c r="D1771" s="223" t="s">
        <v>12</v>
      </c>
      <c r="E1771" s="223" t="s">
        <v>1087</v>
      </c>
      <c r="F1771" s="223" t="s">
        <v>27</v>
      </c>
      <c r="G1771" s="223" t="s">
        <v>1219</v>
      </c>
    </row>
    <row r="1772" spans="1:7" x14ac:dyDescent="0.3">
      <c r="A1772" s="223">
        <v>1771</v>
      </c>
      <c r="B1772" s="223" t="s">
        <v>1154</v>
      </c>
      <c r="C1772" s="223" t="s">
        <v>1224</v>
      </c>
      <c r="D1772" s="223" t="s">
        <v>12</v>
      </c>
      <c r="E1772" s="223" t="s">
        <v>1087</v>
      </c>
      <c r="F1772" s="223" t="s">
        <v>1096</v>
      </c>
      <c r="G1772" s="223" t="s">
        <v>1219</v>
      </c>
    </row>
    <row r="1773" spans="1:7" x14ac:dyDescent="0.3">
      <c r="A1773" s="223">
        <v>1772</v>
      </c>
      <c r="B1773" s="223" t="s">
        <v>1154</v>
      </c>
      <c r="C1773" s="223" t="s">
        <v>1224</v>
      </c>
      <c r="D1773" s="223" t="s">
        <v>12</v>
      </c>
      <c r="E1773" s="223" t="s">
        <v>1087</v>
      </c>
      <c r="F1773" s="223" t="s">
        <v>1090</v>
      </c>
      <c r="G1773" s="223" t="s">
        <v>1219</v>
      </c>
    </row>
    <row r="1774" spans="1:7" x14ac:dyDescent="0.3">
      <c r="A1774" s="223">
        <v>1773</v>
      </c>
      <c r="B1774" s="223" t="s">
        <v>1154</v>
      </c>
      <c r="C1774" s="223" t="s">
        <v>1224</v>
      </c>
      <c r="D1774" s="223" t="s">
        <v>12</v>
      </c>
      <c r="E1774" s="223" t="s">
        <v>21</v>
      </c>
      <c r="F1774" s="223" t="s">
        <v>1093</v>
      </c>
      <c r="G1774" s="223" t="s">
        <v>1219</v>
      </c>
    </row>
    <row r="1775" spans="1:7" x14ac:dyDescent="0.3">
      <c r="A1775" s="223">
        <v>1774</v>
      </c>
      <c r="B1775" s="223" t="s">
        <v>1154</v>
      </c>
      <c r="C1775" s="223" t="s">
        <v>1224</v>
      </c>
      <c r="D1775" s="223" t="s">
        <v>12</v>
      </c>
      <c r="E1775" s="223" t="s">
        <v>21</v>
      </c>
      <c r="F1775" s="223" t="s">
        <v>27</v>
      </c>
      <c r="G1775" s="223" t="s">
        <v>1219</v>
      </c>
    </row>
    <row r="1776" spans="1:7" x14ac:dyDescent="0.3">
      <c r="A1776" s="223">
        <v>1775</v>
      </c>
      <c r="B1776" s="223" t="s">
        <v>1154</v>
      </c>
      <c r="C1776" s="223" t="s">
        <v>1224</v>
      </c>
      <c r="D1776" s="223" t="s">
        <v>12</v>
      </c>
      <c r="E1776" s="223" t="s">
        <v>21</v>
      </c>
      <c r="F1776" s="223" t="s">
        <v>1096</v>
      </c>
      <c r="G1776" s="223" t="s">
        <v>1219</v>
      </c>
    </row>
    <row r="1777" spans="1:7" x14ac:dyDescent="0.3">
      <c r="A1777" s="223">
        <v>1776</v>
      </c>
      <c r="B1777" s="223" t="s">
        <v>1154</v>
      </c>
      <c r="C1777" s="223" t="s">
        <v>1224</v>
      </c>
      <c r="D1777" s="223" t="s">
        <v>12</v>
      </c>
      <c r="E1777" s="223" t="s">
        <v>21</v>
      </c>
      <c r="F1777" s="223" t="s">
        <v>1090</v>
      </c>
      <c r="G1777" s="223" t="s">
        <v>1219</v>
      </c>
    </row>
    <row r="1778" spans="1:7" x14ac:dyDescent="0.3">
      <c r="A1778" s="223">
        <v>1777</v>
      </c>
      <c r="B1778" s="223" t="s">
        <v>1154</v>
      </c>
      <c r="C1778" s="223" t="s">
        <v>1225</v>
      </c>
      <c r="D1778" s="223" t="s">
        <v>1218</v>
      </c>
      <c r="E1778" s="223" t="s">
        <v>1087</v>
      </c>
      <c r="F1778" s="223" t="s">
        <v>1093</v>
      </c>
      <c r="G1778" s="223" t="s">
        <v>1219</v>
      </c>
    </row>
    <row r="1779" spans="1:7" x14ac:dyDescent="0.3">
      <c r="A1779" s="223">
        <v>1778</v>
      </c>
      <c r="B1779" s="223" t="s">
        <v>1154</v>
      </c>
      <c r="C1779" s="223" t="s">
        <v>1225</v>
      </c>
      <c r="D1779" s="223" t="s">
        <v>1218</v>
      </c>
      <c r="E1779" s="223" t="s">
        <v>1087</v>
      </c>
      <c r="F1779" s="223" t="s">
        <v>27</v>
      </c>
      <c r="G1779" s="223" t="s">
        <v>1219</v>
      </c>
    </row>
    <row r="1780" spans="1:7" x14ac:dyDescent="0.3">
      <c r="A1780" s="223">
        <v>1779</v>
      </c>
      <c r="B1780" s="223" t="s">
        <v>1154</v>
      </c>
      <c r="C1780" s="223" t="s">
        <v>1225</v>
      </c>
      <c r="D1780" s="223" t="s">
        <v>1218</v>
      </c>
      <c r="E1780" s="223" t="s">
        <v>1087</v>
      </c>
      <c r="F1780" s="223" t="s">
        <v>1096</v>
      </c>
      <c r="G1780" s="223" t="s">
        <v>1219</v>
      </c>
    </row>
    <row r="1781" spans="1:7" x14ac:dyDescent="0.3">
      <c r="A1781" s="223">
        <v>1780</v>
      </c>
      <c r="B1781" s="223" t="s">
        <v>1154</v>
      </c>
      <c r="C1781" s="223" t="s">
        <v>1225</v>
      </c>
      <c r="D1781" s="223" t="s">
        <v>1218</v>
      </c>
      <c r="E1781" s="223" t="s">
        <v>1087</v>
      </c>
      <c r="F1781" s="223" t="s">
        <v>1090</v>
      </c>
      <c r="G1781" s="223" t="s">
        <v>1219</v>
      </c>
    </row>
    <row r="1782" spans="1:7" x14ac:dyDescent="0.3">
      <c r="A1782" s="223">
        <v>1781</v>
      </c>
      <c r="B1782" s="223" t="s">
        <v>1154</v>
      </c>
      <c r="C1782" s="223" t="s">
        <v>1225</v>
      </c>
      <c r="D1782" s="223" t="s">
        <v>1218</v>
      </c>
      <c r="E1782" s="223" t="s">
        <v>21</v>
      </c>
      <c r="F1782" s="223" t="s">
        <v>1093</v>
      </c>
      <c r="G1782" s="223" t="s">
        <v>1219</v>
      </c>
    </row>
    <row r="1783" spans="1:7" x14ac:dyDescent="0.3">
      <c r="A1783" s="223">
        <v>1782</v>
      </c>
      <c r="B1783" s="223" t="s">
        <v>1154</v>
      </c>
      <c r="C1783" s="223" t="s">
        <v>1225</v>
      </c>
      <c r="D1783" s="223" t="s">
        <v>1218</v>
      </c>
      <c r="E1783" s="223" t="s">
        <v>21</v>
      </c>
      <c r="F1783" s="223" t="s">
        <v>27</v>
      </c>
      <c r="G1783" s="223" t="s">
        <v>1219</v>
      </c>
    </row>
    <row r="1784" spans="1:7" x14ac:dyDescent="0.3">
      <c r="A1784" s="223">
        <v>1783</v>
      </c>
      <c r="B1784" s="223" t="s">
        <v>1154</v>
      </c>
      <c r="C1784" s="223" t="s">
        <v>1225</v>
      </c>
      <c r="D1784" s="223" t="s">
        <v>1218</v>
      </c>
      <c r="E1784" s="223" t="s">
        <v>21</v>
      </c>
      <c r="F1784" s="223" t="s">
        <v>1096</v>
      </c>
      <c r="G1784" s="223" t="s">
        <v>1219</v>
      </c>
    </row>
    <row r="1785" spans="1:7" x14ac:dyDescent="0.3">
      <c r="A1785" s="223">
        <v>1784</v>
      </c>
      <c r="B1785" s="223" t="s">
        <v>1154</v>
      </c>
      <c r="C1785" s="223" t="s">
        <v>1225</v>
      </c>
      <c r="D1785" s="223" t="s">
        <v>1218</v>
      </c>
      <c r="E1785" s="223" t="s">
        <v>21</v>
      </c>
      <c r="F1785" s="223" t="s">
        <v>1090</v>
      </c>
      <c r="G1785" s="223" t="s">
        <v>1219</v>
      </c>
    </row>
    <row r="1786" spans="1:7" x14ac:dyDescent="0.3">
      <c r="A1786" s="223">
        <v>1785</v>
      </c>
      <c r="B1786" s="223" t="s">
        <v>1154</v>
      </c>
      <c r="C1786" s="223" t="s">
        <v>1225</v>
      </c>
      <c r="D1786" s="223" t="s">
        <v>1220</v>
      </c>
      <c r="E1786" s="223" t="s">
        <v>1087</v>
      </c>
      <c r="F1786" s="223" t="s">
        <v>1093</v>
      </c>
      <c r="G1786" s="223" t="s">
        <v>1219</v>
      </c>
    </row>
    <row r="1787" spans="1:7" x14ac:dyDescent="0.3">
      <c r="A1787" s="223">
        <v>1786</v>
      </c>
      <c r="B1787" s="223" t="s">
        <v>1154</v>
      </c>
      <c r="C1787" s="223" t="s">
        <v>1225</v>
      </c>
      <c r="D1787" s="223" t="s">
        <v>1220</v>
      </c>
      <c r="E1787" s="223" t="s">
        <v>1087</v>
      </c>
      <c r="F1787" s="223" t="s">
        <v>27</v>
      </c>
      <c r="G1787" s="223" t="s">
        <v>1219</v>
      </c>
    </row>
    <row r="1788" spans="1:7" x14ac:dyDescent="0.3">
      <c r="A1788" s="223">
        <v>1787</v>
      </c>
      <c r="B1788" s="223" t="s">
        <v>1154</v>
      </c>
      <c r="C1788" s="223" t="s">
        <v>1225</v>
      </c>
      <c r="D1788" s="223" t="s">
        <v>1220</v>
      </c>
      <c r="E1788" s="223" t="s">
        <v>1087</v>
      </c>
      <c r="F1788" s="223" t="s">
        <v>1096</v>
      </c>
      <c r="G1788" s="223" t="s">
        <v>1219</v>
      </c>
    </row>
    <row r="1789" spans="1:7" x14ac:dyDescent="0.3">
      <c r="A1789" s="223">
        <v>1788</v>
      </c>
      <c r="B1789" s="223" t="s">
        <v>1154</v>
      </c>
      <c r="C1789" s="223" t="s">
        <v>1225</v>
      </c>
      <c r="D1789" s="223" t="s">
        <v>1220</v>
      </c>
      <c r="E1789" s="223" t="s">
        <v>1087</v>
      </c>
      <c r="F1789" s="223" t="s">
        <v>1090</v>
      </c>
      <c r="G1789" s="223" t="s">
        <v>1219</v>
      </c>
    </row>
    <row r="1790" spans="1:7" x14ac:dyDescent="0.3">
      <c r="A1790" s="223">
        <v>1789</v>
      </c>
      <c r="B1790" s="223" t="s">
        <v>1154</v>
      </c>
      <c r="C1790" s="223" t="s">
        <v>1225</v>
      </c>
      <c r="D1790" s="223" t="s">
        <v>1220</v>
      </c>
      <c r="E1790" s="223" t="s">
        <v>21</v>
      </c>
      <c r="F1790" s="223" t="s">
        <v>1093</v>
      </c>
      <c r="G1790" s="223" t="s">
        <v>1219</v>
      </c>
    </row>
    <row r="1791" spans="1:7" x14ac:dyDescent="0.3">
      <c r="A1791" s="223">
        <v>1790</v>
      </c>
      <c r="B1791" s="223" t="s">
        <v>1154</v>
      </c>
      <c r="C1791" s="223" t="s">
        <v>1225</v>
      </c>
      <c r="D1791" s="223" t="s">
        <v>1220</v>
      </c>
      <c r="E1791" s="223" t="s">
        <v>21</v>
      </c>
      <c r="F1791" s="223" t="s">
        <v>27</v>
      </c>
      <c r="G1791" s="223" t="s">
        <v>1219</v>
      </c>
    </row>
    <row r="1792" spans="1:7" x14ac:dyDescent="0.3">
      <c r="A1792" s="223">
        <v>1791</v>
      </c>
      <c r="B1792" s="223" t="s">
        <v>1154</v>
      </c>
      <c r="C1792" s="223" t="s">
        <v>1225</v>
      </c>
      <c r="D1792" s="223" t="s">
        <v>1220</v>
      </c>
      <c r="E1792" s="223" t="s">
        <v>21</v>
      </c>
      <c r="F1792" s="223" t="s">
        <v>1096</v>
      </c>
      <c r="G1792" s="223" t="s">
        <v>1219</v>
      </c>
    </row>
    <row r="1793" spans="1:7" x14ac:dyDescent="0.3">
      <c r="A1793" s="223">
        <v>1792</v>
      </c>
      <c r="B1793" s="223" t="s">
        <v>1154</v>
      </c>
      <c r="C1793" s="223" t="s">
        <v>1225</v>
      </c>
      <c r="D1793" s="223" t="s">
        <v>1220</v>
      </c>
      <c r="E1793" s="223" t="s">
        <v>21</v>
      </c>
      <c r="F1793" s="223" t="s">
        <v>1090</v>
      </c>
      <c r="G1793" s="223" t="s">
        <v>1219</v>
      </c>
    </row>
    <row r="1794" spans="1:7" x14ac:dyDescent="0.3">
      <c r="A1794" s="223">
        <v>1793</v>
      </c>
      <c r="B1794" s="223" t="s">
        <v>1154</v>
      </c>
      <c r="C1794" s="223" t="s">
        <v>1225</v>
      </c>
      <c r="D1794" s="223" t="s">
        <v>1221</v>
      </c>
      <c r="E1794" s="223" t="s">
        <v>1087</v>
      </c>
      <c r="F1794" s="223" t="s">
        <v>1093</v>
      </c>
      <c r="G1794" s="223" t="s">
        <v>1219</v>
      </c>
    </row>
    <row r="1795" spans="1:7" x14ac:dyDescent="0.3">
      <c r="A1795" s="223">
        <v>1794</v>
      </c>
      <c r="B1795" s="223" t="s">
        <v>1154</v>
      </c>
      <c r="C1795" s="223" t="s">
        <v>1225</v>
      </c>
      <c r="D1795" s="223" t="s">
        <v>1221</v>
      </c>
      <c r="E1795" s="223" t="s">
        <v>1087</v>
      </c>
      <c r="F1795" s="223" t="s">
        <v>27</v>
      </c>
      <c r="G1795" s="223" t="s">
        <v>1219</v>
      </c>
    </row>
    <row r="1796" spans="1:7" x14ac:dyDescent="0.3">
      <c r="A1796" s="223">
        <v>1795</v>
      </c>
      <c r="B1796" s="223" t="s">
        <v>1154</v>
      </c>
      <c r="C1796" s="223" t="s">
        <v>1225</v>
      </c>
      <c r="D1796" s="223" t="s">
        <v>1221</v>
      </c>
      <c r="E1796" s="223" t="s">
        <v>1087</v>
      </c>
      <c r="F1796" s="223" t="s">
        <v>1096</v>
      </c>
      <c r="G1796" s="223" t="s">
        <v>1219</v>
      </c>
    </row>
    <row r="1797" spans="1:7" x14ac:dyDescent="0.3">
      <c r="A1797" s="223">
        <v>1796</v>
      </c>
      <c r="B1797" s="223" t="s">
        <v>1154</v>
      </c>
      <c r="C1797" s="223" t="s">
        <v>1225</v>
      </c>
      <c r="D1797" s="223" t="s">
        <v>1221</v>
      </c>
      <c r="E1797" s="223" t="s">
        <v>1087</v>
      </c>
      <c r="F1797" s="223" t="s">
        <v>1090</v>
      </c>
      <c r="G1797" s="223" t="s">
        <v>1219</v>
      </c>
    </row>
    <row r="1798" spans="1:7" x14ac:dyDescent="0.3">
      <c r="A1798" s="223">
        <v>1797</v>
      </c>
      <c r="B1798" s="223" t="s">
        <v>1154</v>
      </c>
      <c r="C1798" s="223" t="s">
        <v>1225</v>
      </c>
      <c r="D1798" s="223" t="s">
        <v>1221</v>
      </c>
      <c r="E1798" s="223" t="s">
        <v>21</v>
      </c>
      <c r="F1798" s="223" t="s">
        <v>1093</v>
      </c>
      <c r="G1798" s="223" t="s">
        <v>1219</v>
      </c>
    </row>
    <row r="1799" spans="1:7" x14ac:dyDescent="0.3">
      <c r="A1799" s="223">
        <v>1798</v>
      </c>
      <c r="B1799" s="223" t="s">
        <v>1154</v>
      </c>
      <c r="C1799" s="223" t="s">
        <v>1225</v>
      </c>
      <c r="D1799" s="223" t="s">
        <v>1221</v>
      </c>
      <c r="E1799" s="223" t="s">
        <v>21</v>
      </c>
      <c r="F1799" s="223" t="s">
        <v>27</v>
      </c>
      <c r="G1799" s="223" t="s">
        <v>1219</v>
      </c>
    </row>
    <row r="1800" spans="1:7" x14ac:dyDescent="0.3">
      <c r="A1800" s="223">
        <v>1799</v>
      </c>
      <c r="B1800" s="223" t="s">
        <v>1154</v>
      </c>
      <c r="C1800" s="223" t="s">
        <v>1225</v>
      </c>
      <c r="D1800" s="223" t="s">
        <v>1221</v>
      </c>
      <c r="E1800" s="223" t="s">
        <v>21</v>
      </c>
      <c r="F1800" s="223" t="s">
        <v>1096</v>
      </c>
      <c r="G1800" s="223" t="s">
        <v>1219</v>
      </c>
    </row>
    <row r="1801" spans="1:7" x14ac:dyDescent="0.3">
      <c r="A1801" s="223">
        <v>1800</v>
      </c>
      <c r="B1801" s="223" t="s">
        <v>1154</v>
      </c>
      <c r="C1801" s="223" t="s">
        <v>1225</v>
      </c>
      <c r="D1801" s="223" t="s">
        <v>1221</v>
      </c>
      <c r="E1801" s="223" t="s">
        <v>21</v>
      </c>
      <c r="F1801" s="223" t="s">
        <v>1090</v>
      </c>
      <c r="G1801" s="223" t="s">
        <v>1219</v>
      </c>
    </row>
    <row r="1802" spans="1:7" x14ac:dyDescent="0.3">
      <c r="A1802" s="223">
        <v>1801</v>
      </c>
      <c r="B1802" s="223" t="s">
        <v>1154</v>
      </c>
      <c r="C1802" s="223" t="s">
        <v>1225</v>
      </c>
      <c r="D1802" s="223" t="s">
        <v>1222</v>
      </c>
      <c r="E1802" s="223" t="s">
        <v>1087</v>
      </c>
      <c r="F1802" s="223" t="s">
        <v>1093</v>
      </c>
      <c r="G1802" s="223" t="s">
        <v>1219</v>
      </c>
    </row>
    <row r="1803" spans="1:7" x14ac:dyDescent="0.3">
      <c r="A1803" s="223">
        <v>1802</v>
      </c>
      <c r="B1803" s="223" t="s">
        <v>1154</v>
      </c>
      <c r="C1803" s="223" t="s">
        <v>1225</v>
      </c>
      <c r="D1803" s="223" t="s">
        <v>1222</v>
      </c>
      <c r="E1803" s="223" t="s">
        <v>1087</v>
      </c>
      <c r="F1803" s="223" t="s">
        <v>27</v>
      </c>
      <c r="G1803" s="223" t="s">
        <v>1219</v>
      </c>
    </row>
    <row r="1804" spans="1:7" x14ac:dyDescent="0.3">
      <c r="A1804" s="223">
        <v>1803</v>
      </c>
      <c r="B1804" s="223" t="s">
        <v>1154</v>
      </c>
      <c r="C1804" s="223" t="s">
        <v>1225</v>
      </c>
      <c r="D1804" s="223" t="s">
        <v>1222</v>
      </c>
      <c r="E1804" s="223" t="s">
        <v>1087</v>
      </c>
      <c r="F1804" s="223" t="s">
        <v>1096</v>
      </c>
      <c r="G1804" s="223" t="s">
        <v>1219</v>
      </c>
    </row>
    <row r="1805" spans="1:7" x14ac:dyDescent="0.3">
      <c r="A1805" s="223">
        <v>1804</v>
      </c>
      <c r="B1805" s="223" t="s">
        <v>1154</v>
      </c>
      <c r="C1805" s="223" t="s">
        <v>1225</v>
      </c>
      <c r="D1805" s="223" t="s">
        <v>1222</v>
      </c>
      <c r="E1805" s="223" t="s">
        <v>1087</v>
      </c>
      <c r="F1805" s="223" t="s">
        <v>1090</v>
      </c>
      <c r="G1805" s="223" t="s">
        <v>1219</v>
      </c>
    </row>
    <row r="1806" spans="1:7" x14ac:dyDescent="0.3">
      <c r="A1806" s="223">
        <v>1805</v>
      </c>
      <c r="B1806" s="223" t="s">
        <v>1154</v>
      </c>
      <c r="C1806" s="223" t="s">
        <v>1225</v>
      </c>
      <c r="D1806" s="223" t="s">
        <v>1222</v>
      </c>
      <c r="E1806" s="223" t="s">
        <v>21</v>
      </c>
      <c r="F1806" s="223" t="s">
        <v>1093</v>
      </c>
      <c r="G1806" s="223" t="s">
        <v>1219</v>
      </c>
    </row>
    <row r="1807" spans="1:7" x14ac:dyDescent="0.3">
      <c r="A1807" s="223">
        <v>1806</v>
      </c>
      <c r="B1807" s="223" t="s">
        <v>1154</v>
      </c>
      <c r="C1807" s="223" t="s">
        <v>1225</v>
      </c>
      <c r="D1807" s="223" t="s">
        <v>1222</v>
      </c>
      <c r="E1807" s="223" t="s">
        <v>21</v>
      </c>
      <c r="F1807" s="223" t="s">
        <v>27</v>
      </c>
      <c r="G1807" s="223" t="s">
        <v>1219</v>
      </c>
    </row>
    <row r="1808" spans="1:7" x14ac:dyDescent="0.3">
      <c r="A1808" s="223">
        <v>1807</v>
      </c>
      <c r="B1808" s="223" t="s">
        <v>1154</v>
      </c>
      <c r="C1808" s="223" t="s">
        <v>1225</v>
      </c>
      <c r="D1808" s="223" t="s">
        <v>1222</v>
      </c>
      <c r="E1808" s="223" t="s">
        <v>21</v>
      </c>
      <c r="F1808" s="223" t="s">
        <v>1096</v>
      </c>
      <c r="G1808" s="223" t="s">
        <v>1219</v>
      </c>
    </row>
    <row r="1809" spans="1:7" x14ac:dyDescent="0.3">
      <c r="A1809" s="223">
        <v>1808</v>
      </c>
      <c r="B1809" s="223" t="s">
        <v>1154</v>
      </c>
      <c r="C1809" s="223" t="s">
        <v>1225</v>
      </c>
      <c r="D1809" s="223" t="s">
        <v>1222</v>
      </c>
      <c r="E1809" s="223" t="s">
        <v>21</v>
      </c>
      <c r="F1809" s="223" t="s">
        <v>1090</v>
      </c>
      <c r="G1809" s="223" t="s">
        <v>1219</v>
      </c>
    </row>
    <row r="1810" spans="1:7" x14ac:dyDescent="0.3">
      <c r="A1810" s="223">
        <v>1809</v>
      </c>
      <c r="B1810" s="223" t="s">
        <v>1154</v>
      </c>
      <c r="C1810" s="223" t="s">
        <v>1225</v>
      </c>
      <c r="D1810" s="223" t="s">
        <v>1223</v>
      </c>
      <c r="E1810" s="223" t="s">
        <v>1087</v>
      </c>
      <c r="F1810" s="223" t="s">
        <v>1093</v>
      </c>
      <c r="G1810" s="223" t="s">
        <v>1219</v>
      </c>
    </row>
    <row r="1811" spans="1:7" x14ac:dyDescent="0.3">
      <c r="A1811" s="223">
        <v>1810</v>
      </c>
      <c r="B1811" s="223" t="s">
        <v>1154</v>
      </c>
      <c r="C1811" s="223" t="s">
        <v>1225</v>
      </c>
      <c r="D1811" s="223" t="s">
        <v>1223</v>
      </c>
      <c r="E1811" s="223" t="s">
        <v>1087</v>
      </c>
      <c r="F1811" s="223" t="s">
        <v>27</v>
      </c>
      <c r="G1811" s="223" t="s">
        <v>1219</v>
      </c>
    </row>
    <row r="1812" spans="1:7" x14ac:dyDescent="0.3">
      <c r="A1812" s="223">
        <v>1811</v>
      </c>
      <c r="B1812" s="223" t="s">
        <v>1154</v>
      </c>
      <c r="C1812" s="223" t="s">
        <v>1225</v>
      </c>
      <c r="D1812" s="223" t="s">
        <v>1223</v>
      </c>
      <c r="E1812" s="223" t="s">
        <v>1087</v>
      </c>
      <c r="F1812" s="223" t="s">
        <v>1096</v>
      </c>
      <c r="G1812" s="223" t="s">
        <v>1219</v>
      </c>
    </row>
    <row r="1813" spans="1:7" x14ac:dyDescent="0.3">
      <c r="A1813" s="223">
        <v>1812</v>
      </c>
      <c r="B1813" s="223" t="s">
        <v>1154</v>
      </c>
      <c r="C1813" s="223" t="s">
        <v>1225</v>
      </c>
      <c r="D1813" s="223" t="s">
        <v>1223</v>
      </c>
      <c r="E1813" s="223" t="s">
        <v>1087</v>
      </c>
      <c r="F1813" s="223" t="s">
        <v>1090</v>
      </c>
      <c r="G1813" s="223" t="s">
        <v>1219</v>
      </c>
    </row>
    <row r="1814" spans="1:7" x14ac:dyDescent="0.3">
      <c r="A1814" s="223">
        <v>1813</v>
      </c>
      <c r="B1814" s="223" t="s">
        <v>1154</v>
      </c>
      <c r="C1814" s="223" t="s">
        <v>1225</v>
      </c>
      <c r="D1814" s="223" t="s">
        <v>1223</v>
      </c>
      <c r="E1814" s="223" t="s">
        <v>21</v>
      </c>
      <c r="F1814" s="223" t="s">
        <v>1093</v>
      </c>
      <c r="G1814" s="223" t="s">
        <v>1219</v>
      </c>
    </row>
    <row r="1815" spans="1:7" x14ac:dyDescent="0.3">
      <c r="A1815" s="223">
        <v>1814</v>
      </c>
      <c r="B1815" s="223" t="s">
        <v>1154</v>
      </c>
      <c r="C1815" s="223" t="s">
        <v>1225</v>
      </c>
      <c r="D1815" s="223" t="s">
        <v>1223</v>
      </c>
      <c r="E1815" s="223" t="s">
        <v>21</v>
      </c>
      <c r="F1815" s="223" t="s">
        <v>27</v>
      </c>
      <c r="G1815" s="223" t="s">
        <v>1219</v>
      </c>
    </row>
    <row r="1816" spans="1:7" x14ac:dyDescent="0.3">
      <c r="A1816" s="223">
        <v>1815</v>
      </c>
      <c r="B1816" s="223" t="s">
        <v>1154</v>
      </c>
      <c r="C1816" s="223" t="s">
        <v>1225</v>
      </c>
      <c r="D1816" s="223" t="s">
        <v>1223</v>
      </c>
      <c r="E1816" s="223" t="s">
        <v>21</v>
      </c>
      <c r="F1816" s="223" t="s">
        <v>1096</v>
      </c>
      <c r="G1816" s="223" t="s">
        <v>1219</v>
      </c>
    </row>
    <row r="1817" spans="1:7" x14ac:dyDescent="0.3">
      <c r="A1817" s="223">
        <v>1816</v>
      </c>
      <c r="B1817" s="223" t="s">
        <v>1154</v>
      </c>
      <c r="C1817" s="223" t="s">
        <v>1225</v>
      </c>
      <c r="D1817" s="223" t="s">
        <v>1223</v>
      </c>
      <c r="E1817" s="223" t="s">
        <v>21</v>
      </c>
      <c r="F1817" s="223" t="s">
        <v>1090</v>
      </c>
      <c r="G1817" s="223" t="s">
        <v>1219</v>
      </c>
    </row>
    <row r="1818" spans="1:7" x14ac:dyDescent="0.3">
      <c r="A1818" s="223">
        <v>1817</v>
      </c>
      <c r="B1818" s="223" t="s">
        <v>1154</v>
      </c>
      <c r="C1818" s="223" t="s">
        <v>1225</v>
      </c>
      <c r="D1818" s="223" t="s">
        <v>12</v>
      </c>
      <c r="E1818" s="223" t="s">
        <v>1087</v>
      </c>
      <c r="F1818" s="223" t="s">
        <v>1093</v>
      </c>
      <c r="G1818" s="223" t="s">
        <v>1219</v>
      </c>
    </row>
    <row r="1819" spans="1:7" x14ac:dyDescent="0.3">
      <c r="A1819" s="223">
        <v>1818</v>
      </c>
      <c r="B1819" s="223" t="s">
        <v>1154</v>
      </c>
      <c r="C1819" s="223" t="s">
        <v>1225</v>
      </c>
      <c r="D1819" s="223" t="s">
        <v>12</v>
      </c>
      <c r="E1819" s="223" t="s">
        <v>1087</v>
      </c>
      <c r="F1819" s="223" t="s">
        <v>27</v>
      </c>
      <c r="G1819" s="223" t="s">
        <v>1219</v>
      </c>
    </row>
    <row r="1820" spans="1:7" x14ac:dyDescent="0.3">
      <c r="A1820" s="223">
        <v>1819</v>
      </c>
      <c r="B1820" s="223" t="s">
        <v>1154</v>
      </c>
      <c r="C1820" s="223" t="s">
        <v>1225</v>
      </c>
      <c r="D1820" s="223" t="s">
        <v>12</v>
      </c>
      <c r="E1820" s="223" t="s">
        <v>1087</v>
      </c>
      <c r="F1820" s="223" t="s">
        <v>1096</v>
      </c>
      <c r="G1820" s="223" t="s">
        <v>1219</v>
      </c>
    </row>
    <row r="1821" spans="1:7" x14ac:dyDescent="0.3">
      <c r="A1821" s="223">
        <v>1820</v>
      </c>
      <c r="B1821" s="223" t="s">
        <v>1154</v>
      </c>
      <c r="C1821" s="223" t="s">
        <v>1225</v>
      </c>
      <c r="D1821" s="223" t="s">
        <v>12</v>
      </c>
      <c r="E1821" s="223" t="s">
        <v>1087</v>
      </c>
      <c r="F1821" s="223" t="s">
        <v>1090</v>
      </c>
      <c r="G1821" s="223" t="s">
        <v>1219</v>
      </c>
    </row>
    <row r="1822" spans="1:7" x14ac:dyDescent="0.3">
      <c r="A1822" s="223">
        <v>1821</v>
      </c>
      <c r="B1822" s="223" t="s">
        <v>1154</v>
      </c>
      <c r="C1822" s="223" t="s">
        <v>1225</v>
      </c>
      <c r="D1822" s="223" t="s">
        <v>12</v>
      </c>
      <c r="E1822" s="223" t="s">
        <v>21</v>
      </c>
      <c r="F1822" s="223" t="s">
        <v>1093</v>
      </c>
      <c r="G1822" s="223" t="s">
        <v>1219</v>
      </c>
    </row>
    <row r="1823" spans="1:7" x14ac:dyDescent="0.3">
      <c r="A1823" s="223">
        <v>1822</v>
      </c>
      <c r="B1823" s="223" t="s">
        <v>1154</v>
      </c>
      <c r="C1823" s="223" t="s">
        <v>1225</v>
      </c>
      <c r="D1823" s="223" t="s">
        <v>12</v>
      </c>
      <c r="E1823" s="223" t="s">
        <v>21</v>
      </c>
      <c r="F1823" s="223" t="s">
        <v>27</v>
      </c>
      <c r="G1823" s="223" t="s">
        <v>1219</v>
      </c>
    </row>
    <row r="1824" spans="1:7" x14ac:dyDescent="0.3">
      <c r="A1824" s="223">
        <v>1823</v>
      </c>
      <c r="B1824" s="223" t="s">
        <v>1154</v>
      </c>
      <c r="C1824" s="223" t="s">
        <v>1225</v>
      </c>
      <c r="D1824" s="223" t="s">
        <v>12</v>
      </c>
      <c r="E1824" s="223" t="s">
        <v>21</v>
      </c>
      <c r="F1824" s="223" t="s">
        <v>1096</v>
      </c>
      <c r="G1824" s="223" t="s">
        <v>1219</v>
      </c>
    </row>
    <row r="1825" spans="1:7" x14ac:dyDescent="0.3">
      <c r="A1825" s="223">
        <v>1824</v>
      </c>
      <c r="B1825" s="223" t="s">
        <v>1154</v>
      </c>
      <c r="C1825" s="223" t="s">
        <v>1225</v>
      </c>
      <c r="D1825" s="223" t="s">
        <v>12</v>
      </c>
      <c r="E1825" s="223" t="s">
        <v>21</v>
      </c>
      <c r="F1825" s="223" t="s">
        <v>1090</v>
      </c>
      <c r="G1825" s="223" t="s">
        <v>1219</v>
      </c>
    </row>
    <row r="1826" spans="1:7" x14ac:dyDescent="0.3">
      <c r="A1826" s="223">
        <v>1825</v>
      </c>
      <c r="B1826" s="223" t="s">
        <v>1154</v>
      </c>
      <c r="C1826" s="223" t="s">
        <v>1226</v>
      </c>
      <c r="D1826" s="223" t="s">
        <v>1218</v>
      </c>
      <c r="E1826" s="223" t="s">
        <v>1087</v>
      </c>
      <c r="F1826" s="223" t="s">
        <v>1093</v>
      </c>
      <c r="G1826" s="223" t="s">
        <v>1219</v>
      </c>
    </row>
    <row r="1827" spans="1:7" x14ac:dyDescent="0.3">
      <c r="A1827" s="223">
        <v>1826</v>
      </c>
      <c r="B1827" s="223" t="s">
        <v>1154</v>
      </c>
      <c r="C1827" s="223" t="s">
        <v>1226</v>
      </c>
      <c r="D1827" s="223" t="s">
        <v>1218</v>
      </c>
      <c r="E1827" s="223" t="s">
        <v>1087</v>
      </c>
      <c r="F1827" s="223" t="s">
        <v>27</v>
      </c>
      <c r="G1827" s="223" t="s">
        <v>1219</v>
      </c>
    </row>
    <row r="1828" spans="1:7" x14ac:dyDescent="0.3">
      <c r="A1828" s="223">
        <v>1827</v>
      </c>
      <c r="B1828" s="223" t="s">
        <v>1154</v>
      </c>
      <c r="C1828" s="223" t="s">
        <v>1226</v>
      </c>
      <c r="D1828" s="223" t="s">
        <v>1218</v>
      </c>
      <c r="E1828" s="223" t="s">
        <v>1087</v>
      </c>
      <c r="F1828" s="223" t="s">
        <v>1096</v>
      </c>
      <c r="G1828" s="223" t="s">
        <v>1219</v>
      </c>
    </row>
    <row r="1829" spans="1:7" x14ac:dyDescent="0.3">
      <c r="A1829" s="223">
        <v>1828</v>
      </c>
      <c r="B1829" s="223" t="s">
        <v>1154</v>
      </c>
      <c r="C1829" s="223" t="s">
        <v>1226</v>
      </c>
      <c r="D1829" s="223" t="s">
        <v>1218</v>
      </c>
      <c r="E1829" s="223" t="s">
        <v>1087</v>
      </c>
      <c r="F1829" s="223" t="s">
        <v>1090</v>
      </c>
      <c r="G1829" s="223" t="s">
        <v>1219</v>
      </c>
    </row>
    <row r="1830" spans="1:7" x14ac:dyDescent="0.3">
      <c r="A1830" s="223">
        <v>1829</v>
      </c>
      <c r="B1830" s="223" t="s">
        <v>1154</v>
      </c>
      <c r="C1830" s="223" t="s">
        <v>1226</v>
      </c>
      <c r="D1830" s="223" t="s">
        <v>1218</v>
      </c>
      <c r="E1830" s="223" t="s">
        <v>21</v>
      </c>
      <c r="F1830" s="223" t="s">
        <v>1093</v>
      </c>
      <c r="G1830" s="223" t="s">
        <v>1219</v>
      </c>
    </row>
    <row r="1831" spans="1:7" x14ac:dyDescent="0.3">
      <c r="A1831" s="223">
        <v>1830</v>
      </c>
      <c r="B1831" s="223" t="s">
        <v>1154</v>
      </c>
      <c r="C1831" s="223" t="s">
        <v>1226</v>
      </c>
      <c r="D1831" s="223" t="s">
        <v>1218</v>
      </c>
      <c r="E1831" s="223" t="s">
        <v>21</v>
      </c>
      <c r="F1831" s="223" t="s">
        <v>27</v>
      </c>
      <c r="G1831" s="223" t="s">
        <v>1219</v>
      </c>
    </row>
    <row r="1832" spans="1:7" x14ac:dyDescent="0.3">
      <c r="A1832" s="223">
        <v>1831</v>
      </c>
      <c r="B1832" s="223" t="s">
        <v>1154</v>
      </c>
      <c r="C1832" s="223" t="s">
        <v>1226</v>
      </c>
      <c r="D1832" s="223" t="s">
        <v>1218</v>
      </c>
      <c r="E1832" s="223" t="s">
        <v>21</v>
      </c>
      <c r="F1832" s="223" t="s">
        <v>1096</v>
      </c>
      <c r="G1832" s="223" t="s">
        <v>1219</v>
      </c>
    </row>
    <row r="1833" spans="1:7" x14ac:dyDescent="0.3">
      <c r="A1833" s="223">
        <v>1832</v>
      </c>
      <c r="B1833" s="223" t="s">
        <v>1154</v>
      </c>
      <c r="C1833" s="223" t="s">
        <v>1226</v>
      </c>
      <c r="D1833" s="223" t="s">
        <v>1218</v>
      </c>
      <c r="E1833" s="223" t="s">
        <v>21</v>
      </c>
      <c r="F1833" s="223" t="s">
        <v>1090</v>
      </c>
      <c r="G1833" s="223" t="s">
        <v>1219</v>
      </c>
    </row>
    <row r="1834" spans="1:7" x14ac:dyDescent="0.3">
      <c r="A1834" s="223">
        <v>1833</v>
      </c>
      <c r="B1834" s="223" t="s">
        <v>1154</v>
      </c>
      <c r="C1834" s="223" t="s">
        <v>1226</v>
      </c>
      <c r="D1834" s="223" t="s">
        <v>1220</v>
      </c>
      <c r="E1834" s="223" t="s">
        <v>1087</v>
      </c>
      <c r="F1834" s="223" t="s">
        <v>1093</v>
      </c>
      <c r="G1834" s="223" t="s">
        <v>1219</v>
      </c>
    </row>
    <row r="1835" spans="1:7" x14ac:dyDescent="0.3">
      <c r="A1835" s="223">
        <v>1834</v>
      </c>
      <c r="B1835" s="223" t="s">
        <v>1154</v>
      </c>
      <c r="C1835" s="223" t="s">
        <v>1226</v>
      </c>
      <c r="D1835" s="223" t="s">
        <v>1220</v>
      </c>
      <c r="E1835" s="223" t="s">
        <v>1087</v>
      </c>
      <c r="F1835" s="223" t="s">
        <v>27</v>
      </c>
      <c r="G1835" s="223" t="s">
        <v>1219</v>
      </c>
    </row>
    <row r="1836" spans="1:7" x14ac:dyDescent="0.3">
      <c r="A1836" s="223">
        <v>1835</v>
      </c>
      <c r="B1836" s="223" t="s">
        <v>1154</v>
      </c>
      <c r="C1836" s="223" t="s">
        <v>1226</v>
      </c>
      <c r="D1836" s="223" t="s">
        <v>1220</v>
      </c>
      <c r="E1836" s="223" t="s">
        <v>1087</v>
      </c>
      <c r="F1836" s="223" t="s">
        <v>1096</v>
      </c>
      <c r="G1836" s="223" t="s">
        <v>1219</v>
      </c>
    </row>
    <row r="1837" spans="1:7" x14ac:dyDescent="0.3">
      <c r="A1837" s="223">
        <v>1836</v>
      </c>
      <c r="B1837" s="223" t="s">
        <v>1154</v>
      </c>
      <c r="C1837" s="223" t="s">
        <v>1226</v>
      </c>
      <c r="D1837" s="223" t="s">
        <v>1220</v>
      </c>
      <c r="E1837" s="223" t="s">
        <v>1087</v>
      </c>
      <c r="F1837" s="223" t="s">
        <v>1090</v>
      </c>
      <c r="G1837" s="223" t="s">
        <v>1219</v>
      </c>
    </row>
    <row r="1838" spans="1:7" x14ac:dyDescent="0.3">
      <c r="A1838" s="223">
        <v>1837</v>
      </c>
      <c r="B1838" s="223" t="s">
        <v>1154</v>
      </c>
      <c r="C1838" s="223" t="s">
        <v>1226</v>
      </c>
      <c r="D1838" s="223" t="s">
        <v>1220</v>
      </c>
      <c r="E1838" s="223" t="s">
        <v>21</v>
      </c>
      <c r="F1838" s="223" t="s">
        <v>1093</v>
      </c>
      <c r="G1838" s="223" t="s">
        <v>1219</v>
      </c>
    </row>
    <row r="1839" spans="1:7" x14ac:dyDescent="0.3">
      <c r="A1839" s="223">
        <v>1838</v>
      </c>
      <c r="B1839" s="223" t="s">
        <v>1154</v>
      </c>
      <c r="C1839" s="223" t="s">
        <v>1226</v>
      </c>
      <c r="D1839" s="223" t="s">
        <v>1220</v>
      </c>
      <c r="E1839" s="223" t="s">
        <v>21</v>
      </c>
      <c r="F1839" s="223" t="s">
        <v>27</v>
      </c>
      <c r="G1839" s="223" t="s">
        <v>1219</v>
      </c>
    </row>
    <row r="1840" spans="1:7" x14ac:dyDescent="0.3">
      <c r="A1840" s="223">
        <v>1839</v>
      </c>
      <c r="B1840" s="223" t="s">
        <v>1154</v>
      </c>
      <c r="C1840" s="223" t="s">
        <v>1226</v>
      </c>
      <c r="D1840" s="223" t="s">
        <v>1220</v>
      </c>
      <c r="E1840" s="223" t="s">
        <v>21</v>
      </c>
      <c r="F1840" s="223" t="s">
        <v>1096</v>
      </c>
      <c r="G1840" s="223" t="s">
        <v>1219</v>
      </c>
    </row>
    <row r="1841" spans="1:7" x14ac:dyDescent="0.3">
      <c r="A1841" s="223">
        <v>1840</v>
      </c>
      <c r="B1841" s="223" t="s">
        <v>1154</v>
      </c>
      <c r="C1841" s="223" t="s">
        <v>1226</v>
      </c>
      <c r="D1841" s="223" t="s">
        <v>1220</v>
      </c>
      <c r="E1841" s="223" t="s">
        <v>21</v>
      </c>
      <c r="F1841" s="223" t="s">
        <v>1090</v>
      </c>
      <c r="G1841" s="223" t="s">
        <v>1219</v>
      </c>
    </row>
    <row r="1842" spans="1:7" x14ac:dyDescent="0.3">
      <c r="A1842" s="223">
        <v>1841</v>
      </c>
      <c r="B1842" s="223" t="s">
        <v>1154</v>
      </c>
      <c r="C1842" s="223" t="s">
        <v>1226</v>
      </c>
      <c r="D1842" s="223" t="s">
        <v>1221</v>
      </c>
      <c r="E1842" s="223" t="s">
        <v>1087</v>
      </c>
      <c r="F1842" s="223" t="s">
        <v>1093</v>
      </c>
      <c r="G1842" s="223" t="s">
        <v>1219</v>
      </c>
    </row>
    <row r="1843" spans="1:7" x14ac:dyDescent="0.3">
      <c r="A1843" s="223">
        <v>1842</v>
      </c>
      <c r="B1843" s="223" t="s">
        <v>1154</v>
      </c>
      <c r="C1843" s="223" t="s">
        <v>1226</v>
      </c>
      <c r="D1843" s="223" t="s">
        <v>1221</v>
      </c>
      <c r="E1843" s="223" t="s">
        <v>1087</v>
      </c>
      <c r="F1843" s="223" t="s">
        <v>27</v>
      </c>
      <c r="G1843" s="223" t="s">
        <v>1219</v>
      </c>
    </row>
    <row r="1844" spans="1:7" x14ac:dyDescent="0.3">
      <c r="A1844" s="223">
        <v>1843</v>
      </c>
      <c r="B1844" s="223" t="s">
        <v>1154</v>
      </c>
      <c r="C1844" s="223" t="s">
        <v>1226</v>
      </c>
      <c r="D1844" s="223" t="s">
        <v>1221</v>
      </c>
      <c r="E1844" s="223" t="s">
        <v>1087</v>
      </c>
      <c r="F1844" s="223" t="s">
        <v>1096</v>
      </c>
      <c r="G1844" s="223" t="s">
        <v>1219</v>
      </c>
    </row>
    <row r="1845" spans="1:7" x14ac:dyDescent="0.3">
      <c r="A1845" s="223">
        <v>1844</v>
      </c>
      <c r="B1845" s="223" t="s">
        <v>1154</v>
      </c>
      <c r="C1845" s="223" t="s">
        <v>1226</v>
      </c>
      <c r="D1845" s="223" t="s">
        <v>1221</v>
      </c>
      <c r="E1845" s="223" t="s">
        <v>1087</v>
      </c>
      <c r="F1845" s="223" t="s">
        <v>1090</v>
      </c>
      <c r="G1845" s="223" t="s">
        <v>1219</v>
      </c>
    </row>
    <row r="1846" spans="1:7" x14ac:dyDescent="0.3">
      <c r="A1846" s="223">
        <v>1845</v>
      </c>
      <c r="B1846" s="223" t="s">
        <v>1154</v>
      </c>
      <c r="C1846" s="223" t="s">
        <v>1226</v>
      </c>
      <c r="D1846" s="223" t="s">
        <v>1221</v>
      </c>
      <c r="E1846" s="223" t="s">
        <v>21</v>
      </c>
      <c r="F1846" s="223" t="s">
        <v>1093</v>
      </c>
      <c r="G1846" s="223" t="s">
        <v>1219</v>
      </c>
    </row>
    <row r="1847" spans="1:7" x14ac:dyDescent="0.3">
      <c r="A1847" s="223">
        <v>1846</v>
      </c>
      <c r="B1847" s="223" t="s">
        <v>1154</v>
      </c>
      <c r="C1847" s="223" t="s">
        <v>1226</v>
      </c>
      <c r="D1847" s="223" t="s">
        <v>1221</v>
      </c>
      <c r="E1847" s="223" t="s">
        <v>21</v>
      </c>
      <c r="F1847" s="223" t="s">
        <v>27</v>
      </c>
      <c r="G1847" s="223" t="s">
        <v>1219</v>
      </c>
    </row>
    <row r="1848" spans="1:7" x14ac:dyDescent="0.3">
      <c r="A1848" s="223">
        <v>1847</v>
      </c>
      <c r="B1848" s="223" t="s">
        <v>1154</v>
      </c>
      <c r="C1848" s="223" t="s">
        <v>1226</v>
      </c>
      <c r="D1848" s="223" t="s">
        <v>1221</v>
      </c>
      <c r="E1848" s="223" t="s">
        <v>21</v>
      </c>
      <c r="F1848" s="223" t="s">
        <v>1096</v>
      </c>
      <c r="G1848" s="223" t="s">
        <v>1219</v>
      </c>
    </row>
    <row r="1849" spans="1:7" x14ac:dyDescent="0.3">
      <c r="A1849" s="223">
        <v>1848</v>
      </c>
      <c r="B1849" s="223" t="s">
        <v>1154</v>
      </c>
      <c r="C1849" s="223" t="s">
        <v>1226</v>
      </c>
      <c r="D1849" s="223" t="s">
        <v>1221</v>
      </c>
      <c r="E1849" s="223" t="s">
        <v>21</v>
      </c>
      <c r="F1849" s="223" t="s">
        <v>1090</v>
      </c>
      <c r="G1849" s="223" t="s">
        <v>1219</v>
      </c>
    </row>
    <row r="1850" spans="1:7" x14ac:dyDescent="0.3">
      <c r="A1850" s="223">
        <v>1849</v>
      </c>
      <c r="B1850" s="223" t="s">
        <v>1154</v>
      </c>
      <c r="C1850" s="223" t="s">
        <v>1226</v>
      </c>
      <c r="D1850" s="223" t="s">
        <v>1222</v>
      </c>
      <c r="E1850" s="223" t="s">
        <v>1087</v>
      </c>
      <c r="F1850" s="223" t="s">
        <v>1093</v>
      </c>
      <c r="G1850" s="223" t="s">
        <v>1219</v>
      </c>
    </row>
    <row r="1851" spans="1:7" x14ac:dyDescent="0.3">
      <c r="A1851" s="223">
        <v>1850</v>
      </c>
      <c r="B1851" s="223" t="s">
        <v>1154</v>
      </c>
      <c r="C1851" s="223" t="s">
        <v>1226</v>
      </c>
      <c r="D1851" s="223" t="s">
        <v>1222</v>
      </c>
      <c r="E1851" s="223" t="s">
        <v>1087</v>
      </c>
      <c r="F1851" s="223" t="s">
        <v>27</v>
      </c>
      <c r="G1851" s="223" t="s">
        <v>1219</v>
      </c>
    </row>
    <row r="1852" spans="1:7" x14ac:dyDescent="0.3">
      <c r="A1852" s="223">
        <v>1851</v>
      </c>
      <c r="B1852" s="223" t="s">
        <v>1154</v>
      </c>
      <c r="C1852" s="223" t="s">
        <v>1226</v>
      </c>
      <c r="D1852" s="223" t="s">
        <v>1222</v>
      </c>
      <c r="E1852" s="223" t="s">
        <v>1087</v>
      </c>
      <c r="F1852" s="223" t="s">
        <v>1096</v>
      </c>
      <c r="G1852" s="223" t="s">
        <v>1219</v>
      </c>
    </row>
    <row r="1853" spans="1:7" x14ac:dyDescent="0.3">
      <c r="A1853" s="223">
        <v>1852</v>
      </c>
      <c r="B1853" s="223" t="s">
        <v>1154</v>
      </c>
      <c r="C1853" s="223" t="s">
        <v>1226</v>
      </c>
      <c r="D1853" s="223" t="s">
        <v>1222</v>
      </c>
      <c r="E1853" s="223" t="s">
        <v>1087</v>
      </c>
      <c r="F1853" s="223" t="s">
        <v>1090</v>
      </c>
      <c r="G1853" s="223" t="s">
        <v>1219</v>
      </c>
    </row>
    <row r="1854" spans="1:7" x14ac:dyDescent="0.3">
      <c r="A1854" s="223">
        <v>1853</v>
      </c>
      <c r="B1854" s="223" t="s">
        <v>1154</v>
      </c>
      <c r="C1854" s="223" t="s">
        <v>1226</v>
      </c>
      <c r="D1854" s="223" t="s">
        <v>1222</v>
      </c>
      <c r="E1854" s="223" t="s">
        <v>21</v>
      </c>
      <c r="F1854" s="223" t="s">
        <v>1093</v>
      </c>
      <c r="G1854" s="223" t="s">
        <v>1219</v>
      </c>
    </row>
    <row r="1855" spans="1:7" x14ac:dyDescent="0.3">
      <c r="A1855" s="223">
        <v>1854</v>
      </c>
      <c r="B1855" s="223" t="s">
        <v>1154</v>
      </c>
      <c r="C1855" s="223" t="s">
        <v>1226</v>
      </c>
      <c r="D1855" s="223" t="s">
        <v>1222</v>
      </c>
      <c r="E1855" s="223" t="s">
        <v>21</v>
      </c>
      <c r="F1855" s="223" t="s">
        <v>27</v>
      </c>
      <c r="G1855" s="223" t="s">
        <v>1219</v>
      </c>
    </row>
    <row r="1856" spans="1:7" x14ac:dyDescent="0.3">
      <c r="A1856" s="223">
        <v>1855</v>
      </c>
      <c r="B1856" s="223" t="s">
        <v>1154</v>
      </c>
      <c r="C1856" s="223" t="s">
        <v>1226</v>
      </c>
      <c r="D1856" s="223" t="s">
        <v>1222</v>
      </c>
      <c r="E1856" s="223" t="s">
        <v>21</v>
      </c>
      <c r="F1856" s="223" t="s">
        <v>1096</v>
      </c>
      <c r="G1856" s="223" t="s">
        <v>1219</v>
      </c>
    </row>
    <row r="1857" spans="1:7" x14ac:dyDescent="0.3">
      <c r="A1857" s="223">
        <v>1856</v>
      </c>
      <c r="B1857" s="223" t="s">
        <v>1154</v>
      </c>
      <c r="C1857" s="223" t="s">
        <v>1226</v>
      </c>
      <c r="D1857" s="223" t="s">
        <v>1222</v>
      </c>
      <c r="E1857" s="223" t="s">
        <v>21</v>
      </c>
      <c r="F1857" s="223" t="s">
        <v>1090</v>
      </c>
      <c r="G1857" s="223" t="s">
        <v>1219</v>
      </c>
    </row>
    <row r="1858" spans="1:7" x14ac:dyDescent="0.3">
      <c r="A1858" s="223">
        <v>1857</v>
      </c>
      <c r="B1858" s="223" t="s">
        <v>1154</v>
      </c>
      <c r="C1858" s="223" t="s">
        <v>1226</v>
      </c>
      <c r="D1858" s="223" t="s">
        <v>1223</v>
      </c>
      <c r="E1858" s="223" t="s">
        <v>1087</v>
      </c>
      <c r="F1858" s="223" t="s">
        <v>1093</v>
      </c>
      <c r="G1858" s="223" t="s">
        <v>1219</v>
      </c>
    </row>
    <row r="1859" spans="1:7" x14ac:dyDescent="0.3">
      <c r="A1859" s="223">
        <v>1858</v>
      </c>
      <c r="B1859" s="223" t="s">
        <v>1154</v>
      </c>
      <c r="C1859" s="223" t="s">
        <v>1226</v>
      </c>
      <c r="D1859" s="223" t="s">
        <v>1223</v>
      </c>
      <c r="E1859" s="223" t="s">
        <v>1087</v>
      </c>
      <c r="F1859" s="223" t="s">
        <v>27</v>
      </c>
      <c r="G1859" s="223" t="s">
        <v>1219</v>
      </c>
    </row>
    <row r="1860" spans="1:7" x14ac:dyDescent="0.3">
      <c r="A1860" s="223">
        <v>1859</v>
      </c>
      <c r="B1860" s="223" t="s">
        <v>1154</v>
      </c>
      <c r="C1860" s="223" t="s">
        <v>1226</v>
      </c>
      <c r="D1860" s="223" t="s">
        <v>1223</v>
      </c>
      <c r="E1860" s="223" t="s">
        <v>1087</v>
      </c>
      <c r="F1860" s="223" t="s">
        <v>1096</v>
      </c>
      <c r="G1860" s="223" t="s">
        <v>1219</v>
      </c>
    </row>
    <row r="1861" spans="1:7" x14ac:dyDescent="0.3">
      <c r="A1861" s="223">
        <v>1860</v>
      </c>
      <c r="B1861" s="223" t="s">
        <v>1154</v>
      </c>
      <c r="C1861" s="223" t="s">
        <v>1226</v>
      </c>
      <c r="D1861" s="223" t="s">
        <v>1223</v>
      </c>
      <c r="E1861" s="223" t="s">
        <v>1087</v>
      </c>
      <c r="F1861" s="223" t="s">
        <v>1090</v>
      </c>
      <c r="G1861" s="223" t="s">
        <v>1219</v>
      </c>
    </row>
    <row r="1862" spans="1:7" x14ac:dyDescent="0.3">
      <c r="A1862" s="223">
        <v>1861</v>
      </c>
      <c r="B1862" s="223" t="s">
        <v>1154</v>
      </c>
      <c r="C1862" s="223" t="s">
        <v>1226</v>
      </c>
      <c r="D1862" s="223" t="s">
        <v>1223</v>
      </c>
      <c r="E1862" s="223" t="s">
        <v>21</v>
      </c>
      <c r="F1862" s="223" t="s">
        <v>1093</v>
      </c>
      <c r="G1862" s="223" t="s">
        <v>1219</v>
      </c>
    </row>
    <row r="1863" spans="1:7" x14ac:dyDescent="0.3">
      <c r="A1863" s="223">
        <v>1862</v>
      </c>
      <c r="B1863" s="223" t="s">
        <v>1154</v>
      </c>
      <c r="C1863" s="223" t="s">
        <v>1226</v>
      </c>
      <c r="D1863" s="223" t="s">
        <v>1223</v>
      </c>
      <c r="E1863" s="223" t="s">
        <v>21</v>
      </c>
      <c r="F1863" s="223" t="s">
        <v>27</v>
      </c>
      <c r="G1863" s="223" t="s">
        <v>1219</v>
      </c>
    </row>
    <row r="1864" spans="1:7" x14ac:dyDescent="0.3">
      <c r="A1864" s="223">
        <v>1863</v>
      </c>
      <c r="B1864" s="223" t="s">
        <v>1154</v>
      </c>
      <c r="C1864" s="223" t="s">
        <v>1226</v>
      </c>
      <c r="D1864" s="223" t="s">
        <v>1223</v>
      </c>
      <c r="E1864" s="223" t="s">
        <v>21</v>
      </c>
      <c r="F1864" s="223" t="s">
        <v>1096</v>
      </c>
      <c r="G1864" s="223" t="s">
        <v>1219</v>
      </c>
    </row>
    <row r="1865" spans="1:7" x14ac:dyDescent="0.3">
      <c r="A1865" s="223">
        <v>1864</v>
      </c>
      <c r="B1865" s="223" t="s">
        <v>1154</v>
      </c>
      <c r="C1865" s="223" t="s">
        <v>1226</v>
      </c>
      <c r="D1865" s="223" t="s">
        <v>1223</v>
      </c>
      <c r="E1865" s="223" t="s">
        <v>21</v>
      </c>
      <c r="F1865" s="223" t="s">
        <v>1090</v>
      </c>
      <c r="G1865" s="223" t="s">
        <v>1219</v>
      </c>
    </row>
    <row r="1866" spans="1:7" x14ac:dyDescent="0.3">
      <c r="A1866" s="223">
        <v>1865</v>
      </c>
      <c r="B1866" s="223" t="s">
        <v>1154</v>
      </c>
      <c r="C1866" s="223" t="s">
        <v>1226</v>
      </c>
      <c r="D1866" s="223" t="s">
        <v>12</v>
      </c>
      <c r="E1866" s="223" t="s">
        <v>1087</v>
      </c>
      <c r="F1866" s="223" t="s">
        <v>1093</v>
      </c>
      <c r="G1866" s="223" t="s">
        <v>1219</v>
      </c>
    </row>
    <row r="1867" spans="1:7" x14ac:dyDescent="0.3">
      <c r="A1867" s="223">
        <v>1866</v>
      </c>
      <c r="B1867" s="223" t="s">
        <v>1154</v>
      </c>
      <c r="C1867" s="223" t="s">
        <v>1226</v>
      </c>
      <c r="D1867" s="223" t="s">
        <v>12</v>
      </c>
      <c r="E1867" s="223" t="s">
        <v>1087</v>
      </c>
      <c r="F1867" s="223" t="s">
        <v>27</v>
      </c>
      <c r="G1867" s="223" t="s">
        <v>1219</v>
      </c>
    </row>
    <row r="1868" spans="1:7" x14ac:dyDescent="0.3">
      <c r="A1868" s="223">
        <v>1867</v>
      </c>
      <c r="B1868" s="223" t="s">
        <v>1154</v>
      </c>
      <c r="C1868" s="223" t="s">
        <v>1226</v>
      </c>
      <c r="D1868" s="223" t="s">
        <v>12</v>
      </c>
      <c r="E1868" s="223" t="s">
        <v>1087</v>
      </c>
      <c r="F1868" s="223" t="s">
        <v>1096</v>
      </c>
      <c r="G1868" s="223" t="s">
        <v>1219</v>
      </c>
    </row>
    <row r="1869" spans="1:7" x14ac:dyDescent="0.3">
      <c r="A1869" s="223">
        <v>1868</v>
      </c>
      <c r="B1869" s="223" t="s">
        <v>1154</v>
      </c>
      <c r="C1869" s="223" t="s">
        <v>1226</v>
      </c>
      <c r="D1869" s="223" t="s">
        <v>12</v>
      </c>
      <c r="E1869" s="223" t="s">
        <v>1087</v>
      </c>
      <c r="F1869" s="223" t="s">
        <v>1090</v>
      </c>
      <c r="G1869" s="223" t="s">
        <v>1219</v>
      </c>
    </row>
    <row r="1870" spans="1:7" x14ac:dyDescent="0.3">
      <c r="A1870" s="223">
        <v>1869</v>
      </c>
      <c r="B1870" s="223" t="s">
        <v>1154</v>
      </c>
      <c r="C1870" s="223" t="s">
        <v>1226</v>
      </c>
      <c r="D1870" s="223" t="s">
        <v>12</v>
      </c>
      <c r="E1870" s="223" t="s">
        <v>21</v>
      </c>
      <c r="F1870" s="223" t="s">
        <v>1093</v>
      </c>
      <c r="G1870" s="223" t="s">
        <v>1219</v>
      </c>
    </row>
    <row r="1871" spans="1:7" x14ac:dyDescent="0.3">
      <c r="A1871" s="223">
        <v>1870</v>
      </c>
      <c r="B1871" s="223" t="s">
        <v>1154</v>
      </c>
      <c r="C1871" s="223" t="s">
        <v>1226</v>
      </c>
      <c r="D1871" s="223" t="s">
        <v>12</v>
      </c>
      <c r="E1871" s="223" t="s">
        <v>21</v>
      </c>
      <c r="F1871" s="223" t="s">
        <v>27</v>
      </c>
      <c r="G1871" s="223" t="s">
        <v>1219</v>
      </c>
    </row>
    <row r="1872" spans="1:7" x14ac:dyDescent="0.3">
      <c r="A1872" s="223">
        <v>1871</v>
      </c>
      <c r="B1872" s="223" t="s">
        <v>1154</v>
      </c>
      <c r="C1872" s="223" t="s">
        <v>1226</v>
      </c>
      <c r="D1872" s="223" t="s">
        <v>12</v>
      </c>
      <c r="E1872" s="223" t="s">
        <v>21</v>
      </c>
      <c r="F1872" s="223" t="s">
        <v>1096</v>
      </c>
      <c r="G1872" s="223" t="s">
        <v>1219</v>
      </c>
    </row>
    <row r="1873" spans="1:7" x14ac:dyDescent="0.3">
      <c r="A1873" s="223">
        <v>1872</v>
      </c>
      <c r="B1873" s="223" t="s">
        <v>1154</v>
      </c>
      <c r="C1873" s="223" t="s">
        <v>1226</v>
      </c>
      <c r="D1873" s="223" t="s">
        <v>12</v>
      </c>
      <c r="E1873" s="223" t="s">
        <v>21</v>
      </c>
      <c r="F1873" s="223" t="s">
        <v>1090</v>
      </c>
      <c r="G1873" s="223" t="s">
        <v>1219</v>
      </c>
    </row>
    <row r="1874" spans="1:7" x14ac:dyDescent="0.3">
      <c r="A1874" s="223">
        <v>1873</v>
      </c>
      <c r="B1874" s="223" t="s">
        <v>1154</v>
      </c>
      <c r="C1874" s="223" t="s">
        <v>9</v>
      </c>
      <c r="D1874" s="223" t="s">
        <v>1218</v>
      </c>
      <c r="E1874" s="223" t="s">
        <v>1087</v>
      </c>
      <c r="F1874" s="223" t="s">
        <v>1093</v>
      </c>
      <c r="G1874" s="223" t="s">
        <v>1219</v>
      </c>
    </row>
    <row r="1875" spans="1:7" x14ac:dyDescent="0.3">
      <c r="A1875" s="223">
        <v>1874</v>
      </c>
      <c r="B1875" s="223" t="s">
        <v>1154</v>
      </c>
      <c r="C1875" s="223" t="s">
        <v>9</v>
      </c>
      <c r="D1875" s="223" t="s">
        <v>1218</v>
      </c>
      <c r="E1875" s="223" t="s">
        <v>1087</v>
      </c>
      <c r="F1875" s="223" t="s">
        <v>27</v>
      </c>
      <c r="G1875" s="223" t="s">
        <v>1219</v>
      </c>
    </row>
    <row r="1876" spans="1:7" x14ac:dyDescent="0.3">
      <c r="A1876" s="223">
        <v>1875</v>
      </c>
      <c r="B1876" s="223" t="s">
        <v>1154</v>
      </c>
      <c r="C1876" s="223" t="s">
        <v>9</v>
      </c>
      <c r="D1876" s="223" t="s">
        <v>1218</v>
      </c>
      <c r="E1876" s="223" t="s">
        <v>1087</v>
      </c>
      <c r="F1876" s="223" t="s">
        <v>1096</v>
      </c>
      <c r="G1876" s="223" t="s">
        <v>1219</v>
      </c>
    </row>
    <row r="1877" spans="1:7" x14ac:dyDescent="0.3">
      <c r="A1877" s="223">
        <v>1876</v>
      </c>
      <c r="B1877" s="223" t="s">
        <v>1154</v>
      </c>
      <c r="C1877" s="223" t="s">
        <v>9</v>
      </c>
      <c r="D1877" s="223" t="s">
        <v>1218</v>
      </c>
      <c r="E1877" s="223" t="s">
        <v>1087</v>
      </c>
      <c r="F1877" s="223" t="s">
        <v>1090</v>
      </c>
      <c r="G1877" s="223" t="s">
        <v>1219</v>
      </c>
    </row>
    <row r="1878" spans="1:7" x14ac:dyDescent="0.3">
      <c r="A1878" s="223">
        <v>1877</v>
      </c>
      <c r="B1878" s="223" t="s">
        <v>1154</v>
      </c>
      <c r="C1878" s="223" t="s">
        <v>9</v>
      </c>
      <c r="D1878" s="223" t="s">
        <v>1218</v>
      </c>
      <c r="E1878" s="223" t="s">
        <v>21</v>
      </c>
      <c r="F1878" s="223" t="s">
        <v>1093</v>
      </c>
      <c r="G1878" s="223" t="s">
        <v>1219</v>
      </c>
    </row>
    <row r="1879" spans="1:7" x14ac:dyDescent="0.3">
      <c r="A1879" s="223">
        <v>1878</v>
      </c>
      <c r="B1879" s="223" t="s">
        <v>1154</v>
      </c>
      <c r="C1879" s="223" t="s">
        <v>9</v>
      </c>
      <c r="D1879" s="223" t="s">
        <v>1218</v>
      </c>
      <c r="E1879" s="223" t="s">
        <v>21</v>
      </c>
      <c r="F1879" s="223" t="s">
        <v>27</v>
      </c>
      <c r="G1879" s="223" t="s">
        <v>1219</v>
      </c>
    </row>
    <row r="1880" spans="1:7" x14ac:dyDescent="0.3">
      <c r="A1880" s="223">
        <v>1879</v>
      </c>
      <c r="B1880" s="223" t="s">
        <v>1154</v>
      </c>
      <c r="C1880" s="223" t="s">
        <v>9</v>
      </c>
      <c r="D1880" s="223" t="s">
        <v>1218</v>
      </c>
      <c r="E1880" s="223" t="s">
        <v>21</v>
      </c>
      <c r="F1880" s="223" t="s">
        <v>1096</v>
      </c>
      <c r="G1880" s="223" t="s">
        <v>1219</v>
      </c>
    </row>
    <row r="1881" spans="1:7" x14ac:dyDescent="0.3">
      <c r="A1881" s="223">
        <v>1880</v>
      </c>
      <c r="B1881" s="223" t="s">
        <v>1154</v>
      </c>
      <c r="C1881" s="223" t="s">
        <v>9</v>
      </c>
      <c r="D1881" s="223" t="s">
        <v>1218</v>
      </c>
      <c r="E1881" s="223" t="s">
        <v>21</v>
      </c>
      <c r="F1881" s="223" t="s">
        <v>1090</v>
      </c>
      <c r="G1881" s="223" t="s">
        <v>1219</v>
      </c>
    </row>
    <row r="1882" spans="1:7" x14ac:dyDescent="0.3">
      <c r="A1882" s="223">
        <v>1881</v>
      </c>
      <c r="B1882" s="223" t="s">
        <v>1154</v>
      </c>
      <c r="C1882" s="223" t="s">
        <v>9</v>
      </c>
      <c r="D1882" s="223" t="s">
        <v>1220</v>
      </c>
      <c r="E1882" s="223" t="s">
        <v>1087</v>
      </c>
      <c r="F1882" s="223" t="s">
        <v>1093</v>
      </c>
      <c r="G1882" s="223" t="s">
        <v>1219</v>
      </c>
    </row>
    <row r="1883" spans="1:7" x14ac:dyDescent="0.3">
      <c r="A1883" s="223">
        <v>1882</v>
      </c>
      <c r="B1883" s="223" t="s">
        <v>1154</v>
      </c>
      <c r="C1883" s="223" t="s">
        <v>9</v>
      </c>
      <c r="D1883" s="223" t="s">
        <v>1220</v>
      </c>
      <c r="E1883" s="223" t="s">
        <v>1087</v>
      </c>
      <c r="F1883" s="223" t="s">
        <v>27</v>
      </c>
      <c r="G1883" s="223" t="s">
        <v>1219</v>
      </c>
    </row>
    <row r="1884" spans="1:7" x14ac:dyDescent="0.3">
      <c r="A1884" s="223">
        <v>1883</v>
      </c>
      <c r="B1884" s="223" t="s">
        <v>1154</v>
      </c>
      <c r="C1884" s="223" t="s">
        <v>9</v>
      </c>
      <c r="D1884" s="223" t="s">
        <v>1220</v>
      </c>
      <c r="E1884" s="223" t="s">
        <v>1087</v>
      </c>
      <c r="F1884" s="223" t="s">
        <v>1096</v>
      </c>
      <c r="G1884" s="223" t="s">
        <v>1219</v>
      </c>
    </row>
    <row r="1885" spans="1:7" x14ac:dyDescent="0.3">
      <c r="A1885" s="223">
        <v>1884</v>
      </c>
      <c r="B1885" s="223" t="s">
        <v>1154</v>
      </c>
      <c r="C1885" s="223" t="s">
        <v>9</v>
      </c>
      <c r="D1885" s="223" t="s">
        <v>1220</v>
      </c>
      <c r="E1885" s="223" t="s">
        <v>1087</v>
      </c>
      <c r="F1885" s="223" t="s">
        <v>1090</v>
      </c>
      <c r="G1885" s="223" t="s">
        <v>1219</v>
      </c>
    </row>
    <row r="1886" spans="1:7" x14ac:dyDescent="0.3">
      <c r="A1886" s="223">
        <v>1885</v>
      </c>
      <c r="B1886" s="223" t="s">
        <v>1154</v>
      </c>
      <c r="C1886" s="223" t="s">
        <v>9</v>
      </c>
      <c r="D1886" s="223" t="s">
        <v>1220</v>
      </c>
      <c r="E1886" s="223" t="s">
        <v>21</v>
      </c>
      <c r="F1886" s="223" t="s">
        <v>1093</v>
      </c>
      <c r="G1886" s="223" t="s">
        <v>1219</v>
      </c>
    </row>
    <row r="1887" spans="1:7" x14ac:dyDescent="0.3">
      <c r="A1887" s="223">
        <v>1886</v>
      </c>
      <c r="B1887" s="223" t="s">
        <v>1154</v>
      </c>
      <c r="C1887" s="223" t="s">
        <v>9</v>
      </c>
      <c r="D1887" s="223" t="s">
        <v>1220</v>
      </c>
      <c r="E1887" s="223" t="s">
        <v>21</v>
      </c>
      <c r="F1887" s="223" t="s">
        <v>27</v>
      </c>
      <c r="G1887" s="223" t="s">
        <v>1219</v>
      </c>
    </row>
    <row r="1888" spans="1:7" x14ac:dyDescent="0.3">
      <c r="A1888" s="223">
        <v>1887</v>
      </c>
      <c r="B1888" s="223" t="s">
        <v>1154</v>
      </c>
      <c r="C1888" s="223" t="s">
        <v>9</v>
      </c>
      <c r="D1888" s="223" t="s">
        <v>1220</v>
      </c>
      <c r="E1888" s="223" t="s">
        <v>21</v>
      </c>
      <c r="F1888" s="223" t="s">
        <v>1096</v>
      </c>
      <c r="G1888" s="223" t="s">
        <v>1219</v>
      </c>
    </row>
    <row r="1889" spans="1:7" x14ac:dyDescent="0.3">
      <c r="A1889" s="223">
        <v>1888</v>
      </c>
      <c r="B1889" s="223" t="s">
        <v>1154</v>
      </c>
      <c r="C1889" s="223" t="s">
        <v>9</v>
      </c>
      <c r="D1889" s="223" t="s">
        <v>1220</v>
      </c>
      <c r="E1889" s="223" t="s">
        <v>21</v>
      </c>
      <c r="F1889" s="223" t="s">
        <v>1090</v>
      </c>
      <c r="G1889" s="223" t="s">
        <v>1219</v>
      </c>
    </row>
    <row r="1890" spans="1:7" x14ac:dyDescent="0.3">
      <c r="A1890" s="223">
        <v>1889</v>
      </c>
      <c r="B1890" s="223" t="s">
        <v>1154</v>
      </c>
      <c r="C1890" s="223" t="s">
        <v>9</v>
      </c>
      <c r="D1890" s="223" t="s">
        <v>1221</v>
      </c>
      <c r="E1890" s="223" t="s">
        <v>1087</v>
      </c>
      <c r="F1890" s="223" t="s">
        <v>1093</v>
      </c>
      <c r="G1890" s="223" t="s">
        <v>1219</v>
      </c>
    </row>
    <row r="1891" spans="1:7" x14ac:dyDescent="0.3">
      <c r="A1891" s="223">
        <v>1890</v>
      </c>
      <c r="B1891" s="223" t="s">
        <v>1154</v>
      </c>
      <c r="C1891" s="223" t="s">
        <v>9</v>
      </c>
      <c r="D1891" s="223" t="s">
        <v>1221</v>
      </c>
      <c r="E1891" s="223" t="s">
        <v>1087</v>
      </c>
      <c r="F1891" s="223" t="s">
        <v>27</v>
      </c>
      <c r="G1891" s="223" t="s">
        <v>1219</v>
      </c>
    </row>
    <row r="1892" spans="1:7" x14ac:dyDescent="0.3">
      <c r="A1892" s="223">
        <v>1891</v>
      </c>
      <c r="B1892" s="223" t="s">
        <v>1154</v>
      </c>
      <c r="C1892" s="223" t="s">
        <v>9</v>
      </c>
      <c r="D1892" s="223" t="s">
        <v>1221</v>
      </c>
      <c r="E1892" s="223" t="s">
        <v>1087</v>
      </c>
      <c r="F1892" s="223" t="s">
        <v>1096</v>
      </c>
      <c r="G1892" s="223" t="s">
        <v>1219</v>
      </c>
    </row>
    <row r="1893" spans="1:7" x14ac:dyDescent="0.3">
      <c r="A1893" s="223">
        <v>1892</v>
      </c>
      <c r="B1893" s="223" t="s">
        <v>1154</v>
      </c>
      <c r="C1893" s="223" t="s">
        <v>9</v>
      </c>
      <c r="D1893" s="223" t="s">
        <v>1221</v>
      </c>
      <c r="E1893" s="223" t="s">
        <v>1087</v>
      </c>
      <c r="F1893" s="223" t="s">
        <v>1090</v>
      </c>
      <c r="G1893" s="223" t="s">
        <v>1219</v>
      </c>
    </row>
    <row r="1894" spans="1:7" x14ac:dyDescent="0.3">
      <c r="A1894" s="223">
        <v>1893</v>
      </c>
      <c r="B1894" s="223" t="s">
        <v>1154</v>
      </c>
      <c r="C1894" s="223" t="s">
        <v>9</v>
      </c>
      <c r="D1894" s="223" t="s">
        <v>1221</v>
      </c>
      <c r="E1894" s="223" t="s">
        <v>21</v>
      </c>
      <c r="F1894" s="223" t="s">
        <v>1093</v>
      </c>
      <c r="G1894" s="223" t="s">
        <v>1219</v>
      </c>
    </row>
    <row r="1895" spans="1:7" x14ac:dyDescent="0.3">
      <c r="A1895" s="223">
        <v>1894</v>
      </c>
      <c r="B1895" s="223" t="s">
        <v>1154</v>
      </c>
      <c r="C1895" s="223" t="s">
        <v>9</v>
      </c>
      <c r="D1895" s="223" t="s">
        <v>1221</v>
      </c>
      <c r="E1895" s="223" t="s">
        <v>21</v>
      </c>
      <c r="F1895" s="223" t="s">
        <v>27</v>
      </c>
      <c r="G1895" s="223" t="s">
        <v>1219</v>
      </c>
    </row>
    <row r="1896" spans="1:7" x14ac:dyDescent="0.3">
      <c r="A1896" s="223">
        <v>1895</v>
      </c>
      <c r="B1896" s="223" t="s">
        <v>1154</v>
      </c>
      <c r="C1896" s="223" t="s">
        <v>9</v>
      </c>
      <c r="D1896" s="223" t="s">
        <v>1221</v>
      </c>
      <c r="E1896" s="223" t="s">
        <v>21</v>
      </c>
      <c r="F1896" s="223" t="s">
        <v>1096</v>
      </c>
      <c r="G1896" s="223" t="s">
        <v>1219</v>
      </c>
    </row>
    <row r="1897" spans="1:7" x14ac:dyDescent="0.3">
      <c r="A1897" s="223">
        <v>1896</v>
      </c>
      <c r="B1897" s="223" t="s">
        <v>1154</v>
      </c>
      <c r="C1897" s="223" t="s">
        <v>9</v>
      </c>
      <c r="D1897" s="223" t="s">
        <v>1221</v>
      </c>
      <c r="E1897" s="223" t="s">
        <v>21</v>
      </c>
      <c r="F1897" s="223" t="s">
        <v>1090</v>
      </c>
      <c r="G1897" s="223" t="s">
        <v>1219</v>
      </c>
    </row>
    <row r="1898" spans="1:7" x14ac:dyDescent="0.3">
      <c r="A1898" s="223">
        <v>1897</v>
      </c>
      <c r="B1898" s="223" t="s">
        <v>1154</v>
      </c>
      <c r="C1898" s="223" t="s">
        <v>9</v>
      </c>
      <c r="D1898" s="223" t="s">
        <v>1222</v>
      </c>
      <c r="E1898" s="223" t="s">
        <v>1087</v>
      </c>
      <c r="F1898" s="223" t="s">
        <v>1093</v>
      </c>
      <c r="G1898" s="223" t="s">
        <v>1219</v>
      </c>
    </row>
    <row r="1899" spans="1:7" x14ac:dyDescent="0.3">
      <c r="A1899" s="223">
        <v>1898</v>
      </c>
      <c r="B1899" s="223" t="s">
        <v>1154</v>
      </c>
      <c r="C1899" s="223" t="s">
        <v>9</v>
      </c>
      <c r="D1899" s="223" t="s">
        <v>1222</v>
      </c>
      <c r="E1899" s="223" t="s">
        <v>1087</v>
      </c>
      <c r="F1899" s="223" t="s">
        <v>27</v>
      </c>
      <c r="G1899" s="223" t="s">
        <v>1219</v>
      </c>
    </row>
    <row r="1900" spans="1:7" x14ac:dyDescent="0.3">
      <c r="A1900" s="223">
        <v>1899</v>
      </c>
      <c r="B1900" s="223" t="s">
        <v>1154</v>
      </c>
      <c r="C1900" s="223" t="s">
        <v>9</v>
      </c>
      <c r="D1900" s="223" t="s">
        <v>1222</v>
      </c>
      <c r="E1900" s="223" t="s">
        <v>1087</v>
      </c>
      <c r="F1900" s="223" t="s">
        <v>1096</v>
      </c>
      <c r="G1900" s="223" t="s">
        <v>1219</v>
      </c>
    </row>
    <row r="1901" spans="1:7" x14ac:dyDescent="0.3">
      <c r="A1901" s="223">
        <v>1900</v>
      </c>
      <c r="B1901" s="223" t="s">
        <v>1154</v>
      </c>
      <c r="C1901" s="223" t="s">
        <v>9</v>
      </c>
      <c r="D1901" s="223" t="s">
        <v>1222</v>
      </c>
      <c r="E1901" s="223" t="s">
        <v>1087</v>
      </c>
      <c r="F1901" s="223" t="s">
        <v>1090</v>
      </c>
      <c r="G1901" s="223" t="s">
        <v>1219</v>
      </c>
    </row>
    <row r="1902" spans="1:7" x14ac:dyDescent="0.3">
      <c r="A1902" s="223">
        <v>1901</v>
      </c>
      <c r="B1902" s="223" t="s">
        <v>1154</v>
      </c>
      <c r="C1902" s="223" t="s">
        <v>9</v>
      </c>
      <c r="D1902" s="223" t="s">
        <v>1222</v>
      </c>
      <c r="E1902" s="223" t="s">
        <v>21</v>
      </c>
      <c r="F1902" s="223" t="s">
        <v>1093</v>
      </c>
      <c r="G1902" s="223" t="s">
        <v>1219</v>
      </c>
    </row>
    <row r="1903" spans="1:7" x14ac:dyDescent="0.3">
      <c r="A1903" s="223">
        <v>1902</v>
      </c>
      <c r="B1903" s="223" t="s">
        <v>1154</v>
      </c>
      <c r="C1903" s="223" t="s">
        <v>9</v>
      </c>
      <c r="D1903" s="223" t="s">
        <v>1222</v>
      </c>
      <c r="E1903" s="223" t="s">
        <v>21</v>
      </c>
      <c r="F1903" s="223" t="s">
        <v>27</v>
      </c>
      <c r="G1903" s="223" t="s">
        <v>1219</v>
      </c>
    </row>
    <row r="1904" spans="1:7" x14ac:dyDescent="0.3">
      <c r="A1904" s="223">
        <v>1903</v>
      </c>
      <c r="B1904" s="223" t="s">
        <v>1154</v>
      </c>
      <c r="C1904" s="223" t="s">
        <v>9</v>
      </c>
      <c r="D1904" s="223" t="s">
        <v>1222</v>
      </c>
      <c r="E1904" s="223" t="s">
        <v>21</v>
      </c>
      <c r="F1904" s="223" t="s">
        <v>1096</v>
      </c>
      <c r="G1904" s="223" t="s">
        <v>1219</v>
      </c>
    </row>
    <row r="1905" spans="1:7" x14ac:dyDescent="0.3">
      <c r="A1905" s="223">
        <v>1904</v>
      </c>
      <c r="B1905" s="223" t="s">
        <v>1154</v>
      </c>
      <c r="C1905" s="223" t="s">
        <v>9</v>
      </c>
      <c r="D1905" s="223" t="s">
        <v>1222</v>
      </c>
      <c r="E1905" s="223" t="s">
        <v>21</v>
      </c>
      <c r="F1905" s="223" t="s">
        <v>1090</v>
      </c>
      <c r="G1905" s="223" t="s">
        <v>1219</v>
      </c>
    </row>
    <row r="1906" spans="1:7" x14ac:dyDescent="0.3">
      <c r="A1906" s="223">
        <v>1905</v>
      </c>
      <c r="B1906" s="223" t="s">
        <v>1154</v>
      </c>
      <c r="C1906" s="223" t="s">
        <v>9</v>
      </c>
      <c r="D1906" s="223" t="s">
        <v>1223</v>
      </c>
      <c r="E1906" s="223" t="s">
        <v>1087</v>
      </c>
      <c r="F1906" s="223" t="s">
        <v>1093</v>
      </c>
      <c r="G1906" s="223" t="s">
        <v>1219</v>
      </c>
    </row>
    <row r="1907" spans="1:7" x14ac:dyDescent="0.3">
      <c r="A1907" s="223">
        <v>1906</v>
      </c>
      <c r="B1907" s="223" t="s">
        <v>1154</v>
      </c>
      <c r="C1907" s="223" t="s">
        <v>9</v>
      </c>
      <c r="D1907" s="223" t="s">
        <v>1223</v>
      </c>
      <c r="E1907" s="223" t="s">
        <v>1087</v>
      </c>
      <c r="F1907" s="223" t="s">
        <v>27</v>
      </c>
      <c r="G1907" s="223" t="s">
        <v>1219</v>
      </c>
    </row>
    <row r="1908" spans="1:7" x14ac:dyDescent="0.3">
      <c r="A1908" s="223">
        <v>1907</v>
      </c>
      <c r="B1908" s="223" t="s">
        <v>1154</v>
      </c>
      <c r="C1908" s="223" t="s">
        <v>9</v>
      </c>
      <c r="D1908" s="223" t="s">
        <v>1223</v>
      </c>
      <c r="E1908" s="223" t="s">
        <v>1087</v>
      </c>
      <c r="F1908" s="223" t="s">
        <v>1096</v>
      </c>
      <c r="G1908" s="223" t="s">
        <v>1219</v>
      </c>
    </row>
    <row r="1909" spans="1:7" x14ac:dyDescent="0.3">
      <c r="A1909" s="223">
        <v>1908</v>
      </c>
      <c r="B1909" s="223" t="s">
        <v>1154</v>
      </c>
      <c r="C1909" s="223" t="s">
        <v>9</v>
      </c>
      <c r="D1909" s="223" t="s">
        <v>1223</v>
      </c>
      <c r="E1909" s="223" t="s">
        <v>1087</v>
      </c>
      <c r="F1909" s="223" t="s">
        <v>1090</v>
      </c>
      <c r="G1909" s="223" t="s">
        <v>1219</v>
      </c>
    </row>
    <row r="1910" spans="1:7" x14ac:dyDescent="0.3">
      <c r="A1910" s="223">
        <v>1909</v>
      </c>
      <c r="B1910" s="223" t="s">
        <v>1154</v>
      </c>
      <c r="C1910" s="223" t="s">
        <v>9</v>
      </c>
      <c r="D1910" s="223" t="s">
        <v>1223</v>
      </c>
      <c r="E1910" s="223" t="s">
        <v>21</v>
      </c>
      <c r="F1910" s="223" t="s">
        <v>1093</v>
      </c>
      <c r="G1910" s="223" t="s">
        <v>1219</v>
      </c>
    </row>
    <row r="1911" spans="1:7" x14ac:dyDescent="0.3">
      <c r="A1911" s="223">
        <v>1910</v>
      </c>
      <c r="B1911" s="223" t="s">
        <v>1154</v>
      </c>
      <c r="C1911" s="223" t="s">
        <v>9</v>
      </c>
      <c r="D1911" s="223" t="s">
        <v>1223</v>
      </c>
      <c r="E1911" s="223" t="s">
        <v>21</v>
      </c>
      <c r="F1911" s="223" t="s">
        <v>27</v>
      </c>
      <c r="G1911" s="223" t="s">
        <v>1219</v>
      </c>
    </row>
    <row r="1912" spans="1:7" x14ac:dyDescent="0.3">
      <c r="A1912" s="223">
        <v>1911</v>
      </c>
      <c r="B1912" s="223" t="s">
        <v>1154</v>
      </c>
      <c r="C1912" s="223" t="s">
        <v>9</v>
      </c>
      <c r="D1912" s="223" t="s">
        <v>1223</v>
      </c>
      <c r="E1912" s="223" t="s">
        <v>21</v>
      </c>
      <c r="F1912" s="223" t="s">
        <v>1096</v>
      </c>
      <c r="G1912" s="223" t="s">
        <v>1219</v>
      </c>
    </row>
    <row r="1913" spans="1:7" x14ac:dyDescent="0.3">
      <c r="A1913" s="223">
        <v>1912</v>
      </c>
      <c r="B1913" s="223" t="s">
        <v>1154</v>
      </c>
      <c r="C1913" s="223" t="s">
        <v>9</v>
      </c>
      <c r="D1913" s="223" t="s">
        <v>1223</v>
      </c>
      <c r="E1913" s="223" t="s">
        <v>21</v>
      </c>
      <c r="F1913" s="223" t="s">
        <v>1090</v>
      </c>
      <c r="G1913" s="223" t="s">
        <v>1219</v>
      </c>
    </row>
    <row r="1914" spans="1:7" x14ac:dyDescent="0.3">
      <c r="A1914" s="223">
        <v>1913</v>
      </c>
      <c r="B1914" s="223" t="s">
        <v>1154</v>
      </c>
      <c r="C1914" s="223" t="s">
        <v>9</v>
      </c>
      <c r="D1914" s="223" t="s">
        <v>12</v>
      </c>
      <c r="E1914" s="223" t="s">
        <v>1087</v>
      </c>
      <c r="F1914" s="223" t="s">
        <v>1093</v>
      </c>
      <c r="G1914" s="223" t="s">
        <v>1219</v>
      </c>
    </row>
    <row r="1915" spans="1:7" x14ac:dyDescent="0.3">
      <c r="A1915" s="223">
        <v>1914</v>
      </c>
      <c r="B1915" s="223" t="s">
        <v>1154</v>
      </c>
      <c r="C1915" s="223" t="s">
        <v>9</v>
      </c>
      <c r="D1915" s="223" t="s">
        <v>12</v>
      </c>
      <c r="E1915" s="223" t="s">
        <v>1087</v>
      </c>
      <c r="F1915" s="223" t="s">
        <v>27</v>
      </c>
      <c r="G1915" s="223" t="s">
        <v>1219</v>
      </c>
    </row>
    <row r="1916" spans="1:7" x14ac:dyDescent="0.3">
      <c r="A1916" s="223">
        <v>1915</v>
      </c>
      <c r="B1916" s="223" t="s">
        <v>1154</v>
      </c>
      <c r="C1916" s="223" t="s">
        <v>9</v>
      </c>
      <c r="D1916" s="223" t="s">
        <v>12</v>
      </c>
      <c r="E1916" s="223" t="s">
        <v>1087</v>
      </c>
      <c r="F1916" s="223" t="s">
        <v>1096</v>
      </c>
      <c r="G1916" s="223" t="s">
        <v>1219</v>
      </c>
    </row>
    <row r="1917" spans="1:7" x14ac:dyDescent="0.3">
      <c r="A1917" s="223">
        <v>1916</v>
      </c>
      <c r="B1917" s="223" t="s">
        <v>1154</v>
      </c>
      <c r="C1917" s="223" t="s">
        <v>9</v>
      </c>
      <c r="D1917" s="223" t="s">
        <v>12</v>
      </c>
      <c r="E1917" s="223" t="s">
        <v>1087</v>
      </c>
      <c r="F1917" s="223" t="s">
        <v>1090</v>
      </c>
      <c r="G1917" s="223" t="s">
        <v>1219</v>
      </c>
    </row>
    <row r="1918" spans="1:7" x14ac:dyDescent="0.3">
      <c r="A1918" s="223">
        <v>1917</v>
      </c>
      <c r="B1918" s="223" t="s">
        <v>1154</v>
      </c>
      <c r="C1918" s="223" t="s">
        <v>9</v>
      </c>
      <c r="D1918" s="223" t="s">
        <v>12</v>
      </c>
      <c r="E1918" s="223" t="s">
        <v>21</v>
      </c>
      <c r="F1918" s="223" t="s">
        <v>1093</v>
      </c>
      <c r="G1918" s="223" t="s">
        <v>1219</v>
      </c>
    </row>
    <row r="1919" spans="1:7" x14ac:dyDescent="0.3">
      <c r="A1919" s="223">
        <v>1918</v>
      </c>
      <c r="B1919" s="223" t="s">
        <v>1154</v>
      </c>
      <c r="C1919" s="223" t="s">
        <v>9</v>
      </c>
      <c r="D1919" s="223" t="s">
        <v>12</v>
      </c>
      <c r="E1919" s="223" t="s">
        <v>21</v>
      </c>
      <c r="F1919" s="223" t="s">
        <v>27</v>
      </c>
      <c r="G1919" s="223" t="s">
        <v>1219</v>
      </c>
    </row>
    <row r="1920" spans="1:7" x14ac:dyDescent="0.3">
      <c r="A1920" s="223">
        <v>1919</v>
      </c>
      <c r="B1920" s="223" t="s">
        <v>1154</v>
      </c>
      <c r="C1920" s="223" t="s">
        <v>9</v>
      </c>
      <c r="D1920" s="223" t="s">
        <v>12</v>
      </c>
      <c r="E1920" s="223" t="s">
        <v>21</v>
      </c>
      <c r="F1920" s="223" t="s">
        <v>1096</v>
      </c>
      <c r="G1920" s="223" t="s">
        <v>1219</v>
      </c>
    </row>
    <row r="1921" spans="1:7" x14ac:dyDescent="0.3">
      <c r="A1921" s="223">
        <v>1920</v>
      </c>
      <c r="B1921" s="223" t="s">
        <v>1154</v>
      </c>
      <c r="C1921" s="223" t="s">
        <v>9</v>
      </c>
      <c r="D1921" s="223" t="s">
        <v>12</v>
      </c>
      <c r="E1921" s="223" t="s">
        <v>21</v>
      </c>
      <c r="F1921" s="223" t="s">
        <v>1090</v>
      </c>
      <c r="G1921" s="223" t="s">
        <v>1219</v>
      </c>
    </row>
    <row r="1922" spans="1:7" x14ac:dyDescent="0.3">
      <c r="A1922" s="223">
        <v>1921</v>
      </c>
      <c r="B1922" s="223" t="s">
        <v>1154</v>
      </c>
      <c r="C1922" s="223" t="s">
        <v>1227</v>
      </c>
      <c r="D1922" s="223" t="s">
        <v>1218</v>
      </c>
      <c r="E1922" s="223" t="s">
        <v>1087</v>
      </c>
      <c r="F1922" s="223" t="s">
        <v>1093</v>
      </c>
      <c r="G1922" s="223" t="s">
        <v>1219</v>
      </c>
    </row>
    <row r="1923" spans="1:7" x14ac:dyDescent="0.3">
      <c r="A1923" s="223">
        <v>1922</v>
      </c>
      <c r="B1923" s="223" t="s">
        <v>1154</v>
      </c>
      <c r="C1923" s="223" t="s">
        <v>1227</v>
      </c>
      <c r="D1923" s="223" t="s">
        <v>1218</v>
      </c>
      <c r="E1923" s="223" t="s">
        <v>1087</v>
      </c>
      <c r="F1923" s="223" t="s">
        <v>27</v>
      </c>
      <c r="G1923" s="223" t="s">
        <v>1219</v>
      </c>
    </row>
    <row r="1924" spans="1:7" x14ac:dyDescent="0.3">
      <c r="A1924" s="223">
        <v>1923</v>
      </c>
      <c r="B1924" s="223" t="s">
        <v>1154</v>
      </c>
      <c r="C1924" s="223" t="s">
        <v>1227</v>
      </c>
      <c r="D1924" s="223" t="s">
        <v>1218</v>
      </c>
      <c r="E1924" s="223" t="s">
        <v>1087</v>
      </c>
      <c r="F1924" s="223" t="s">
        <v>1096</v>
      </c>
      <c r="G1924" s="223" t="s">
        <v>1219</v>
      </c>
    </row>
    <row r="1925" spans="1:7" x14ac:dyDescent="0.3">
      <c r="A1925" s="223">
        <v>1924</v>
      </c>
      <c r="B1925" s="223" t="s">
        <v>1154</v>
      </c>
      <c r="C1925" s="223" t="s">
        <v>1227</v>
      </c>
      <c r="D1925" s="223" t="s">
        <v>1218</v>
      </c>
      <c r="E1925" s="223" t="s">
        <v>1087</v>
      </c>
      <c r="F1925" s="223" t="s">
        <v>1090</v>
      </c>
      <c r="G1925" s="223" t="s">
        <v>1219</v>
      </c>
    </row>
    <row r="1926" spans="1:7" x14ac:dyDescent="0.3">
      <c r="A1926" s="223">
        <v>1925</v>
      </c>
      <c r="B1926" s="223" t="s">
        <v>1154</v>
      </c>
      <c r="C1926" s="223" t="s">
        <v>1227</v>
      </c>
      <c r="D1926" s="223" t="s">
        <v>1218</v>
      </c>
      <c r="E1926" s="223" t="s">
        <v>21</v>
      </c>
      <c r="F1926" s="223" t="s">
        <v>1093</v>
      </c>
      <c r="G1926" s="223" t="s">
        <v>1219</v>
      </c>
    </row>
    <row r="1927" spans="1:7" x14ac:dyDescent="0.3">
      <c r="A1927" s="223">
        <v>1926</v>
      </c>
      <c r="B1927" s="223" t="s">
        <v>1154</v>
      </c>
      <c r="C1927" s="223" t="s">
        <v>1227</v>
      </c>
      <c r="D1927" s="223" t="s">
        <v>1218</v>
      </c>
      <c r="E1927" s="223" t="s">
        <v>21</v>
      </c>
      <c r="F1927" s="223" t="s">
        <v>27</v>
      </c>
      <c r="G1927" s="223" t="s">
        <v>1219</v>
      </c>
    </row>
    <row r="1928" spans="1:7" x14ac:dyDescent="0.3">
      <c r="A1928" s="223">
        <v>1927</v>
      </c>
      <c r="B1928" s="223" t="s">
        <v>1154</v>
      </c>
      <c r="C1928" s="223" t="s">
        <v>1227</v>
      </c>
      <c r="D1928" s="223" t="s">
        <v>1218</v>
      </c>
      <c r="E1928" s="223" t="s">
        <v>21</v>
      </c>
      <c r="F1928" s="223" t="s">
        <v>1096</v>
      </c>
      <c r="G1928" s="223" t="s">
        <v>1219</v>
      </c>
    </row>
    <row r="1929" spans="1:7" x14ac:dyDescent="0.3">
      <c r="A1929" s="223">
        <v>1928</v>
      </c>
      <c r="B1929" s="223" t="s">
        <v>1154</v>
      </c>
      <c r="C1929" s="223" t="s">
        <v>1227</v>
      </c>
      <c r="D1929" s="223" t="s">
        <v>1218</v>
      </c>
      <c r="E1929" s="223" t="s">
        <v>21</v>
      </c>
      <c r="F1929" s="223" t="s">
        <v>1090</v>
      </c>
      <c r="G1929" s="223" t="s">
        <v>1219</v>
      </c>
    </row>
    <row r="1930" spans="1:7" x14ac:dyDescent="0.3">
      <c r="A1930" s="223">
        <v>1929</v>
      </c>
      <c r="B1930" s="223" t="s">
        <v>1154</v>
      </c>
      <c r="C1930" s="223" t="s">
        <v>1227</v>
      </c>
      <c r="D1930" s="223" t="s">
        <v>1220</v>
      </c>
      <c r="E1930" s="223" t="s">
        <v>1087</v>
      </c>
      <c r="F1930" s="223" t="s">
        <v>1093</v>
      </c>
      <c r="G1930" s="223" t="s">
        <v>1219</v>
      </c>
    </row>
    <row r="1931" spans="1:7" x14ac:dyDescent="0.3">
      <c r="A1931" s="223">
        <v>1930</v>
      </c>
      <c r="B1931" s="223" t="s">
        <v>1154</v>
      </c>
      <c r="C1931" s="223" t="s">
        <v>1227</v>
      </c>
      <c r="D1931" s="223" t="s">
        <v>1220</v>
      </c>
      <c r="E1931" s="223" t="s">
        <v>1087</v>
      </c>
      <c r="F1931" s="223" t="s">
        <v>27</v>
      </c>
      <c r="G1931" s="223" t="s">
        <v>1219</v>
      </c>
    </row>
    <row r="1932" spans="1:7" x14ac:dyDescent="0.3">
      <c r="A1932" s="223">
        <v>1931</v>
      </c>
      <c r="B1932" s="223" t="s">
        <v>1154</v>
      </c>
      <c r="C1932" s="223" t="s">
        <v>1227</v>
      </c>
      <c r="D1932" s="223" t="s">
        <v>1220</v>
      </c>
      <c r="E1932" s="223" t="s">
        <v>1087</v>
      </c>
      <c r="F1932" s="223" t="s">
        <v>1096</v>
      </c>
      <c r="G1932" s="223" t="s">
        <v>1219</v>
      </c>
    </row>
    <row r="1933" spans="1:7" x14ac:dyDescent="0.3">
      <c r="A1933" s="223">
        <v>1932</v>
      </c>
      <c r="B1933" s="223" t="s">
        <v>1154</v>
      </c>
      <c r="C1933" s="223" t="s">
        <v>1227</v>
      </c>
      <c r="D1933" s="223" t="s">
        <v>1220</v>
      </c>
      <c r="E1933" s="223" t="s">
        <v>1087</v>
      </c>
      <c r="F1933" s="223" t="s">
        <v>1090</v>
      </c>
      <c r="G1933" s="223" t="s">
        <v>1219</v>
      </c>
    </row>
    <row r="1934" spans="1:7" x14ac:dyDescent="0.3">
      <c r="A1934" s="223">
        <v>1933</v>
      </c>
      <c r="B1934" s="223" t="s">
        <v>1154</v>
      </c>
      <c r="C1934" s="223" t="s">
        <v>1227</v>
      </c>
      <c r="D1934" s="223" t="s">
        <v>1220</v>
      </c>
      <c r="E1934" s="223" t="s">
        <v>21</v>
      </c>
      <c r="F1934" s="223" t="s">
        <v>1093</v>
      </c>
      <c r="G1934" s="223" t="s">
        <v>1219</v>
      </c>
    </row>
    <row r="1935" spans="1:7" x14ac:dyDescent="0.3">
      <c r="A1935" s="223">
        <v>1934</v>
      </c>
      <c r="B1935" s="223" t="s">
        <v>1154</v>
      </c>
      <c r="C1935" s="223" t="s">
        <v>1227</v>
      </c>
      <c r="D1935" s="223" t="s">
        <v>1220</v>
      </c>
      <c r="E1935" s="223" t="s">
        <v>21</v>
      </c>
      <c r="F1935" s="223" t="s">
        <v>27</v>
      </c>
      <c r="G1935" s="223" t="s">
        <v>1219</v>
      </c>
    </row>
    <row r="1936" spans="1:7" x14ac:dyDescent="0.3">
      <c r="A1936" s="223">
        <v>1935</v>
      </c>
      <c r="B1936" s="223" t="s">
        <v>1154</v>
      </c>
      <c r="C1936" s="223" t="s">
        <v>1227</v>
      </c>
      <c r="D1936" s="223" t="s">
        <v>1220</v>
      </c>
      <c r="E1936" s="223" t="s">
        <v>21</v>
      </c>
      <c r="F1936" s="223" t="s">
        <v>1096</v>
      </c>
      <c r="G1936" s="223" t="s">
        <v>1219</v>
      </c>
    </row>
    <row r="1937" spans="1:7" x14ac:dyDescent="0.3">
      <c r="A1937" s="223">
        <v>1936</v>
      </c>
      <c r="B1937" s="223" t="s">
        <v>1154</v>
      </c>
      <c r="C1937" s="223" t="s">
        <v>1227</v>
      </c>
      <c r="D1937" s="223" t="s">
        <v>1220</v>
      </c>
      <c r="E1937" s="223" t="s">
        <v>21</v>
      </c>
      <c r="F1937" s="223" t="s">
        <v>1090</v>
      </c>
      <c r="G1937" s="223" t="s">
        <v>1219</v>
      </c>
    </row>
    <row r="1938" spans="1:7" x14ac:dyDescent="0.3">
      <c r="A1938" s="223">
        <v>1937</v>
      </c>
      <c r="B1938" s="223" t="s">
        <v>1154</v>
      </c>
      <c r="C1938" s="223" t="s">
        <v>1227</v>
      </c>
      <c r="D1938" s="223" t="s">
        <v>1221</v>
      </c>
      <c r="E1938" s="223" t="s">
        <v>1087</v>
      </c>
      <c r="F1938" s="223" t="s">
        <v>1093</v>
      </c>
      <c r="G1938" s="223" t="s">
        <v>1219</v>
      </c>
    </row>
    <row r="1939" spans="1:7" x14ac:dyDescent="0.3">
      <c r="A1939" s="223">
        <v>1938</v>
      </c>
      <c r="B1939" s="223" t="s">
        <v>1154</v>
      </c>
      <c r="C1939" s="223" t="s">
        <v>1227</v>
      </c>
      <c r="D1939" s="223" t="s">
        <v>1221</v>
      </c>
      <c r="E1939" s="223" t="s">
        <v>1087</v>
      </c>
      <c r="F1939" s="223" t="s">
        <v>27</v>
      </c>
      <c r="G1939" s="223" t="s">
        <v>1219</v>
      </c>
    </row>
    <row r="1940" spans="1:7" x14ac:dyDescent="0.3">
      <c r="A1940" s="223">
        <v>1939</v>
      </c>
      <c r="B1940" s="223" t="s">
        <v>1154</v>
      </c>
      <c r="C1940" s="223" t="s">
        <v>1227</v>
      </c>
      <c r="D1940" s="223" t="s">
        <v>1221</v>
      </c>
      <c r="E1940" s="223" t="s">
        <v>1087</v>
      </c>
      <c r="F1940" s="223" t="s">
        <v>1096</v>
      </c>
      <c r="G1940" s="223" t="s">
        <v>1219</v>
      </c>
    </row>
    <row r="1941" spans="1:7" x14ac:dyDescent="0.3">
      <c r="A1941" s="223">
        <v>1940</v>
      </c>
      <c r="B1941" s="223" t="s">
        <v>1154</v>
      </c>
      <c r="C1941" s="223" t="s">
        <v>1227</v>
      </c>
      <c r="D1941" s="223" t="s">
        <v>1221</v>
      </c>
      <c r="E1941" s="223" t="s">
        <v>1087</v>
      </c>
      <c r="F1941" s="223" t="s">
        <v>1090</v>
      </c>
      <c r="G1941" s="223" t="s">
        <v>1219</v>
      </c>
    </row>
    <row r="1942" spans="1:7" x14ac:dyDescent="0.3">
      <c r="A1942" s="223">
        <v>1941</v>
      </c>
      <c r="B1942" s="223" t="s">
        <v>1154</v>
      </c>
      <c r="C1942" s="223" t="s">
        <v>1227</v>
      </c>
      <c r="D1942" s="223" t="s">
        <v>1221</v>
      </c>
      <c r="E1942" s="223" t="s">
        <v>21</v>
      </c>
      <c r="F1942" s="223" t="s">
        <v>1093</v>
      </c>
      <c r="G1942" s="223" t="s">
        <v>1219</v>
      </c>
    </row>
    <row r="1943" spans="1:7" x14ac:dyDescent="0.3">
      <c r="A1943" s="223">
        <v>1942</v>
      </c>
      <c r="B1943" s="223" t="s">
        <v>1154</v>
      </c>
      <c r="C1943" s="223" t="s">
        <v>1227</v>
      </c>
      <c r="D1943" s="223" t="s">
        <v>1221</v>
      </c>
      <c r="E1943" s="223" t="s">
        <v>21</v>
      </c>
      <c r="F1943" s="223" t="s">
        <v>27</v>
      </c>
      <c r="G1943" s="223" t="s">
        <v>1219</v>
      </c>
    </row>
    <row r="1944" spans="1:7" x14ac:dyDescent="0.3">
      <c r="A1944" s="223">
        <v>1943</v>
      </c>
      <c r="B1944" s="223" t="s">
        <v>1154</v>
      </c>
      <c r="C1944" s="223" t="s">
        <v>1227</v>
      </c>
      <c r="D1944" s="223" t="s">
        <v>1221</v>
      </c>
      <c r="E1944" s="223" t="s">
        <v>21</v>
      </c>
      <c r="F1944" s="223" t="s">
        <v>1096</v>
      </c>
      <c r="G1944" s="223" t="s">
        <v>1219</v>
      </c>
    </row>
    <row r="1945" spans="1:7" x14ac:dyDescent="0.3">
      <c r="A1945" s="223">
        <v>1944</v>
      </c>
      <c r="B1945" s="223" t="s">
        <v>1154</v>
      </c>
      <c r="C1945" s="223" t="s">
        <v>1227</v>
      </c>
      <c r="D1945" s="223" t="s">
        <v>1221</v>
      </c>
      <c r="E1945" s="223" t="s">
        <v>21</v>
      </c>
      <c r="F1945" s="223" t="s">
        <v>1090</v>
      </c>
      <c r="G1945" s="223" t="s">
        <v>1219</v>
      </c>
    </row>
    <row r="1946" spans="1:7" x14ac:dyDescent="0.3">
      <c r="A1946" s="223">
        <v>1945</v>
      </c>
      <c r="B1946" s="223" t="s">
        <v>1154</v>
      </c>
      <c r="C1946" s="223" t="s">
        <v>1227</v>
      </c>
      <c r="D1946" s="223" t="s">
        <v>1222</v>
      </c>
      <c r="E1946" s="223" t="s">
        <v>1087</v>
      </c>
      <c r="F1946" s="223" t="s">
        <v>1093</v>
      </c>
      <c r="G1946" s="223" t="s">
        <v>1219</v>
      </c>
    </row>
    <row r="1947" spans="1:7" x14ac:dyDescent="0.3">
      <c r="A1947" s="223">
        <v>1946</v>
      </c>
      <c r="B1947" s="223" t="s">
        <v>1154</v>
      </c>
      <c r="C1947" s="223" t="s">
        <v>1227</v>
      </c>
      <c r="D1947" s="223" t="s">
        <v>1222</v>
      </c>
      <c r="E1947" s="223" t="s">
        <v>1087</v>
      </c>
      <c r="F1947" s="223" t="s">
        <v>27</v>
      </c>
      <c r="G1947" s="223" t="s">
        <v>1219</v>
      </c>
    </row>
    <row r="1948" spans="1:7" x14ac:dyDescent="0.3">
      <c r="A1948" s="223">
        <v>1947</v>
      </c>
      <c r="B1948" s="223" t="s">
        <v>1154</v>
      </c>
      <c r="C1948" s="223" t="s">
        <v>1227</v>
      </c>
      <c r="D1948" s="223" t="s">
        <v>1222</v>
      </c>
      <c r="E1948" s="223" t="s">
        <v>1087</v>
      </c>
      <c r="F1948" s="223" t="s">
        <v>1096</v>
      </c>
      <c r="G1948" s="223" t="s">
        <v>1219</v>
      </c>
    </row>
    <row r="1949" spans="1:7" x14ac:dyDescent="0.3">
      <c r="A1949" s="223">
        <v>1948</v>
      </c>
      <c r="B1949" s="223" t="s">
        <v>1154</v>
      </c>
      <c r="C1949" s="223" t="s">
        <v>1227</v>
      </c>
      <c r="D1949" s="223" t="s">
        <v>1222</v>
      </c>
      <c r="E1949" s="223" t="s">
        <v>1087</v>
      </c>
      <c r="F1949" s="223" t="s">
        <v>1090</v>
      </c>
      <c r="G1949" s="223" t="s">
        <v>1219</v>
      </c>
    </row>
    <row r="1950" spans="1:7" x14ac:dyDescent="0.3">
      <c r="A1950" s="223">
        <v>1949</v>
      </c>
      <c r="B1950" s="223" t="s">
        <v>1154</v>
      </c>
      <c r="C1950" s="223" t="s">
        <v>1227</v>
      </c>
      <c r="D1950" s="223" t="s">
        <v>1222</v>
      </c>
      <c r="E1950" s="223" t="s">
        <v>21</v>
      </c>
      <c r="F1950" s="223" t="s">
        <v>1093</v>
      </c>
      <c r="G1950" s="223" t="s">
        <v>1219</v>
      </c>
    </row>
    <row r="1951" spans="1:7" x14ac:dyDescent="0.3">
      <c r="A1951" s="223">
        <v>1950</v>
      </c>
      <c r="B1951" s="223" t="s">
        <v>1154</v>
      </c>
      <c r="C1951" s="223" t="s">
        <v>1227</v>
      </c>
      <c r="D1951" s="223" t="s">
        <v>1222</v>
      </c>
      <c r="E1951" s="223" t="s">
        <v>21</v>
      </c>
      <c r="F1951" s="223" t="s">
        <v>27</v>
      </c>
      <c r="G1951" s="223" t="s">
        <v>1219</v>
      </c>
    </row>
    <row r="1952" spans="1:7" x14ac:dyDescent="0.3">
      <c r="A1952" s="223">
        <v>1951</v>
      </c>
      <c r="B1952" s="223" t="s">
        <v>1154</v>
      </c>
      <c r="C1952" s="223" t="s">
        <v>1227</v>
      </c>
      <c r="D1952" s="223" t="s">
        <v>1222</v>
      </c>
      <c r="E1952" s="223" t="s">
        <v>21</v>
      </c>
      <c r="F1952" s="223" t="s">
        <v>1096</v>
      </c>
      <c r="G1952" s="223" t="s">
        <v>1219</v>
      </c>
    </row>
    <row r="1953" spans="1:7" x14ac:dyDescent="0.3">
      <c r="A1953" s="223">
        <v>1952</v>
      </c>
      <c r="B1953" s="223" t="s">
        <v>1154</v>
      </c>
      <c r="C1953" s="223" t="s">
        <v>1227</v>
      </c>
      <c r="D1953" s="223" t="s">
        <v>1222</v>
      </c>
      <c r="E1953" s="223" t="s">
        <v>21</v>
      </c>
      <c r="F1953" s="223" t="s">
        <v>1090</v>
      </c>
      <c r="G1953" s="223" t="s">
        <v>1219</v>
      </c>
    </row>
    <row r="1954" spans="1:7" x14ac:dyDescent="0.3">
      <c r="A1954" s="223">
        <v>1953</v>
      </c>
      <c r="B1954" s="223" t="s">
        <v>1154</v>
      </c>
      <c r="C1954" s="223" t="s">
        <v>1227</v>
      </c>
      <c r="D1954" s="223" t="s">
        <v>1223</v>
      </c>
      <c r="E1954" s="223" t="s">
        <v>1087</v>
      </c>
      <c r="F1954" s="223" t="s">
        <v>1093</v>
      </c>
      <c r="G1954" s="223" t="s">
        <v>1219</v>
      </c>
    </row>
    <row r="1955" spans="1:7" x14ac:dyDescent="0.3">
      <c r="A1955" s="223">
        <v>1954</v>
      </c>
      <c r="B1955" s="223" t="s">
        <v>1154</v>
      </c>
      <c r="C1955" s="223" t="s">
        <v>1227</v>
      </c>
      <c r="D1955" s="223" t="s">
        <v>1223</v>
      </c>
      <c r="E1955" s="223" t="s">
        <v>1087</v>
      </c>
      <c r="F1955" s="223" t="s">
        <v>27</v>
      </c>
      <c r="G1955" s="223" t="s">
        <v>1219</v>
      </c>
    </row>
    <row r="1956" spans="1:7" x14ac:dyDescent="0.3">
      <c r="A1956" s="223">
        <v>1955</v>
      </c>
      <c r="B1956" s="223" t="s">
        <v>1154</v>
      </c>
      <c r="C1956" s="223" t="s">
        <v>1227</v>
      </c>
      <c r="D1956" s="223" t="s">
        <v>1223</v>
      </c>
      <c r="E1956" s="223" t="s">
        <v>1087</v>
      </c>
      <c r="F1956" s="223" t="s">
        <v>1096</v>
      </c>
      <c r="G1956" s="223" t="s">
        <v>1219</v>
      </c>
    </row>
    <row r="1957" spans="1:7" x14ac:dyDescent="0.3">
      <c r="A1957" s="223">
        <v>1956</v>
      </c>
      <c r="B1957" s="223" t="s">
        <v>1154</v>
      </c>
      <c r="C1957" s="223" t="s">
        <v>1227</v>
      </c>
      <c r="D1957" s="223" t="s">
        <v>1223</v>
      </c>
      <c r="E1957" s="223" t="s">
        <v>1087</v>
      </c>
      <c r="F1957" s="223" t="s">
        <v>1090</v>
      </c>
      <c r="G1957" s="223" t="s">
        <v>1219</v>
      </c>
    </row>
    <row r="1958" spans="1:7" x14ac:dyDescent="0.3">
      <c r="A1958" s="223">
        <v>1957</v>
      </c>
      <c r="B1958" s="223" t="s">
        <v>1154</v>
      </c>
      <c r="C1958" s="223" t="s">
        <v>1227</v>
      </c>
      <c r="D1958" s="223" t="s">
        <v>1223</v>
      </c>
      <c r="E1958" s="223" t="s">
        <v>21</v>
      </c>
      <c r="F1958" s="223" t="s">
        <v>1093</v>
      </c>
      <c r="G1958" s="223" t="s">
        <v>1219</v>
      </c>
    </row>
    <row r="1959" spans="1:7" x14ac:dyDescent="0.3">
      <c r="A1959" s="223">
        <v>1958</v>
      </c>
      <c r="B1959" s="223" t="s">
        <v>1154</v>
      </c>
      <c r="C1959" s="223" t="s">
        <v>1227</v>
      </c>
      <c r="D1959" s="223" t="s">
        <v>1223</v>
      </c>
      <c r="E1959" s="223" t="s">
        <v>21</v>
      </c>
      <c r="F1959" s="223" t="s">
        <v>27</v>
      </c>
      <c r="G1959" s="223" t="s">
        <v>1219</v>
      </c>
    </row>
    <row r="1960" spans="1:7" x14ac:dyDescent="0.3">
      <c r="A1960" s="223">
        <v>1959</v>
      </c>
      <c r="B1960" s="223" t="s">
        <v>1154</v>
      </c>
      <c r="C1960" s="223" t="s">
        <v>1227</v>
      </c>
      <c r="D1960" s="223" t="s">
        <v>1223</v>
      </c>
      <c r="E1960" s="223" t="s">
        <v>21</v>
      </c>
      <c r="F1960" s="223" t="s">
        <v>1096</v>
      </c>
      <c r="G1960" s="223" t="s">
        <v>1219</v>
      </c>
    </row>
    <row r="1961" spans="1:7" x14ac:dyDescent="0.3">
      <c r="A1961" s="223">
        <v>1960</v>
      </c>
      <c r="B1961" s="223" t="s">
        <v>1154</v>
      </c>
      <c r="C1961" s="223" t="s">
        <v>1227</v>
      </c>
      <c r="D1961" s="223" t="s">
        <v>1223</v>
      </c>
      <c r="E1961" s="223" t="s">
        <v>21</v>
      </c>
      <c r="F1961" s="223" t="s">
        <v>1090</v>
      </c>
      <c r="G1961" s="223" t="s">
        <v>1219</v>
      </c>
    </row>
    <row r="1962" spans="1:7" x14ac:dyDescent="0.3">
      <c r="A1962" s="223">
        <v>1961</v>
      </c>
      <c r="B1962" s="223" t="s">
        <v>1154</v>
      </c>
      <c r="C1962" s="223" t="s">
        <v>1227</v>
      </c>
      <c r="D1962" s="223" t="s">
        <v>12</v>
      </c>
      <c r="E1962" s="223" t="s">
        <v>1087</v>
      </c>
      <c r="F1962" s="223" t="s">
        <v>1093</v>
      </c>
      <c r="G1962" s="223" t="s">
        <v>1219</v>
      </c>
    </row>
    <row r="1963" spans="1:7" x14ac:dyDescent="0.3">
      <c r="A1963" s="223">
        <v>1962</v>
      </c>
      <c r="B1963" s="223" t="s">
        <v>1154</v>
      </c>
      <c r="C1963" s="223" t="s">
        <v>1227</v>
      </c>
      <c r="D1963" s="223" t="s">
        <v>12</v>
      </c>
      <c r="E1963" s="223" t="s">
        <v>1087</v>
      </c>
      <c r="F1963" s="223" t="s">
        <v>27</v>
      </c>
      <c r="G1963" s="223" t="s">
        <v>1219</v>
      </c>
    </row>
    <row r="1964" spans="1:7" x14ac:dyDescent="0.3">
      <c r="A1964" s="223">
        <v>1963</v>
      </c>
      <c r="B1964" s="223" t="s">
        <v>1154</v>
      </c>
      <c r="C1964" s="223" t="s">
        <v>1227</v>
      </c>
      <c r="D1964" s="223" t="s">
        <v>12</v>
      </c>
      <c r="E1964" s="223" t="s">
        <v>1087</v>
      </c>
      <c r="F1964" s="223" t="s">
        <v>1096</v>
      </c>
      <c r="G1964" s="223" t="s">
        <v>1219</v>
      </c>
    </row>
    <row r="1965" spans="1:7" x14ac:dyDescent="0.3">
      <c r="A1965" s="223">
        <v>1964</v>
      </c>
      <c r="B1965" s="223" t="s">
        <v>1154</v>
      </c>
      <c r="C1965" s="223" t="s">
        <v>1227</v>
      </c>
      <c r="D1965" s="223" t="s">
        <v>12</v>
      </c>
      <c r="E1965" s="223" t="s">
        <v>1087</v>
      </c>
      <c r="F1965" s="223" t="s">
        <v>1090</v>
      </c>
      <c r="G1965" s="223" t="s">
        <v>1219</v>
      </c>
    </row>
    <row r="1966" spans="1:7" x14ac:dyDescent="0.3">
      <c r="A1966" s="223">
        <v>1965</v>
      </c>
      <c r="B1966" s="223" t="s">
        <v>1154</v>
      </c>
      <c r="C1966" s="223" t="s">
        <v>1227</v>
      </c>
      <c r="D1966" s="223" t="s">
        <v>12</v>
      </c>
      <c r="E1966" s="223" t="s">
        <v>21</v>
      </c>
      <c r="F1966" s="223" t="s">
        <v>1093</v>
      </c>
      <c r="G1966" s="223" t="s">
        <v>1219</v>
      </c>
    </row>
    <row r="1967" spans="1:7" x14ac:dyDescent="0.3">
      <c r="A1967" s="223">
        <v>1966</v>
      </c>
      <c r="B1967" s="223" t="s">
        <v>1154</v>
      </c>
      <c r="C1967" s="223" t="s">
        <v>1227</v>
      </c>
      <c r="D1967" s="223" t="s">
        <v>12</v>
      </c>
      <c r="E1967" s="223" t="s">
        <v>21</v>
      </c>
      <c r="F1967" s="223" t="s">
        <v>27</v>
      </c>
      <c r="G1967" s="223" t="s">
        <v>1219</v>
      </c>
    </row>
    <row r="1968" spans="1:7" x14ac:dyDescent="0.3">
      <c r="A1968" s="223">
        <v>1967</v>
      </c>
      <c r="B1968" s="223" t="s">
        <v>1154</v>
      </c>
      <c r="C1968" s="223" t="s">
        <v>1227</v>
      </c>
      <c r="D1968" s="223" t="s">
        <v>12</v>
      </c>
      <c r="E1968" s="223" t="s">
        <v>21</v>
      </c>
      <c r="F1968" s="223" t="s">
        <v>1096</v>
      </c>
      <c r="G1968" s="223" t="s">
        <v>1219</v>
      </c>
    </row>
    <row r="1969" spans="1:7" x14ac:dyDescent="0.3">
      <c r="A1969" s="223">
        <v>1968</v>
      </c>
      <c r="B1969" s="223" t="s">
        <v>1154</v>
      </c>
      <c r="C1969" s="223" t="s">
        <v>1227</v>
      </c>
      <c r="D1969" s="223" t="s">
        <v>12</v>
      </c>
      <c r="E1969" s="223" t="s">
        <v>21</v>
      </c>
      <c r="F1969" s="223" t="s">
        <v>1090</v>
      </c>
      <c r="G1969" s="223" t="s">
        <v>1219</v>
      </c>
    </row>
    <row r="1970" spans="1:7" x14ac:dyDescent="0.3">
      <c r="A1970" s="223">
        <v>1969</v>
      </c>
      <c r="B1970" s="223" t="s">
        <v>1154</v>
      </c>
      <c r="C1970" s="223" t="s">
        <v>1228</v>
      </c>
      <c r="D1970" s="223" t="s">
        <v>1218</v>
      </c>
      <c r="E1970" s="223" t="s">
        <v>1087</v>
      </c>
      <c r="F1970" s="223" t="s">
        <v>1093</v>
      </c>
      <c r="G1970" s="223" t="s">
        <v>1219</v>
      </c>
    </row>
    <row r="1971" spans="1:7" x14ac:dyDescent="0.3">
      <c r="A1971" s="223">
        <v>1970</v>
      </c>
      <c r="B1971" s="223" t="s">
        <v>1154</v>
      </c>
      <c r="C1971" s="223" t="s">
        <v>1228</v>
      </c>
      <c r="D1971" s="223" t="s">
        <v>1218</v>
      </c>
      <c r="E1971" s="223" t="s">
        <v>1087</v>
      </c>
      <c r="F1971" s="223" t="s">
        <v>27</v>
      </c>
      <c r="G1971" s="223" t="s">
        <v>1219</v>
      </c>
    </row>
    <row r="1972" spans="1:7" x14ac:dyDescent="0.3">
      <c r="A1972" s="223">
        <v>1971</v>
      </c>
      <c r="B1972" s="223" t="s">
        <v>1154</v>
      </c>
      <c r="C1972" s="223" t="s">
        <v>1228</v>
      </c>
      <c r="D1972" s="223" t="s">
        <v>1218</v>
      </c>
      <c r="E1972" s="223" t="s">
        <v>1087</v>
      </c>
      <c r="F1972" s="223" t="s">
        <v>1096</v>
      </c>
      <c r="G1972" s="223" t="s">
        <v>1219</v>
      </c>
    </row>
    <row r="1973" spans="1:7" x14ac:dyDescent="0.3">
      <c r="A1973" s="223">
        <v>1972</v>
      </c>
      <c r="B1973" s="223" t="s">
        <v>1154</v>
      </c>
      <c r="C1973" s="223" t="s">
        <v>1228</v>
      </c>
      <c r="D1973" s="223" t="s">
        <v>1218</v>
      </c>
      <c r="E1973" s="223" t="s">
        <v>1087</v>
      </c>
      <c r="F1973" s="223" t="s">
        <v>1090</v>
      </c>
      <c r="G1973" s="223" t="s">
        <v>1219</v>
      </c>
    </row>
    <row r="1974" spans="1:7" x14ac:dyDescent="0.3">
      <c r="A1974" s="223">
        <v>1973</v>
      </c>
      <c r="B1974" s="223" t="s">
        <v>1154</v>
      </c>
      <c r="C1974" s="223" t="s">
        <v>1228</v>
      </c>
      <c r="D1974" s="223" t="s">
        <v>1218</v>
      </c>
      <c r="E1974" s="223" t="s">
        <v>21</v>
      </c>
      <c r="F1974" s="223" t="s">
        <v>1093</v>
      </c>
      <c r="G1974" s="223" t="s">
        <v>1219</v>
      </c>
    </row>
    <row r="1975" spans="1:7" x14ac:dyDescent="0.3">
      <c r="A1975" s="223">
        <v>1974</v>
      </c>
      <c r="B1975" s="223" t="s">
        <v>1154</v>
      </c>
      <c r="C1975" s="223" t="s">
        <v>1228</v>
      </c>
      <c r="D1975" s="223" t="s">
        <v>1218</v>
      </c>
      <c r="E1975" s="223" t="s">
        <v>21</v>
      </c>
      <c r="F1975" s="223" t="s">
        <v>27</v>
      </c>
      <c r="G1975" s="223" t="s">
        <v>1219</v>
      </c>
    </row>
    <row r="1976" spans="1:7" x14ac:dyDescent="0.3">
      <c r="A1976" s="223">
        <v>1975</v>
      </c>
      <c r="B1976" s="223" t="s">
        <v>1154</v>
      </c>
      <c r="C1976" s="223" t="s">
        <v>1228</v>
      </c>
      <c r="D1976" s="223" t="s">
        <v>1218</v>
      </c>
      <c r="E1976" s="223" t="s">
        <v>21</v>
      </c>
      <c r="F1976" s="223" t="s">
        <v>1096</v>
      </c>
      <c r="G1976" s="223" t="s">
        <v>1219</v>
      </c>
    </row>
    <row r="1977" spans="1:7" x14ac:dyDescent="0.3">
      <c r="A1977" s="223">
        <v>1976</v>
      </c>
      <c r="B1977" s="223" t="s">
        <v>1154</v>
      </c>
      <c r="C1977" s="223" t="s">
        <v>1228</v>
      </c>
      <c r="D1977" s="223" t="s">
        <v>1218</v>
      </c>
      <c r="E1977" s="223" t="s">
        <v>21</v>
      </c>
      <c r="F1977" s="223" t="s">
        <v>1090</v>
      </c>
      <c r="G1977" s="223" t="s">
        <v>1219</v>
      </c>
    </row>
    <row r="1978" spans="1:7" x14ac:dyDescent="0.3">
      <c r="A1978" s="223">
        <v>1977</v>
      </c>
      <c r="B1978" s="223" t="s">
        <v>1154</v>
      </c>
      <c r="C1978" s="223" t="s">
        <v>1228</v>
      </c>
      <c r="D1978" s="223" t="s">
        <v>1220</v>
      </c>
      <c r="E1978" s="223" t="s">
        <v>1087</v>
      </c>
      <c r="F1978" s="223" t="s">
        <v>1093</v>
      </c>
      <c r="G1978" s="223" t="s">
        <v>1219</v>
      </c>
    </row>
    <row r="1979" spans="1:7" x14ac:dyDescent="0.3">
      <c r="A1979" s="223">
        <v>1978</v>
      </c>
      <c r="B1979" s="223" t="s">
        <v>1154</v>
      </c>
      <c r="C1979" s="223" t="s">
        <v>1228</v>
      </c>
      <c r="D1979" s="223" t="s">
        <v>1220</v>
      </c>
      <c r="E1979" s="223" t="s">
        <v>1087</v>
      </c>
      <c r="F1979" s="223" t="s">
        <v>27</v>
      </c>
      <c r="G1979" s="223" t="s">
        <v>1219</v>
      </c>
    </row>
    <row r="1980" spans="1:7" x14ac:dyDescent="0.3">
      <c r="A1980" s="223">
        <v>1979</v>
      </c>
      <c r="B1980" s="223" t="s">
        <v>1154</v>
      </c>
      <c r="C1980" s="223" t="s">
        <v>1228</v>
      </c>
      <c r="D1980" s="223" t="s">
        <v>1220</v>
      </c>
      <c r="E1980" s="223" t="s">
        <v>1087</v>
      </c>
      <c r="F1980" s="223" t="s">
        <v>1096</v>
      </c>
      <c r="G1980" s="223" t="s">
        <v>1219</v>
      </c>
    </row>
    <row r="1981" spans="1:7" x14ac:dyDescent="0.3">
      <c r="A1981" s="223">
        <v>1980</v>
      </c>
      <c r="B1981" s="223" t="s">
        <v>1154</v>
      </c>
      <c r="C1981" s="223" t="s">
        <v>1228</v>
      </c>
      <c r="D1981" s="223" t="s">
        <v>1220</v>
      </c>
      <c r="E1981" s="223" t="s">
        <v>1087</v>
      </c>
      <c r="F1981" s="223" t="s">
        <v>1090</v>
      </c>
      <c r="G1981" s="223" t="s">
        <v>1219</v>
      </c>
    </row>
    <row r="1982" spans="1:7" x14ac:dyDescent="0.3">
      <c r="A1982" s="223">
        <v>1981</v>
      </c>
      <c r="B1982" s="223" t="s">
        <v>1154</v>
      </c>
      <c r="C1982" s="223" t="s">
        <v>1228</v>
      </c>
      <c r="D1982" s="223" t="s">
        <v>1220</v>
      </c>
      <c r="E1982" s="223" t="s">
        <v>21</v>
      </c>
      <c r="F1982" s="223" t="s">
        <v>1093</v>
      </c>
      <c r="G1982" s="223" t="s">
        <v>1219</v>
      </c>
    </row>
    <row r="1983" spans="1:7" x14ac:dyDescent="0.3">
      <c r="A1983" s="223">
        <v>1982</v>
      </c>
      <c r="B1983" s="223" t="s">
        <v>1154</v>
      </c>
      <c r="C1983" s="223" t="s">
        <v>1228</v>
      </c>
      <c r="D1983" s="223" t="s">
        <v>1220</v>
      </c>
      <c r="E1983" s="223" t="s">
        <v>21</v>
      </c>
      <c r="F1983" s="223" t="s">
        <v>27</v>
      </c>
      <c r="G1983" s="223" t="s">
        <v>1219</v>
      </c>
    </row>
    <row r="1984" spans="1:7" x14ac:dyDescent="0.3">
      <c r="A1984" s="223">
        <v>1983</v>
      </c>
      <c r="B1984" s="223" t="s">
        <v>1154</v>
      </c>
      <c r="C1984" s="223" t="s">
        <v>1228</v>
      </c>
      <c r="D1984" s="223" t="s">
        <v>1220</v>
      </c>
      <c r="E1984" s="223" t="s">
        <v>21</v>
      </c>
      <c r="F1984" s="223" t="s">
        <v>1096</v>
      </c>
      <c r="G1984" s="223" t="s">
        <v>1219</v>
      </c>
    </row>
    <row r="1985" spans="1:7" x14ac:dyDescent="0.3">
      <c r="A1985" s="223">
        <v>1984</v>
      </c>
      <c r="B1985" s="223" t="s">
        <v>1154</v>
      </c>
      <c r="C1985" s="223" t="s">
        <v>1228</v>
      </c>
      <c r="D1985" s="223" t="s">
        <v>1220</v>
      </c>
      <c r="E1985" s="223" t="s">
        <v>21</v>
      </c>
      <c r="F1985" s="223" t="s">
        <v>1090</v>
      </c>
      <c r="G1985" s="223" t="s">
        <v>1219</v>
      </c>
    </row>
    <row r="1986" spans="1:7" x14ac:dyDescent="0.3">
      <c r="A1986" s="223">
        <v>1985</v>
      </c>
      <c r="B1986" s="223" t="s">
        <v>1154</v>
      </c>
      <c r="C1986" s="223" t="s">
        <v>1228</v>
      </c>
      <c r="D1986" s="223" t="s">
        <v>1221</v>
      </c>
      <c r="E1986" s="223" t="s">
        <v>1087</v>
      </c>
      <c r="F1986" s="223" t="s">
        <v>1093</v>
      </c>
      <c r="G1986" s="223" t="s">
        <v>1219</v>
      </c>
    </row>
    <row r="1987" spans="1:7" x14ac:dyDescent="0.3">
      <c r="A1987" s="223">
        <v>1986</v>
      </c>
      <c r="B1987" s="223" t="s">
        <v>1154</v>
      </c>
      <c r="C1987" s="223" t="s">
        <v>1228</v>
      </c>
      <c r="D1987" s="223" t="s">
        <v>1221</v>
      </c>
      <c r="E1987" s="223" t="s">
        <v>1087</v>
      </c>
      <c r="F1987" s="223" t="s">
        <v>27</v>
      </c>
      <c r="G1987" s="223" t="s">
        <v>1219</v>
      </c>
    </row>
    <row r="1988" spans="1:7" x14ac:dyDescent="0.3">
      <c r="A1988" s="223">
        <v>1987</v>
      </c>
      <c r="B1988" s="223" t="s">
        <v>1154</v>
      </c>
      <c r="C1988" s="223" t="s">
        <v>1228</v>
      </c>
      <c r="D1988" s="223" t="s">
        <v>1221</v>
      </c>
      <c r="E1988" s="223" t="s">
        <v>1087</v>
      </c>
      <c r="F1988" s="223" t="s">
        <v>1096</v>
      </c>
      <c r="G1988" s="223" t="s">
        <v>1219</v>
      </c>
    </row>
    <row r="1989" spans="1:7" x14ac:dyDescent="0.3">
      <c r="A1989" s="223">
        <v>1988</v>
      </c>
      <c r="B1989" s="223" t="s">
        <v>1154</v>
      </c>
      <c r="C1989" s="223" t="s">
        <v>1228</v>
      </c>
      <c r="D1989" s="223" t="s">
        <v>1221</v>
      </c>
      <c r="E1989" s="223" t="s">
        <v>1087</v>
      </c>
      <c r="F1989" s="223" t="s">
        <v>1090</v>
      </c>
      <c r="G1989" s="223" t="s">
        <v>1219</v>
      </c>
    </row>
    <row r="1990" spans="1:7" x14ac:dyDescent="0.3">
      <c r="A1990" s="223">
        <v>1989</v>
      </c>
      <c r="B1990" s="223" t="s">
        <v>1154</v>
      </c>
      <c r="C1990" s="223" t="s">
        <v>1228</v>
      </c>
      <c r="D1990" s="223" t="s">
        <v>1221</v>
      </c>
      <c r="E1990" s="223" t="s">
        <v>21</v>
      </c>
      <c r="F1990" s="223" t="s">
        <v>1093</v>
      </c>
      <c r="G1990" s="223" t="s">
        <v>1219</v>
      </c>
    </row>
    <row r="1991" spans="1:7" x14ac:dyDescent="0.3">
      <c r="A1991" s="223">
        <v>1990</v>
      </c>
      <c r="B1991" s="223" t="s">
        <v>1154</v>
      </c>
      <c r="C1991" s="223" t="s">
        <v>1228</v>
      </c>
      <c r="D1991" s="223" t="s">
        <v>1221</v>
      </c>
      <c r="E1991" s="223" t="s">
        <v>21</v>
      </c>
      <c r="F1991" s="223" t="s">
        <v>27</v>
      </c>
      <c r="G1991" s="223" t="s">
        <v>1219</v>
      </c>
    </row>
    <row r="1992" spans="1:7" x14ac:dyDescent="0.3">
      <c r="A1992" s="223">
        <v>1991</v>
      </c>
      <c r="B1992" s="223" t="s">
        <v>1154</v>
      </c>
      <c r="C1992" s="223" t="s">
        <v>1228</v>
      </c>
      <c r="D1992" s="223" t="s">
        <v>1221</v>
      </c>
      <c r="E1992" s="223" t="s">
        <v>21</v>
      </c>
      <c r="F1992" s="223" t="s">
        <v>1096</v>
      </c>
      <c r="G1992" s="223" t="s">
        <v>1219</v>
      </c>
    </row>
    <row r="1993" spans="1:7" x14ac:dyDescent="0.3">
      <c r="A1993" s="223">
        <v>1992</v>
      </c>
      <c r="B1993" s="223" t="s">
        <v>1154</v>
      </c>
      <c r="C1993" s="223" t="s">
        <v>1228</v>
      </c>
      <c r="D1993" s="223" t="s">
        <v>1221</v>
      </c>
      <c r="E1993" s="223" t="s">
        <v>21</v>
      </c>
      <c r="F1993" s="223" t="s">
        <v>1090</v>
      </c>
      <c r="G1993" s="223" t="s">
        <v>1219</v>
      </c>
    </row>
    <row r="1994" spans="1:7" x14ac:dyDescent="0.3">
      <c r="A1994" s="223">
        <v>1993</v>
      </c>
      <c r="B1994" s="223" t="s">
        <v>1154</v>
      </c>
      <c r="C1994" s="223" t="s">
        <v>1228</v>
      </c>
      <c r="D1994" s="223" t="s">
        <v>1222</v>
      </c>
      <c r="E1994" s="223" t="s">
        <v>1087</v>
      </c>
      <c r="F1994" s="223" t="s">
        <v>1093</v>
      </c>
      <c r="G1994" s="223" t="s">
        <v>1219</v>
      </c>
    </row>
    <row r="1995" spans="1:7" x14ac:dyDescent="0.3">
      <c r="A1995" s="223">
        <v>1994</v>
      </c>
      <c r="B1995" s="223" t="s">
        <v>1154</v>
      </c>
      <c r="C1995" s="223" t="s">
        <v>1228</v>
      </c>
      <c r="D1995" s="223" t="s">
        <v>1222</v>
      </c>
      <c r="E1995" s="223" t="s">
        <v>1087</v>
      </c>
      <c r="F1995" s="223" t="s">
        <v>27</v>
      </c>
      <c r="G1995" s="223" t="s">
        <v>1219</v>
      </c>
    </row>
    <row r="1996" spans="1:7" x14ac:dyDescent="0.3">
      <c r="A1996" s="223">
        <v>1995</v>
      </c>
      <c r="B1996" s="223" t="s">
        <v>1154</v>
      </c>
      <c r="C1996" s="223" t="s">
        <v>1228</v>
      </c>
      <c r="D1996" s="223" t="s">
        <v>1222</v>
      </c>
      <c r="E1996" s="223" t="s">
        <v>1087</v>
      </c>
      <c r="F1996" s="223" t="s">
        <v>1096</v>
      </c>
      <c r="G1996" s="223" t="s">
        <v>1219</v>
      </c>
    </row>
    <row r="1997" spans="1:7" x14ac:dyDescent="0.3">
      <c r="A1997" s="223">
        <v>1996</v>
      </c>
      <c r="B1997" s="223" t="s">
        <v>1154</v>
      </c>
      <c r="C1997" s="223" t="s">
        <v>1228</v>
      </c>
      <c r="D1997" s="223" t="s">
        <v>1222</v>
      </c>
      <c r="E1997" s="223" t="s">
        <v>1087</v>
      </c>
      <c r="F1997" s="223" t="s">
        <v>1090</v>
      </c>
      <c r="G1997" s="223" t="s">
        <v>1219</v>
      </c>
    </row>
    <row r="1998" spans="1:7" x14ac:dyDescent="0.3">
      <c r="A1998" s="223">
        <v>1997</v>
      </c>
      <c r="B1998" s="223" t="s">
        <v>1154</v>
      </c>
      <c r="C1998" s="223" t="s">
        <v>1228</v>
      </c>
      <c r="D1998" s="223" t="s">
        <v>1222</v>
      </c>
      <c r="E1998" s="223" t="s">
        <v>21</v>
      </c>
      <c r="F1998" s="223" t="s">
        <v>1093</v>
      </c>
      <c r="G1998" s="223" t="s">
        <v>1219</v>
      </c>
    </row>
    <row r="1999" spans="1:7" x14ac:dyDescent="0.3">
      <c r="A1999" s="223">
        <v>1998</v>
      </c>
      <c r="B1999" s="223" t="s">
        <v>1154</v>
      </c>
      <c r="C1999" s="223" t="s">
        <v>1228</v>
      </c>
      <c r="D1999" s="223" t="s">
        <v>1222</v>
      </c>
      <c r="E1999" s="223" t="s">
        <v>21</v>
      </c>
      <c r="F1999" s="223" t="s">
        <v>27</v>
      </c>
      <c r="G1999" s="223" t="s">
        <v>1219</v>
      </c>
    </row>
    <row r="2000" spans="1:7" x14ac:dyDescent="0.3">
      <c r="A2000" s="223">
        <v>1999</v>
      </c>
      <c r="B2000" s="223" t="s">
        <v>1154</v>
      </c>
      <c r="C2000" s="223" t="s">
        <v>1228</v>
      </c>
      <c r="D2000" s="223" t="s">
        <v>1222</v>
      </c>
      <c r="E2000" s="223" t="s">
        <v>21</v>
      </c>
      <c r="F2000" s="223" t="s">
        <v>1096</v>
      </c>
      <c r="G2000" s="223" t="s">
        <v>1219</v>
      </c>
    </row>
    <row r="2001" spans="1:7" x14ac:dyDescent="0.3">
      <c r="A2001" s="223">
        <v>2000</v>
      </c>
      <c r="B2001" s="223" t="s">
        <v>1154</v>
      </c>
      <c r="C2001" s="223" t="s">
        <v>1228</v>
      </c>
      <c r="D2001" s="223" t="s">
        <v>1222</v>
      </c>
      <c r="E2001" s="223" t="s">
        <v>21</v>
      </c>
      <c r="F2001" s="223" t="s">
        <v>1090</v>
      </c>
      <c r="G2001" s="223" t="s">
        <v>1219</v>
      </c>
    </row>
    <row r="2002" spans="1:7" x14ac:dyDescent="0.3">
      <c r="A2002" s="223">
        <v>2001</v>
      </c>
      <c r="B2002" s="223" t="s">
        <v>1154</v>
      </c>
      <c r="C2002" s="223" t="s">
        <v>1228</v>
      </c>
      <c r="D2002" s="223" t="s">
        <v>1223</v>
      </c>
      <c r="E2002" s="223" t="s">
        <v>1087</v>
      </c>
      <c r="F2002" s="223" t="s">
        <v>1093</v>
      </c>
      <c r="G2002" s="223" t="s">
        <v>1219</v>
      </c>
    </row>
    <row r="2003" spans="1:7" x14ac:dyDescent="0.3">
      <c r="A2003" s="223">
        <v>2002</v>
      </c>
      <c r="B2003" s="223" t="s">
        <v>1154</v>
      </c>
      <c r="C2003" s="223" t="s">
        <v>1228</v>
      </c>
      <c r="D2003" s="223" t="s">
        <v>1223</v>
      </c>
      <c r="E2003" s="223" t="s">
        <v>1087</v>
      </c>
      <c r="F2003" s="223" t="s">
        <v>27</v>
      </c>
      <c r="G2003" s="223" t="s">
        <v>1219</v>
      </c>
    </row>
    <row r="2004" spans="1:7" x14ac:dyDescent="0.3">
      <c r="A2004" s="223">
        <v>2003</v>
      </c>
      <c r="B2004" s="223" t="s">
        <v>1154</v>
      </c>
      <c r="C2004" s="223" t="s">
        <v>1228</v>
      </c>
      <c r="D2004" s="223" t="s">
        <v>1223</v>
      </c>
      <c r="E2004" s="223" t="s">
        <v>1087</v>
      </c>
      <c r="F2004" s="223" t="s">
        <v>1096</v>
      </c>
      <c r="G2004" s="223" t="s">
        <v>1219</v>
      </c>
    </row>
    <row r="2005" spans="1:7" x14ac:dyDescent="0.3">
      <c r="A2005" s="223">
        <v>2004</v>
      </c>
      <c r="B2005" s="223" t="s">
        <v>1154</v>
      </c>
      <c r="C2005" s="223" t="s">
        <v>1228</v>
      </c>
      <c r="D2005" s="223" t="s">
        <v>1223</v>
      </c>
      <c r="E2005" s="223" t="s">
        <v>1087</v>
      </c>
      <c r="F2005" s="223" t="s">
        <v>1090</v>
      </c>
      <c r="G2005" s="223" t="s">
        <v>1219</v>
      </c>
    </row>
    <row r="2006" spans="1:7" x14ac:dyDescent="0.3">
      <c r="A2006" s="223">
        <v>2005</v>
      </c>
      <c r="B2006" s="223" t="s">
        <v>1154</v>
      </c>
      <c r="C2006" s="223" t="s">
        <v>1228</v>
      </c>
      <c r="D2006" s="223" t="s">
        <v>1223</v>
      </c>
      <c r="E2006" s="223" t="s">
        <v>21</v>
      </c>
      <c r="F2006" s="223" t="s">
        <v>1093</v>
      </c>
      <c r="G2006" s="223" t="s">
        <v>1219</v>
      </c>
    </row>
    <row r="2007" spans="1:7" x14ac:dyDescent="0.3">
      <c r="A2007" s="223">
        <v>2006</v>
      </c>
      <c r="B2007" s="223" t="s">
        <v>1154</v>
      </c>
      <c r="C2007" s="223" t="s">
        <v>1228</v>
      </c>
      <c r="D2007" s="223" t="s">
        <v>1223</v>
      </c>
      <c r="E2007" s="223" t="s">
        <v>21</v>
      </c>
      <c r="F2007" s="223" t="s">
        <v>27</v>
      </c>
      <c r="G2007" s="223" t="s">
        <v>1219</v>
      </c>
    </row>
    <row r="2008" spans="1:7" x14ac:dyDescent="0.3">
      <c r="A2008" s="223">
        <v>2007</v>
      </c>
      <c r="B2008" s="223" t="s">
        <v>1154</v>
      </c>
      <c r="C2008" s="223" t="s">
        <v>1228</v>
      </c>
      <c r="D2008" s="223" t="s">
        <v>1223</v>
      </c>
      <c r="E2008" s="223" t="s">
        <v>21</v>
      </c>
      <c r="F2008" s="223" t="s">
        <v>1096</v>
      </c>
      <c r="G2008" s="223" t="s">
        <v>1219</v>
      </c>
    </row>
    <row r="2009" spans="1:7" x14ac:dyDescent="0.3">
      <c r="A2009" s="223">
        <v>2008</v>
      </c>
      <c r="B2009" s="223" t="s">
        <v>1154</v>
      </c>
      <c r="C2009" s="223" t="s">
        <v>1228</v>
      </c>
      <c r="D2009" s="223" t="s">
        <v>1223</v>
      </c>
      <c r="E2009" s="223" t="s">
        <v>21</v>
      </c>
      <c r="F2009" s="223" t="s">
        <v>1090</v>
      </c>
      <c r="G2009" s="223" t="s">
        <v>1219</v>
      </c>
    </row>
    <row r="2010" spans="1:7" x14ac:dyDescent="0.3">
      <c r="A2010" s="223">
        <v>2009</v>
      </c>
      <c r="B2010" s="223" t="s">
        <v>1154</v>
      </c>
      <c r="C2010" s="223" t="s">
        <v>1228</v>
      </c>
      <c r="D2010" s="223" t="s">
        <v>12</v>
      </c>
      <c r="E2010" s="223" t="s">
        <v>1087</v>
      </c>
      <c r="F2010" s="223" t="s">
        <v>1093</v>
      </c>
      <c r="G2010" s="223" t="s">
        <v>1219</v>
      </c>
    </row>
    <row r="2011" spans="1:7" x14ac:dyDescent="0.3">
      <c r="A2011" s="223">
        <v>2010</v>
      </c>
      <c r="B2011" s="223" t="s">
        <v>1154</v>
      </c>
      <c r="C2011" s="223" t="s">
        <v>1228</v>
      </c>
      <c r="D2011" s="223" t="s">
        <v>12</v>
      </c>
      <c r="E2011" s="223" t="s">
        <v>1087</v>
      </c>
      <c r="F2011" s="223" t="s">
        <v>27</v>
      </c>
      <c r="G2011" s="223" t="s">
        <v>1219</v>
      </c>
    </row>
    <row r="2012" spans="1:7" x14ac:dyDescent="0.3">
      <c r="A2012" s="223">
        <v>2011</v>
      </c>
      <c r="B2012" s="223" t="s">
        <v>1154</v>
      </c>
      <c r="C2012" s="223" t="s">
        <v>1228</v>
      </c>
      <c r="D2012" s="223" t="s">
        <v>12</v>
      </c>
      <c r="E2012" s="223" t="s">
        <v>1087</v>
      </c>
      <c r="F2012" s="223" t="s">
        <v>1096</v>
      </c>
      <c r="G2012" s="223" t="s">
        <v>1219</v>
      </c>
    </row>
    <row r="2013" spans="1:7" x14ac:dyDescent="0.3">
      <c r="A2013" s="223">
        <v>2012</v>
      </c>
      <c r="B2013" s="223" t="s">
        <v>1154</v>
      </c>
      <c r="C2013" s="223" t="s">
        <v>1228</v>
      </c>
      <c r="D2013" s="223" t="s">
        <v>12</v>
      </c>
      <c r="E2013" s="223" t="s">
        <v>1087</v>
      </c>
      <c r="F2013" s="223" t="s">
        <v>1090</v>
      </c>
      <c r="G2013" s="223" t="s">
        <v>1219</v>
      </c>
    </row>
    <row r="2014" spans="1:7" x14ac:dyDescent="0.3">
      <c r="A2014" s="223">
        <v>2013</v>
      </c>
      <c r="B2014" s="223" t="s">
        <v>1154</v>
      </c>
      <c r="C2014" s="223" t="s">
        <v>1228</v>
      </c>
      <c r="D2014" s="223" t="s">
        <v>12</v>
      </c>
      <c r="E2014" s="223" t="s">
        <v>21</v>
      </c>
      <c r="F2014" s="223" t="s">
        <v>1093</v>
      </c>
      <c r="G2014" s="223" t="s">
        <v>1219</v>
      </c>
    </row>
    <row r="2015" spans="1:7" x14ac:dyDescent="0.3">
      <c r="A2015" s="223">
        <v>2014</v>
      </c>
      <c r="B2015" s="223" t="s">
        <v>1154</v>
      </c>
      <c r="C2015" s="223" t="s">
        <v>1228</v>
      </c>
      <c r="D2015" s="223" t="s">
        <v>12</v>
      </c>
      <c r="E2015" s="223" t="s">
        <v>21</v>
      </c>
      <c r="F2015" s="223" t="s">
        <v>27</v>
      </c>
      <c r="G2015" s="223" t="s">
        <v>1219</v>
      </c>
    </row>
    <row r="2016" spans="1:7" x14ac:dyDescent="0.3">
      <c r="A2016" s="223">
        <v>2015</v>
      </c>
      <c r="B2016" s="223" t="s">
        <v>1154</v>
      </c>
      <c r="C2016" s="223" t="s">
        <v>1228</v>
      </c>
      <c r="D2016" s="223" t="s">
        <v>12</v>
      </c>
      <c r="E2016" s="223" t="s">
        <v>21</v>
      </c>
      <c r="F2016" s="223" t="s">
        <v>1096</v>
      </c>
      <c r="G2016" s="223" t="s">
        <v>1219</v>
      </c>
    </row>
    <row r="2017" spans="1:7" x14ac:dyDescent="0.3">
      <c r="A2017" s="223">
        <v>2016</v>
      </c>
      <c r="B2017" s="223" t="s">
        <v>1154</v>
      </c>
      <c r="C2017" s="223" t="s">
        <v>1228</v>
      </c>
      <c r="D2017" s="223" t="s">
        <v>12</v>
      </c>
      <c r="E2017" s="223" t="s">
        <v>21</v>
      </c>
      <c r="F2017" s="223" t="s">
        <v>1090</v>
      </c>
      <c r="G2017" s="223" t="s">
        <v>1219</v>
      </c>
    </row>
    <row r="2018" spans="1:7" x14ac:dyDescent="0.3">
      <c r="A2018" s="223">
        <v>2017</v>
      </c>
      <c r="B2018" s="223" t="s">
        <v>1169</v>
      </c>
      <c r="C2018" s="223" t="s">
        <v>1217</v>
      </c>
      <c r="D2018" s="223" t="s">
        <v>1218</v>
      </c>
      <c r="E2018" s="223" t="s">
        <v>1087</v>
      </c>
      <c r="F2018" s="223" t="s">
        <v>1093</v>
      </c>
      <c r="G2018" s="223" t="s">
        <v>1229</v>
      </c>
    </row>
    <row r="2019" spans="1:7" x14ac:dyDescent="0.3">
      <c r="A2019" s="223">
        <v>2018</v>
      </c>
      <c r="B2019" s="223" t="s">
        <v>1169</v>
      </c>
      <c r="C2019" s="223" t="s">
        <v>1217</v>
      </c>
      <c r="D2019" s="223" t="s">
        <v>1218</v>
      </c>
      <c r="E2019" s="223" t="s">
        <v>1087</v>
      </c>
      <c r="F2019" s="223" t="s">
        <v>27</v>
      </c>
      <c r="G2019" s="223" t="s">
        <v>1229</v>
      </c>
    </row>
    <row r="2020" spans="1:7" x14ac:dyDescent="0.3">
      <c r="A2020" s="223">
        <v>2019</v>
      </c>
      <c r="B2020" s="223" t="s">
        <v>1169</v>
      </c>
      <c r="C2020" s="223" t="s">
        <v>1217</v>
      </c>
      <c r="D2020" s="223" t="s">
        <v>1218</v>
      </c>
      <c r="E2020" s="223" t="s">
        <v>1087</v>
      </c>
      <c r="F2020" s="223" t="s">
        <v>1096</v>
      </c>
      <c r="G2020" s="223" t="s">
        <v>1229</v>
      </c>
    </row>
    <row r="2021" spans="1:7" x14ac:dyDescent="0.3">
      <c r="A2021" s="223">
        <v>2020</v>
      </c>
      <c r="B2021" s="223" t="s">
        <v>1169</v>
      </c>
      <c r="C2021" s="223" t="s">
        <v>1217</v>
      </c>
      <c r="D2021" s="223" t="s">
        <v>1218</v>
      </c>
      <c r="E2021" s="223" t="s">
        <v>1087</v>
      </c>
      <c r="F2021" s="223" t="s">
        <v>1090</v>
      </c>
      <c r="G2021" s="223" t="s">
        <v>1229</v>
      </c>
    </row>
    <row r="2022" spans="1:7" x14ac:dyDescent="0.3">
      <c r="A2022" s="223">
        <v>2021</v>
      </c>
      <c r="B2022" s="223" t="s">
        <v>1169</v>
      </c>
      <c r="C2022" s="223" t="s">
        <v>1217</v>
      </c>
      <c r="D2022" s="223" t="s">
        <v>1218</v>
      </c>
      <c r="E2022" s="223" t="s">
        <v>21</v>
      </c>
      <c r="F2022" s="223" t="s">
        <v>1093</v>
      </c>
      <c r="G2022" s="223" t="s">
        <v>1229</v>
      </c>
    </row>
    <row r="2023" spans="1:7" x14ac:dyDescent="0.3">
      <c r="A2023" s="223">
        <v>2022</v>
      </c>
      <c r="B2023" s="223" t="s">
        <v>1169</v>
      </c>
      <c r="C2023" s="223" t="s">
        <v>1217</v>
      </c>
      <c r="D2023" s="223" t="s">
        <v>1218</v>
      </c>
      <c r="E2023" s="223" t="s">
        <v>21</v>
      </c>
      <c r="F2023" s="223" t="s">
        <v>27</v>
      </c>
      <c r="G2023" s="223" t="s">
        <v>1229</v>
      </c>
    </row>
    <row r="2024" spans="1:7" x14ac:dyDescent="0.3">
      <c r="A2024" s="223">
        <v>2023</v>
      </c>
      <c r="B2024" s="223" t="s">
        <v>1169</v>
      </c>
      <c r="C2024" s="223" t="s">
        <v>1217</v>
      </c>
      <c r="D2024" s="223" t="s">
        <v>1218</v>
      </c>
      <c r="E2024" s="223" t="s">
        <v>21</v>
      </c>
      <c r="F2024" s="223" t="s">
        <v>1096</v>
      </c>
      <c r="G2024" s="223" t="s">
        <v>1229</v>
      </c>
    </row>
    <row r="2025" spans="1:7" x14ac:dyDescent="0.3">
      <c r="A2025" s="223">
        <v>2024</v>
      </c>
      <c r="B2025" s="223" t="s">
        <v>1169</v>
      </c>
      <c r="C2025" s="223" t="s">
        <v>1217</v>
      </c>
      <c r="D2025" s="223" t="s">
        <v>1218</v>
      </c>
      <c r="E2025" s="223" t="s">
        <v>21</v>
      </c>
      <c r="F2025" s="223" t="s">
        <v>1090</v>
      </c>
      <c r="G2025" s="223" t="s">
        <v>1229</v>
      </c>
    </row>
    <row r="2026" spans="1:7" x14ac:dyDescent="0.3">
      <c r="A2026" s="223">
        <v>2025</v>
      </c>
      <c r="B2026" s="223" t="s">
        <v>1169</v>
      </c>
      <c r="C2026" s="223" t="s">
        <v>1217</v>
      </c>
      <c r="D2026" s="223" t="s">
        <v>1220</v>
      </c>
      <c r="E2026" s="223" t="s">
        <v>1087</v>
      </c>
      <c r="F2026" s="223" t="s">
        <v>1093</v>
      </c>
      <c r="G2026" s="223" t="s">
        <v>1229</v>
      </c>
    </row>
    <row r="2027" spans="1:7" x14ac:dyDescent="0.3">
      <c r="A2027" s="223">
        <v>2026</v>
      </c>
      <c r="B2027" s="223" t="s">
        <v>1169</v>
      </c>
      <c r="C2027" s="223" t="s">
        <v>1217</v>
      </c>
      <c r="D2027" s="223" t="s">
        <v>1220</v>
      </c>
      <c r="E2027" s="223" t="s">
        <v>1087</v>
      </c>
      <c r="F2027" s="223" t="s">
        <v>27</v>
      </c>
      <c r="G2027" s="223" t="s">
        <v>1229</v>
      </c>
    </row>
    <row r="2028" spans="1:7" x14ac:dyDescent="0.3">
      <c r="A2028" s="223">
        <v>2027</v>
      </c>
      <c r="B2028" s="223" t="s">
        <v>1169</v>
      </c>
      <c r="C2028" s="223" t="s">
        <v>1217</v>
      </c>
      <c r="D2028" s="223" t="s">
        <v>1220</v>
      </c>
      <c r="E2028" s="223" t="s">
        <v>1087</v>
      </c>
      <c r="F2028" s="223" t="s">
        <v>1096</v>
      </c>
      <c r="G2028" s="223" t="s">
        <v>1229</v>
      </c>
    </row>
    <row r="2029" spans="1:7" x14ac:dyDescent="0.3">
      <c r="A2029" s="223">
        <v>2028</v>
      </c>
      <c r="B2029" s="223" t="s">
        <v>1169</v>
      </c>
      <c r="C2029" s="223" t="s">
        <v>1217</v>
      </c>
      <c r="D2029" s="223" t="s">
        <v>1220</v>
      </c>
      <c r="E2029" s="223" t="s">
        <v>1087</v>
      </c>
      <c r="F2029" s="223" t="s">
        <v>1090</v>
      </c>
      <c r="G2029" s="223" t="s">
        <v>1229</v>
      </c>
    </row>
    <row r="2030" spans="1:7" x14ac:dyDescent="0.3">
      <c r="A2030" s="223">
        <v>2029</v>
      </c>
      <c r="B2030" s="223" t="s">
        <v>1169</v>
      </c>
      <c r="C2030" s="223" t="s">
        <v>1217</v>
      </c>
      <c r="D2030" s="223" t="s">
        <v>1220</v>
      </c>
      <c r="E2030" s="223" t="s">
        <v>21</v>
      </c>
      <c r="F2030" s="223" t="s">
        <v>1093</v>
      </c>
      <c r="G2030" s="223" t="s">
        <v>1229</v>
      </c>
    </row>
    <row r="2031" spans="1:7" x14ac:dyDescent="0.3">
      <c r="A2031" s="223">
        <v>2030</v>
      </c>
      <c r="B2031" s="223" t="s">
        <v>1169</v>
      </c>
      <c r="C2031" s="223" t="s">
        <v>1217</v>
      </c>
      <c r="D2031" s="223" t="s">
        <v>1220</v>
      </c>
      <c r="E2031" s="223" t="s">
        <v>21</v>
      </c>
      <c r="F2031" s="223" t="s">
        <v>27</v>
      </c>
      <c r="G2031" s="223" t="s">
        <v>1229</v>
      </c>
    </row>
    <row r="2032" spans="1:7" x14ac:dyDescent="0.3">
      <c r="A2032" s="223">
        <v>2031</v>
      </c>
      <c r="B2032" s="223" t="s">
        <v>1169</v>
      </c>
      <c r="C2032" s="223" t="s">
        <v>1217</v>
      </c>
      <c r="D2032" s="223" t="s">
        <v>1220</v>
      </c>
      <c r="E2032" s="223" t="s">
        <v>21</v>
      </c>
      <c r="F2032" s="223" t="s">
        <v>1096</v>
      </c>
      <c r="G2032" s="223" t="s">
        <v>1229</v>
      </c>
    </row>
    <row r="2033" spans="1:7" x14ac:dyDescent="0.3">
      <c r="A2033" s="223">
        <v>2032</v>
      </c>
      <c r="B2033" s="223" t="s">
        <v>1169</v>
      </c>
      <c r="C2033" s="223" t="s">
        <v>1217</v>
      </c>
      <c r="D2033" s="223" t="s">
        <v>1220</v>
      </c>
      <c r="E2033" s="223" t="s">
        <v>21</v>
      </c>
      <c r="F2033" s="223" t="s">
        <v>1090</v>
      </c>
      <c r="G2033" s="223" t="s">
        <v>1229</v>
      </c>
    </row>
    <row r="2034" spans="1:7" x14ac:dyDescent="0.3">
      <c r="A2034" s="223">
        <v>2033</v>
      </c>
      <c r="B2034" s="223" t="s">
        <v>1169</v>
      </c>
      <c r="C2034" s="223" t="s">
        <v>1217</v>
      </c>
      <c r="D2034" s="223" t="s">
        <v>1221</v>
      </c>
      <c r="E2034" s="223" t="s">
        <v>1087</v>
      </c>
      <c r="F2034" s="223" t="s">
        <v>1093</v>
      </c>
      <c r="G2034" s="223" t="s">
        <v>1229</v>
      </c>
    </row>
    <row r="2035" spans="1:7" x14ac:dyDescent="0.3">
      <c r="A2035" s="223">
        <v>2034</v>
      </c>
      <c r="B2035" s="223" t="s">
        <v>1169</v>
      </c>
      <c r="C2035" s="223" t="s">
        <v>1217</v>
      </c>
      <c r="D2035" s="223" t="s">
        <v>1221</v>
      </c>
      <c r="E2035" s="223" t="s">
        <v>1087</v>
      </c>
      <c r="F2035" s="223" t="s">
        <v>27</v>
      </c>
      <c r="G2035" s="223" t="s">
        <v>1229</v>
      </c>
    </row>
    <row r="2036" spans="1:7" x14ac:dyDescent="0.3">
      <c r="A2036" s="223">
        <v>2035</v>
      </c>
      <c r="B2036" s="223" t="s">
        <v>1169</v>
      </c>
      <c r="C2036" s="223" t="s">
        <v>1217</v>
      </c>
      <c r="D2036" s="223" t="s">
        <v>1221</v>
      </c>
      <c r="E2036" s="223" t="s">
        <v>1087</v>
      </c>
      <c r="F2036" s="223" t="s">
        <v>1096</v>
      </c>
      <c r="G2036" s="223" t="s">
        <v>1229</v>
      </c>
    </row>
    <row r="2037" spans="1:7" x14ac:dyDescent="0.3">
      <c r="A2037" s="223">
        <v>2036</v>
      </c>
      <c r="B2037" s="223" t="s">
        <v>1169</v>
      </c>
      <c r="C2037" s="223" t="s">
        <v>1217</v>
      </c>
      <c r="D2037" s="223" t="s">
        <v>1221</v>
      </c>
      <c r="E2037" s="223" t="s">
        <v>1087</v>
      </c>
      <c r="F2037" s="223" t="s">
        <v>1090</v>
      </c>
      <c r="G2037" s="223" t="s">
        <v>1229</v>
      </c>
    </row>
    <row r="2038" spans="1:7" x14ac:dyDescent="0.3">
      <c r="A2038" s="223">
        <v>2037</v>
      </c>
      <c r="B2038" s="223" t="s">
        <v>1169</v>
      </c>
      <c r="C2038" s="223" t="s">
        <v>1217</v>
      </c>
      <c r="D2038" s="223" t="s">
        <v>1221</v>
      </c>
      <c r="E2038" s="223" t="s">
        <v>21</v>
      </c>
      <c r="F2038" s="223" t="s">
        <v>1093</v>
      </c>
      <c r="G2038" s="223" t="s">
        <v>1229</v>
      </c>
    </row>
    <row r="2039" spans="1:7" x14ac:dyDescent="0.3">
      <c r="A2039" s="223">
        <v>2038</v>
      </c>
      <c r="B2039" s="223" t="s">
        <v>1169</v>
      </c>
      <c r="C2039" s="223" t="s">
        <v>1217</v>
      </c>
      <c r="D2039" s="223" t="s">
        <v>1221</v>
      </c>
      <c r="E2039" s="223" t="s">
        <v>21</v>
      </c>
      <c r="F2039" s="223" t="s">
        <v>27</v>
      </c>
      <c r="G2039" s="223" t="s">
        <v>1229</v>
      </c>
    </row>
    <row r="2040" spans="1:7" x14ac:dyDescent="0.3">
      <c r="A2040" s="223">
        <v>2039</v>
      </c>
      <c r="B2040" s="223" t="s">
        <v>1169</v>
      </c>
      <c r="C2040" s="223" t="s">
        <v>1217</v>
      </c>
      <c r="D2040" s="223" t="s">
        <v>1221</v>
      </c>
      <c r="E2040" s="223" t="s">
        <v>21</v>
      </c>
      <c r="F2040" s="223" t="s">
        <v>1096</v>
      </c>
      <c r="G2040" s="223" t="s">
        <v>1229</v>
      </c>
    </row>
    <row r="2041" spans="1:7" x14ac:dyDescent="0.3">
      <c r="A2041" s="223">
        <v>2040</v>
      </c>
      <c r="B2041" s="223" t="s">
        <v>1169</v>
      </c>
      <c r="C2041" s="223" t="s">
        <v>1217</v>
      </c>
      <c r="D2041" s="223" t="s">
        <v>1221</v>
      </c>
      <c r="E2041" s="223" t="s">
        <v>21</v>
      </c>
      <c r="F2041" s="223" t="s">
        <v>1090</v>
      </c>
      <c r="G2041" s="223" t="s">
        <v>1229</v>
      </c>
    </row>
    <row r="2042" spans="1:7" x14ac:dyDescent="0.3">
      <c r="A2042" s="223">
        <v>2041</v>
      </c>
      <c r="B2042" s="223" t="s">
        <v>1169</v>
      </c>
      <c r="C2042" s="223" t="s">
        <v>1217</v>
      </c>
      <c r="D2042" s="223" t="s">
        <v>1222</v>
      </c>
      <c r="E2042" s="223" t="s">
        <v>1087</v>
      </c>
      <c r="F2042" s="223" t="s">
        <v>1093</v>
      </c>
      <c r="G2042" s="223" t="s">
        <v>1229</v>
      </c>
    </row>
    <row r="2043" spans="1:7" x14ac:dyDescent="0.3">
      <c r="A2043" s="223">
        <v>2042</v>
      </c>
      <c r="B2043" s="223" t="s">
        <v>1169</v>
      </c>
      <c r="C2043" s="223" t="s">
        <v>1217</v>
      </c>
      <c r="D2043" s="223" t="s">
        <v>1222</v>
      </c>
      <c r="E2043" s="223" t="s">
        <v>1087</v>
      </c>
      <c r="F2043" s="223" t="s">
        <v>27</v>
      </c>
      <c r="G2043" s="223" t="s">
        <v>1229</v>
      </c>
    </row>
    <row r="2044" spans="1:7" x14ac:dyDescent="0.3">
      <c r="A2044" s="223">
        <v>2043</v>
      </c>
      <c r="B2044" s="223" t="s">
        <v>1169</v>
      </c>
      <c r="C2044" s="223" t="s">
        <v>1217</v>
      </c>
      <c r="D2044" s="223" t="s">
        <v>1222</v>
      </c>
      <c r="E2044" s="223" t="s">
        <v>1087</v>
      </c>
      <c r="F2044" s="223" t="s">
        <v>1096</v>
      </c>
      <c r="G2044" s="223" t="s">
        <v>1229</v>
      </c>
    </row>
    <row r="2045" spans="1:7" x14ac:dyDescent="0.3">
      <c r="A2045" s="223">
        <v>2044</v>
      </c>
      <c r="B2045" s="223" t="s">
        <v>1169</v>
      </c>
      <c r="C2045" s="223" t="s">
        <v>1217</v>
      </c>
      <c r="D2045" s="223" t="s">
        <v>1222</v>
      </c>
      <c r="E2045" s="223" t="s">
        <v>1087</v>
      </c>
      <c r="F2045" s="223" t="s">
        <v>1090</v>
      </c>
      <c r="G2045" s="223" t="s">
        <v>1229</v>
      </c>
    </row>
    <row r="2046" spans="1:7" x14ac:dyDescent="0.3">
      <c r="A2046" s="223">
        <v>2045</v>
      </c>
      <c r="B2046" s="223" t="s">
        <v>1169</v>
      </c>
      <c r="C2046" s="223" t="s">
        <v>1217</v>
      </c>
      <c r="D2046" s="223" t="s">
        <v>1222</v>
      </c>
      <c r="E2046" s="223" t="s">
        <v>21</v>
      </c>
      <c r="F2046" s="223" t="s">
        <v>1093</v>
      </c>
      <c r="G2046" s="223" t="s">
        <v>1229</v>
      </c>
    </row>
    <row r="2047" spans="1:7" x14ac:dyDescent="0.3">
      <c r="A2047" s="223">
        <v>2046</v>
      </c>
      <c r="B2047" s="223" t="s">
        <v>1169</v>
      </c>
      <c r="C2047" s="223" t="s">
        <v>1217</v>
      </c>
      <c r="D2047" s="223" t="s">
        <v>1222</v>
      </c>
      <c r="E2047" s="223" t="s">
        <v>21</v>
      </c>
      <c r="F2047" s="223" t="s">
        <v>27</v>
      </c>
      <c r="G2047" s="223" t="s">
        <v>1229</v>
      </c>
    </row>
    <row r="2048" spans="1:7" x14ac:dyDescent="0.3">
      <c r="A2048" s="223">
        <v>2047</v>
      </c>
      <c r="B2048" s="223" t="s">
        <v>1169</v>
      </c>
      <c r="C2048" s="223" t="s">
        <v>1217</v>
      </c>
      <c r="D2048" s="223" t="s">
        <v>1222</v>
      </c>
      <c r="E2048" s="223" t="s">
        <v>21</v>
      </c>
      <c r="F2048" s="223" t="s">
        <v>1096</v>
      </c>
      <c r="G2048" s="223" t="s">
        <v>1229</v>
      </c>
    </row>
    <row r="2049" spans="1:7" x14ac:dyDescent="0.3">
      <c r="A2049" s="223">
        <v>2048</v>
      </c>
      <c r="B2049" s="223" t="s">
        <v>1169</v>
      </c>
      <c r="C2049" s="223" t="s">
        <v>1217</v>
      </c>
      <c r="D2049" s="223" t="s">
        <v>1222</v>
      </c>
      <c r="E2049" s="223" t="s">
        <v>21</v>
      </c>
      <c r="F2049" s="223" t="s">
        <v>1090</v>
      </c>
      <c r="G2049" s="223" t="s">
        <v>1229</v>
      </c>
    </row>
    <row r="2050" spans="1:7" x14ac:dyDescent="0.3">
      <c r="A2050" s="223">
        <v>2049</v>
      </c>
      <c r="B2050" s="223" t="s">
        <v>1169</v>
      </c>
      <c r="C2050" s="223" t="s">
        <v>1217</v>
      </c>
      <c r="D2050" s="223" t="s">
        <v>1223</v>
      </c>
      <c r="E2050" s="223" t="s">
        <v>1087</v>
      </c>
      <c r="F2050" s="223" t="s">
        <v>1093</v>
      </c>
      <c r="G2050" s="223" t="s">
        <v>1229</v>
      </c>
    </row>
    <row r="2051" spans="1:7" x14ac:dyDescent="0.3">
      <c r="A2051" s="223">
        <v>2050</v>
      </c>
      <c r="B2051" s="223" t="s">
        <v>1169</v>
      </c>
      <c r="C2051" s="223" t="s">
        <v>1217</v>
      </c>
      <c r="D2051" s="223" t="s">
        <v>1223</v>
      </c>
      <c r="E2051" s="223" t="s">
        <v>1087</v>
      </c>
      <c r="F2051" s="223" t="s">
        <v>27</v>
      </c>
      <c r="G2051" s="223" t="s">
        <v>1229</v>
      </c>
    </row>
    <row r="2052" spans="1:7" x14ac:dyDescent="0.3">
      <c r="A2052" s="223">
        <v>2051</v>
      </c>
      <c r="B2052" s="223" t="s">
        <v>1169</v>
      </c>
      <c r="C2052" s="223" t="s">
        <v>1217</v>
      </c>
      <c r="D2052" s="223" t="s">
        <v>1223</v>
      </c>
      <c r="E2052" s="223" t="s">
        <v>1087</v>
      </c>
      <c r="F2052" s="223" t="s">
        <v>1096</v>
      </c>
      <c r="G2052" s="223" t="s">
        <v>1229</v>
      </c>
    </row>
    <row r="2053" spans="1:7" x14ac:dyDescent="0.3">
      <c r="A2053" s="223">
        <v>2052</v>
      </c>
      <c r="B2053" s="223" t="s">
        <v>1169</v>
      </c>
      <c r="C2053" s="223" t="s">
        <v>1217</v>
      </c>
      <c r="D2053" s="223" t="s">
        <v>1223</v>
      </c>
      <c r="E2053" s="223" t="s">
        <v>1087</v>
      </c>
      <c r="F2053" s="223" t="s">
        <v>1090</v>
      </c>
      <c r="G2053" s="223" t="s">
        <v>1229</v>
      </c>
    </row>
    <row r="2054" spans="1:7" x14ac:dyDescent="0.3">
      <c r="A2054" s="223">
        <v>2053</v>
      </c>
      <c r="B2054" s="223" t="s">
        <v>1169</v>
      </c>
      <c r="C2054" s="223" t="s">
        <v>1217</v>
      </c>
      <c r="D2054" s="223" t="s">
        <v>1223</v>
      </c>
      <c r="E2054" s="223" t="s">
        <v>21</v>
      </c>
      <c r="F2054" s="223" t="s">
        <v>1093</v>
      </c>
      <c r="G2054" s="223" t="s">
        <v>1229</v>
      </c>
    </row>
    <row r="2055" spans="1:7" x14ac:dyDescent="0.3">
      <c r="A2055" s="223">
        <v>2054</v>
      </c>
      <c r="B2055" s="223" t="s">
        <v>1169</v>
      </c>
      <c r="C2055" s="223" t="s">
        <v>1217</v>
      </c>
      <c r="D2055" s="223" t="s">
        <v>1223</v>
      </c>
      <c r="E2055" s="223" t="s">
        <v>21</v>
      </c>
      <c r="F2055" s="223" t="s">
        <v>27</v>
      </c>
      <c r="G2055" s="223" t="s">
        <v>1229</v>
      </c>
    </row>
    <row r="2056" spans="1:7" x14ac:dyDescent="0.3">
      <c r="A2056" s="223">
        <v>2055</v>
      </c>
      <c r="B2056" s="223" t="s">
        <v>1169</v>
      </c>
      <c r="C2056" s="223" t="s">
        <v>1217</v>
      </c>
      <c r="D2056" s="223" t="s">
        <v>1223</v>
      </c>
      <c r="E2056" s="223" t="s">
        <v>21</v>
      </c>
      <c r="F2056" s="223" t="s">
        <v>1096</v>
      </c>
      <c r="G2056" s="223" t="s">
        <v>1229</v>
      </c>
    </row>
    <row r="2057" spans="1:7" x14ac:dyDescent="0.3">
      <c r="A2057" s="223">
        <v>2056</v>
      </c>
      <c r="B2057" s="223" t="s">
        <v>1169</v>
      </c>
      <c r="C2057" s="223" t="s">
        <v>1217</v>
      </c>
      <c r="D2057" s="223" t="s">
        <v>1223</v>
      </c>
      <c r="E2057" s="223" t="s">
        <v>21</v>
      </c>
      <c r="F2057" s="223" t="s">
        <v>1090</v>
      </c>
      <c r="G2057" s="223" t="s">
        <v>1229</v>
      </c>
    </row>
    <row r="2058" spans="1:7" x14ac:dyDescent="0.3">
      <c r="A2058" s="223">
        <v>2057</v>
      </c>
      <c r="B2058" s="223" t="s">
        <v>1169</v>
      </c>
      <c r="C2058" s="223" t="s">
        <v>1217</v>
      </c>
      <c r="D2058" s="223" t="s">
        <v>12</v>
      </c>
      <c r="E2058" s="223" t="s">
        <v>1087</v>
      </c>
      <c r="F2058" s="223" t="s">
        <v>1093</v>
      </c>
      <c r="G2058" s="223" t="s">
        <v>1229</v>
      </c>
    </row>
    <row r="2059" spans="1:7" x14ac:dyDescent="0.3">
      <c r="A2059" s="223">
        <v>2058</v>
      </c>
      <c r="B2059" s="223" t="s">
        <v>1169</v>
      </c>
      <c r="C2059" s="223" t="s">
        <v>1217</v>
      </c>
      <c r="D2059" s="223" t="s">
        <v>12</v>
      </c>
      <c r="E2059" s="223" t="s">
        <v>1087</v>
      </c>
      <c r="F2059" s="223" t="s">
        <v>27</v>
      </c>
      <c r="G2059" s="223" t="s">
        <v>1229</v>
      </c>
    </row>
    <row r="2060" spans="1:7" x14ac:dyDescent="0.3">
      <c r="A2060" s="223">
        <v>2059</v>
      </c>
      <c r="B2060" s="223" t="s">
        <v>1169</v>
      </c>
      <c r="C2060" s="223" t="s">
        <v>1217</v>
      </c>
      <c r="D2060" s="223" t="s">
        <v>12</v>
      </c>
      <c r="E2060" s="223" t="s">
        <v>1087</v>
      </c>
      <c r="F2060" s="223" t="s">
        <v>1096</v>
      </c>
      <c r="G2060" s="223" t="s">
        <v>1229</v>
      </c>
    </row>
    <row r="2061" spans="1:7" x14ac:dyDescent="0.3">
      <c r="A2061" s="223">
        <v>2060</v>
      </c>
      <c r="B2061" s="223" t="s">
        <v>1169</v>
      </c>
      <c r="C2061" s="223" t="s">
        <v>1217</v>
      </c>
      <c r="D2061" s="223" t="s">
        <v>12</v>
      </c>
      <c r="E2061" s="223" t="s">
        <v>1087</v>
      </c>
      <c r="F2061" s="223" t="s">
        <v>1090</v>
      </c>
      <c r="G2061" s="223" t="s">
        <v>1229</v>
      </c>
    </row>
    <row r="2062" spans="1:7" x14ac:dyDescent="0.3">
      <c r="A2062" s="223">
        <v>2061</v>
      </c>
      <c r="B2062" s="223" t="s">
        <v>1169</v>
      </c>
      <c r="C2062" s="223" t="s">
        <v>1217</v>
      </c>
      <c r="D2062" s="223" t="s">
        <v>12</v>
      </c>
      <c r="E2062" s="223" t="s">
        <v>21</v>
      </c>
      <c r="F2062" s="223" t="s">
        <v>1093</v>
      </c>
      <c r="G2062" s="223" t="s">
        <v>1229</v>
      </c>
    </row>
    <row r="2063" spans="1:7" x14ac:dyDescent="0.3">
      <c r="A2063" s="223">
        <v>2062</v>
      </c>
      <c r="B2063" s="223" t="s">
        <v>1169</v>
      </c>
      <c r="C2063" s="223" t="s">
        <v>1217</v>
      </c>
      <c r="D2063" s="223" t="s">
        <v>12</v>
      </c>
      <c r="E2063" s="223" t="s">
        <v>21</v>
      </c>
      <c r="F2063" s="223" t="s">
        <v>27</v>
      </c>
      <c r="G2063" s="223" t="s">
        <v>1229</v>
      </c>
    </row>
    <row r="2064" spans="1:7" x14ac:dyDescent="0.3">
      <c r="A2064" s="223">
        <v>2063</v>
      </c>
      <c r="B2064" s="223" t="s">
        <v>1169</v>
      </c>
      <c r="C2064" s="223" t="s">
        <v>1217</v>
      </c>
      <c r="D2064" s="223" t="s">
        <v>12</v>
      </c>
      <c r="E2064" s="223" t="s">
        <v>21</v>
      </c>
      <c r="F2064" s="223" t="s">
        <v>1096</v>
      </c>
      <c r="G2064" s="223" t="s">
        <v>1229</v>
      </c>
    </row>
    <row r="2065" spans="1:7" x14ac:dyDescent="0.3">
      <c r="A2065" s="223">
        <v>2064</v>
      </c>
      <c r="B2065" s="223" t="s">
        <v>1169</v>
      </c>
      <c r="C2065" s="223" t="s">
        <v>1217</v>
      </c>
      <c r="D2065" s="223" t="s">
        <v>12</v>
      </c>
      <c r="E2065" s="223" t="s">
        <v>21</v>
      </c>
      <c r="F2065" s="223" t="s">
        <v>1090</v>
      </c>
      <c r="G2065" s="223" t="s">
        <v>1229</v>
      </c>
    </row>
    <row r="2066" spans="1:7" x14ac:dyDescent="0.3">
      <c r="A2066" s="223">
        <v>2065</v>
      </c>
      <c r="B2066" s="223" t="s">
        <v>1169</v>
      </c>
      <c r="C2066" s="223" t="s">
        <v>1224</v>
      </c>
      <c r="D2066" s="223" t="s">
        <v>1218</v>
      </c>
      <c r="E2066" s="223" t="s">
        <v>1087</v>
      </c>
      <c r="F2066" s="223" t="s">
        <v>1093</v>
      </c>
      <c r="G2066" s="223" t="s">
        <v>1229</v>
      </c>
    </row>
    <row r="2067" spans="1:7" x14ac:dyDescent="0.3">
      <c r="A2067" s="223">
        <v>2066</v>
      </c>
      <c r="B2067" s="223" t="s">
        <v>1169</v>
      </c>
      <c r="C2067" s="223" t="s">
        <v>1224</v>
      </c>
      <c r="D2067" s="223" t="s">
        <v>1218</v>
      </c>
      <c r="E2067" s="223" t="s">
        <v>1087</v>
      </c>
      <c r="F2067" s="223" t="s">
        <v>27</v>
      </c>
      <c r="G2067" s="223" t="s">
        <v>1229</v>
      </c>
    </row>
    <row r="2068" spans="1:7" x14ac:dyDescent="0.3">
      <c r="A2068" s="223">
        <v>2067</v>
      </c>
      <c r="B2068" s="223" t="s">
        <v>1169</v>
      </c>
      <c r="C2068" s="223" t="s">
        <v>1224</v>
      </c>
      <c r="D2068" s="223" t="s">
        <v>1218</v>
      </c>
      <c r="E2068" s="223" t="s">
        <v>1087</v>
      </c>
      <c r="F2068" s="223" t="s">
        <v>1096</v>
      </c>
      <c r="G2068" s="223" t="s">
        <v>1229</v>
      </c>
    </row>
    <row r="2069" spans="1:7" x14ac:dyDescent="0.3">
      <c r="A2069" s="223">
        <v>2068</v>
      </c>
      <c r="B2069" s="223" t="s">
        <v>1169</v>
      </c>
      <c r="C2069" s="223" t="s">
        <v>1224</v>
      </c>
      <c r="D2069" s="223" t="s">
        <v>1218</v>
      </c>
      <c r="E2069" s="223" t="s">
        <v>1087</v>
      </c>
      <c r="F2069" s="223" t="s">
        <v>1090</v>
      </c>
      <c r="G2069" s="223" t="s">
        <v>1229</v>
      </c>
    </row>
    <row r="2070" spans="1:7" x14ac:dyDescent="0.3">
      <c r="A2070" s="223">
        <v>2069</v>
      </c>
      <c r="B2070" s="223" t="s">
        <v>1169</v>
      </c>
      <c r="C2070" s="223" t="s">
        <v>1224</v>
      </c>
      <c r="D2070" s="223" t="s">
        <v>1218</v>
      </c>
      <c r="E2070" s="223" t="s">
        <v>21</v>
      </c>
      <c r="F2070" s="223" t="s">
        <v>1093</v>
      </c>
      <c r="G2070" s="223" t="s">
        <v>1229</v>
      </c>
    </row>
    <row r="2071" spans="1:7" x14ac:dyDescent="0.3">
      <c r="A2071" s="223">
        <v>2070</v>
      </c>
      <c r="B2071" s="223" t="s">
        <v>1169</v>
      </c>
      <c r="C2071" s="223" t="s">
        <v>1224</v>
      </c>
      <c r="D2071" s="223" t="s">
        <v>1218</v>
      </c>
      <c r="E2071" s="223" t="s">
        <v>21</v>
      </c>
      <c r="F2071" s="223" t="s">
        <v>27</v>
      </c>
      <c r="G2071" s="223" t="s">
        <v>1229</v>
      </c>
    </row>
    <row r="2072" spans="1:7" x14ac:dyDescent="0.3">
      <c r="A2072" s="223">
        <v>2071</v>
      </c>
      <c r="B2072" s="223" t="s">
        <v>1169</v>
      </c>
      <c r="C2072" s="223" t="s">
        <v>1224</v>
      </c>
      <c r="D2072" s="223" t="s">
        <v>1218</v>
      </c>
      <c r="E2072" s="223" t="s">
        <v>21</v>
      </c>
      <c r="F2072" s="223" t="s">
        <v>1096</v>
      </c>
      <c r="G2072" s="223" t="s">
        <v>1229</v>
      </c>
    </row>
    <row r="2073" spans="1:7" x14ac:dyDescent="0.3">
      <c r="A2073" s="223">
        <v>2072</v>
      </c>
      <c r="B2073" s="223" t="s">
        <v>1169</v>
      </c>
      <c r="C2073" s="223" t="s">
        <v>1224</v>
      </c>
      <c r="D2073" s="223" t="s">
        <v>1218</v>
      </c>
      <c r="E2073" s="223" t="s">
        <v>21</v>
      </c>
      <c r="F2073" s="223" t="s">
        <v>1090</v>
      </c>
      <c r="G2073" s="223" t="s">
        <v>1229</v>
      </c>
    </row>
    <row r="2074" spans="1:7" x14ac:dyDescent="0.3">
      <c r="A2074" s="223">
        <v>2073</v>
      </c>
      <c r="B2074" s="223" t="s">
        <v>1169</v>
      </c>
      <c r="C2074" s="223" t="s">
        <v>1224</v>
      </c>
      <c r="D2074" s="223" t="s">
        <v>1220</v>
      </c>
      <c r="E2074" s="223" t="s">
        <v>1087</v>
      </c>
      <c r="F2074" s="223" t="s">
        <v>1093</v>
      </c>
      <c r="G2074" s="223" t="s">
        <v>1229</v>
      </c>
    </row>
    <row r="2075" spans="1:7" x14ac:dyDescent="0.3">
      <c r="A2075" s="223">
        <v>2074</v>
      </c>
      <c r="B2075" s="223" t="s">
        <v>1169</v>
      </c>
      <c r="C2075" s="223" t="s">
        <v>1224</v>
      </c>
      <c r="D2075" s="223" t="s">
        <v>1220</v>
      </c>
      <c r="E2075" s="223" t="s">
        <v>1087</v>
      </c>
      <c r="F2075" s="223" t="s">
        <v>27</v>
      </c>
      <c r="G2075" s="223" t="s">
        <v>1229</v>
      </c>
    </row>
    <row r="2076" spans="1:7" x14ac:dyDescent="0.3">
      <c r="A2076" s="223">
        <v>2075</v>
      </c>
      <c r="B2076" s="223" t="s">
        <v>1169</v>
      </c>
      <c r="C2076" s="223" t="s">
        <v>1224</v>
      </c>
      <c r="D2076" s="223" t="s">
        <v>1220</v>
      </c>
      <c r="E2076" s="223" t="s">
        <v>1087</v>
      </c>
      <c r="F2076" s="223" t="s">
        <v>1096</v>
      </c>
      <c r="G2076" s="223" t="s">
        <v>1229</v>
      </c>
    </row>
    <row r="2077" spans="1:7" x14ac:dyDescent="0.3">
      <c r="A2077" s="223">
        <v>2076</v>
      </c>
      <c r="B2077" s="223" t="s">
        <v>1169</v>
      </c>
      <c r="C2077" s="223" t="s">
        <v>1224</v>
      </c>
      <c r="D2077" s="223" t="s">
        <v>1220</v>
      </c>
      <c r="E2077" s="223" t="s">
        <v>1087</v>
      </c>
      <c r="F2077" s="223" t="s">
        <v>1090</v>
      </c>
      <c r="G2077" s="223" t="s">
        <v>1229</v>
      </c>
    </row>
    <row r="2078" spans="1:7" x14ac:dyDescent="0.3">
      <c r="A2078" s="223">
        <v>2077</v>
      </c>
      <c r="B2078" s="223" t="s">
        <v>1169</v>
      </c>
      <c r="C2078" s="223" t="s">
        <v>1224</v>
      </c>
      <c r="D2078" s="223" t="s">
        <v>1220</v>
      </c>
      <c r="E2078" s="223" t="s">
        <v>21</v>
      </c>
      <c r="F2078" s="223" t="s">
        <v>1093</v>
      </c>
      <c r="G2078" s="223" t="s">
        <v>1229</v>
      </c>
    </row>
    <row r="2079" spans="1:7" x14ac:dyDescent="0.3">
      <c r="A2079" s="223">
        <v>2078</v>
      </c>
      <c r="B2079" s="223" t="s">
        <v>1169</v>
      </c>
      <c r="C2079" s="223" t="s">
        <v>1224</v>
      </c>
      <c r="D2079" s="223" t="s">
        <v>1220</v>
      </c>
      <c r="E2079" s="223" t="s">
        <v>21</v>
      </c>
      <c r="F2079" s="223" t="s">
        <v>27</v>
      </c>
      <c r="G2079" s="223" t="s">
        <v>1229</v>
      </c>
    </row>
    <row r="2080" spans="1:7" x14ac:dyDescent="0.3">
      <c r="A2080" s="223">
        <v>2079</v>
      </c>
      <c r="B2080" s="223" t="s">
        <v>1169</v>
      </c>
      <c r="C2080" s="223" t="s">
        <v>1224</v>
      </c>
      <c r="D2080" s="223" t="s">
        <v>1220</v>
      </c>
      <c r="E2080" s="223" t="s">
        <v>21</v>
      </c>
      <c r="F2080" s="223" t="s">
        <v>1096</v>
      </c>
      <c r="G2080" s="223" t="s">
        <v>1229</v>
      </c>
    </row>
    <row r="2081" spans="1:7" x14ac:dyDescent="0.3">
      <c r="A2081" s="223">
        <v>2080</v>
      </c>
      <c r="B2081" s="223" t="s">
        <v>1169</v>
      </c>
      <c r="C2081" s="223" t="s">
        <v>1224</v>
      </c>
      <c r="D2081" s="223" t="s">
        <v>1220</v>
      </c>
      <c r="E2081" s="223" t="s">
        <v>21</v>
      </c>
      <c r="F2081" s="223" t="s">
        <v>1090</v>
      </c>
      <c r="G2081" s="223" t="s">
        <v>1229</v>
      </c>
    </row>
    <row r="2082" spans="1:7" x14ac:dyDescent="0.3">
      <c r="A2082" s="223">
        <v>2081</v>
      </c>
      <c r="B2082" s="223" t="s">
        <v>1169</v>
      </c>
      <c r="C2082" s="223" t="s">
        <v>1224</v>
      </c>
      <c r="D2082" s="223" t="s">
        <v>1221</v>
      </c>
      <c r="E2082" s="223" t="s">
        <v>1087</v>
      </c>
      <c r="F2082" s="223" t="s">
        <v>1093</v>
      </c>
      <c r="G2082" s="223" t="s">
        <v>1229</v>
      </c>
    </row>
    <row r="2083" spans="1:7" x14ac:dyDescent="0.3">
      <c r="A2083" s="223">
        <v>2082</v>
      </c>
      <c r="B2083" s="223" t="s">
        <v>1169</v>
      </c>
      <c r="C2083" s="223" t="s">
        <v>1224</v>
      </c>
      <c r="D2083" s="223" t="s">
        <v>1221</v>
      </c>
      <c r="E2083" s="223" t="s">
        <v>1087</v>
      </c>
      <c r="F2083" s="223" t="s">
        <v>27</v>
      </c>
      <c r="G2083" s="223" t="s">
        <v>1229</v>
      </c>
    </row>
    <row r="2084" spans="1:7" x14ac:dyDescent="0.3">
      <c r="A2084" s="223">
        <v>2083</v>
      </c>
      <c r="B2084" s="223" t="s">
        <v>1169</v>
      </c>
      <c r="C2084" s="223" t="s">
        <v>1224</v>
      </c>
      <c r="D2084" s="223" t="s">
        <v>1221</v>
      </c>
      <c r="E2084" s="223" t="s">
        <v>1087</v>
      </c>
      <c r="F2084" s="223" t="s">
        <v>1096</v>
      </c>
      <c r="G2084" s="223" t="s">
        <v>1229</v>
      </c>
    </row>
    <row r="2085" spans="1:7" x14ac:dyDescent="0.3">
      <c r="A2085" s="223">
        <v>2084</v>
      </c>
      <c r="B2085" s="223" t="s">
        <v>1169</v>
      </c>
      <c r="C2085" s="223" t="s">
        <v>1224</v>
      </c>
      <c r="D2085" s="223" t="s">
        <v>1221</v>
      </c>
      <c r="E2085" s="223" t="s">
        <v>1087</v>
      </c>
      <c r="F2085" s="223" t="s">
        <v>1090</v>
      </c>
      <c r="G2085" s="223" t="s">
        <v>1229</v>
      </c>
    </row>
    <row r="2086" spans="1:7" x14ac:dyDescent="0.3">
      <c r="A2086" s="223">
        <v>2085</v>
      </c>
      <c r="B2086" s="223" t="s">
        <v>1169</v>
      </c>
      <c r="C2086" s="223" t="s">
        <v>1224</v>
      </c>
      <c r="D2086" s="223" t="s">
        <v>1221</v>
      </c>
      <c r="E2086" s="223" t="s">
        <v>21</v>
      </c>
      <c r="F2086" s="223" t="s">
        <v>1093</v>
      </c>
      <c r="G2086" s="223" t="s">
        <v>1229</v>
      </c>
    </row>
    <row r="2087" spans="1:7" x14ac:dyDescent="0.3">
      <c r="A2087" s="223">
        <v>2086</v>
      </c>
      <c r="B2087" s="223" t="s">
        <v>1169</v>
      </c>
      <c r="C2087" s="223" t="s">
        <v>1224</v>
      </c>
      <c r="D2087" s="223" t="s">
        <v>1221</v>
      </c>
      <c r="E2087" s="223" t="s">
        <v>21</v>
      </c>
      <c r="F2087" s="223" t="s">
        <v>27</v>
      </c>
      <c r="G2087" s="223" t="s">
        <v>1229</v>
      </c>
    </row>
    <row r="2088" spans="1:7" x14ac:dyDescent="0.3">
      <c r="A2088" s="223">
        <v>2087</v>
      </c>
      <c r="B2088" s="223" t="s">
        <v>1169</v>
      </c>
      <c r="C2088" s="223" t="s">
        <v>1224</v>
      </c>
      <c r="D2088" s="223" t="s">
        <v>1221</v>
      </c>
      <c r="E2088" s="223" t="s">
        <v>21</v>
      </c>
      <c r="F2088" s="223" t="s">
        <v>1096</v>
      </c>
      <c r="G2088" s="223" t="s">
        <v>1229</v>
      </c>
    </row>
    <row r="2089" spans="1:7" x14ac:dyDescent="0.3">
      <c r="A2089" s="223">
        <v>2088</v>
      </c>
      <c r="B2089" s="223" t="s">
        <v>1169</v>
      </c>
      <c r="C2089" s="223" t="s">
        <v>1224</v>
      </c>
      <c r="D2089" s="223" t="s">
        <v>1221</v>
      </c>
      <c r="E2089" s="223" t="s">
        <v>21</v>
      </c>
      <c r="F2089" s="223" t="s">
        <v>1090</v>
      </c>
      <c r="G2089" s="223" t="s">
        <v>1229</v>
      </c>
    </row>
    <row r="2090" spans="1:7" x14ac:dyDescent="0.3">
      <c r="A2090" s="223">
        <v>2089</v>
      </c>
      <c r="B2090" s="223" t="s">
        <v>1169</v>
      </c>
      <c r="C2090" s="223" t="s">
        <v>1224</v>
      </c>
      <c r="D2090" s="223" t="s">
        <v>1222</v>
      </c>
      <c r="E2090" s="223" t="s">
        <v>1087</v>
      </c>
      <c r="F2090" s="223" t="s">
        <v>1093</v>
      </c>
      <c r="G2090" s="223" t="s">
        <v>1229</v>
      </c>
    </row>
    <row r="2091" spans="1:7" x14ac:dyDescent="0.3">
      <c r="A2091" s="223">
        <v>2090</v>
      </c>
      <c r="B2091" s="223" t="s">
        <v>1169</v>
      </c>
      <c r="C2091" s="223" t="s">
        <v>1224</v>
      </c>
      <c r="D2091" s="223" t="s">
        <v>1222</v>
      </c>
      <c r="E2091" s="223" t="s">
        <v>1087</v>
      </c>
      <c r="F2091" s="223" t="s">
        <v>27</v>
      </c>
      <c r="G2091" s="223" t="s">
        <v>1229</v>
      </c>
    </row>
    <row r="2092" spans="1:7" x14ac:dyDescent="0.3">
      <c r="A2092" s="223">
        <v>2091</v>
      </c>
      <c r="B2092" s="223" t="s">
        <v>1169</v>
      </c>
      <c r="C2092" s="223" t="s">
        <v>1224</v>
      </c>
      <c r="D2092" s="223" t="s">
        <v>1222</v>
      </c>
      <c r="E2092" s="223" t="s">
        <v>1087</v>
      </c>
      <c r="F2092" s="223" t="s">
        <v>1096</v>
      </c>
      <c r="G2092" s="223" t="s">
        <v>1229</v>
      </c>
    </row>
    <row r="2093" spans="1:7" x14ac:dyDescent="0.3">
      <c r="A2093" s="223">
        <v>2092</v>
      </c>
      <c r="B2093" s="223" t="s">
        <v>1169</v>
      </c>
      <c r="C2093" s="223" t="s">
        <v>1224</v>
      </c>
      <c r="D2093" s="223" t="s">
        <v>1222</v>
      </c>
      <c r="E2093" s="223" t="s">
        <v>1087</v>
      </c>
      <c r="F2093" s="223" t="s">
        <v>1090</v>
      </c>
      <c r="G2093" s="223" t="s">
        <v>1229</v>
      </c>
    </row>
    <row r="2094" spans="1:7" x14ac:dyDescent="0.3">
      <c r="A2094" s="223">
        <v>2093</v>
      </c>
      <c r="B2094" s="223" t="s">
        <v>1169</v>
      </c>
      <c r="C2094" s="223" t="s">
        <v>1224</v>
      </c>
      <c r="D2094" s="223" t="s">
        <v>1222</v>
      </c>
      <c r="E2094" s="223" t="s">
        <v>21</v>
      </c>
      <c r="F2094" s="223" t="s">
        <v>1093</v>
      </c>
      <c r="G2094" s="223" t="s">
        <v>1229</v>
      </c>
    </row>
    <row r="2095" spans="1:7" x14ac:dyDescent="0.3">
      <c r="A2095" s="223">
        <v>2094</v>
      </c>
      <c r="B2095" s="223" t="s">
        <v>1169</v>
      </c>
      <c r="C2095" s="223" t="s">
        <v>1224</v>
      </c>
      <c r="D2095" s="223" t="s">
        <v>1222</v>
      </c>
      <c r="E2095" s="223" t="s">
        <v>21</v>
      </c>
      <c r="F2095" s="223" t="s">
        <v>27</v>
      </c>
      <c r="G2095" s="223" t="s">
        <v>1229</v>
      </c>
    </row>
    <row r="2096" spans="1:7" x14ac:dyDescent="0.3">
      <c r="A2096" s="223">
        <v>2095</v>
      </c>
      <c r="B2096" s="223" t="s">
        <v>1169</v>
      </c>
      <c r="C2096" s="223" t="s">
        <v>1224</v>
      </c>
      <c r="D2096" s="223" t="s">
        <v>1222</v>
      </c>
      <c r="E2096" s="223" t="s">
        <v>21</v>
      </c>
      <c r="F2096" s="223" t="s">
        <v>1096</v>
      </c>
      <c r="G2096" s="223" t="s">
        <v>1229</v>
      </c>
    </row>
    <row r="2097" spans="1:7" x14ac:dyDescent="0.3">
      <c r="A2097" s="223">
        <v>2096</v>
      </c>
      <c r="B2097" s="223" t="s">
        <v>1169</v>
      </c>
      <c r="C2097" s="223" t="s">
        <v>1224</v>
      </c>
      <c r="D2097" s="223" t="s">
        <v>1222</v>
      </c>
      <c r="E2097" s="223" t="s">
        <v>21</v>
      </c>
      <c r="F2097" s="223" t="s">
        <v>1090</v>
      </c>
      <c r="G2097" s="223" t="s">
        <v>1229</v>
      </c>
    </row>
    <row r="2098" spans="1:7" x14ac:dyDescent="0.3">
      <c r="A2098" s="223">
        <v>2097</v>
      </c>
      <c r="B2098" s="223" t="s">
        <v>1169</v>
      </c>
      <c r="C2098" s="223" t="s">
        <v>1224</v>
      </c>
      <c r="D2098" s="223" t="s">
        <v>1223</v>
      </c>
      <c r="E2098" s="223" t="s">
        <v>1087</v>
      </c>
      <c r="F2098" s="223" t="s">
        <v>1093</v>
      </c>
      <c r="G2098" s="223" t="s">
        <v>1229</v>
      </c>
    </row>
    <row r="2099" spans="1:7" x14ac:dyDescent="0.3">
      <c r="A2099" s="223">
        <v>2098</v>
      </c>
      <c r="B2099" s="223" t="s">
        <v>1169</v>
      </c>
      <c r="C2099" s="223" t="s">
        <v>1224</v>
      </c>
      <c r="D2099" s="223" t="s">
        <v>1223</v>
      </c>
      <c r="E2099" s="223" t="s">
        <v>1087</v>
      </c>
      <c r="F2099" s="223" t="s">
        <v>27</v>
      </c>
      <c r="G2099" s="223" t="s">
        <v>1229</v>
      </c>
    </row>
    <row r="2100" spans="1:7" x14ac:dyDescent="0.3">
      <c r="A2100" s="223">
        <v>2099</v>
      </c>
      <c r="B2100" s="223" t="s">
        <v>1169</v>
      </c>
      <c r="C2100" s="223" t="s">
        <v>1224</v>
      </c>
      <c r="D2100" s="223" t="s">
        <v>1223</v>
      </c>
      <c r="E2100" s="223" t="s">
        <v>1087</v>
      </c>
      <c r="F2100" s="223" t="s">
        <v>1096</v>
      </c>
      <c r="G2100" s="223" t="s">
        <v>1229</v>
      </c>
    </row>
    <row r="2101" spans="1:7" x14ac:dyDescent="0.3">
      <c r="A2101" s="223">
        <v>2100</v>
      </c>
      <c r="B2101" s="223" t="s">
        <v>1169</v>
      </c>
      <c r="C2101" s="223" t="s">
        <v>1224</v>
      </c>
      <c r="D2101" s="223" t="s">
        <v>1223</v>
      </c>
      <c r="E2101" s="223" t="s">
        <v>1087</v>
      </c>
      <c r="F2101" s="223" t="s">
        <v>1090</v>
      </c>
      <c r="G2101" s="223" t="s">
        <v>1229</v>
      </c>
    </row>
    <row r="2102" spans="1:7" x14ac:dyDescent="0.3">
      <c r="A2102" s="223">
        <v>2101</v>
      </c>
      <c r="B2102" s="223" t="s">
        <v>1169</v>
      </c>
      <c r="C2102" s="223" t="s">
        <v>1224</v>
      </c>
      <c r="D2102" s="223" t="s">
        <v>1223</v>
      </c>
      <c r="E2102" s="223" t="s">
        <v>21</v>
      </c>
      <c r="F2102" s="223" t="s">
        <v>1093</v>
      </c>
      <c r="G2102" s="223" t="s">
        <v>1229</v>
      </c>
    </row>
    <row r="2103" spans="1:7" x14ac:dyDescent="0.3">
      <c r="A2103" s="223">
        <v>2102</v>
      </c>
      <c r="B2103" s="223" t="s">
        <v>1169</v>
      </c>
      <c r="C2103" s="223" t="s">
        <v>1224</v>
      </c>
      <c r="D2103" s="223" t="s">
        <v>1223</v>
      </c>
      <c r="E2103" s="223" t="s">
        <v>21</v>
      </c>
      <c r="F2103" s="223" t="s">
        <v>27</v>
      </c>
      <c r="G2103" s="223" t="s">
        <v>1229</v>
      </c>
    </row>
    <row r="2104" spans="1:7" x14ac:dyDescent="0.3">
      <c r="A2104" s="223">
        <v>2103</v>
      </c>
      <c r="B2104" s="223" t="s">
        <v>1169</v>
      </c>
      <c r="C2104" s="223" t="s">
        <v>1224</v>
      </c>
      <c r="D2104" s="223" t="s">
        <v>1223</v>
      </c>
      <c r="E2104" s="223" t="s">
        <v>21</v>
      </c>
      <c r="F2104" s="223" t="s">
        <v>1096</v>
      </c>
      <c r="G2104" s="223" t="s">
        <v>1229</v>
      </c>
    </row>
    <row r="2105" spans="1:7" x14ac:dyDescent="0.3">
      <c r="A2105" s="223">
        <v>2104</v>
      </c>
      <c r="B2105" s="223" t="s">
        <v>1169</v>
      </c>
      <c r="C2105" s="223" t="s">
        <v>1224</v>
      </c>
      <c r="D2105" s="223" t="s">
        <v>1223</v>
      </c>
      <c r="E2105" s="223" t="s">
        <v>21</v>
      </c>
      <c r="F2105" s="223" t="s">
        <v>1090</v>
      </c>
      <c r="G2105" s="223" t="s">
        <v>1229</v>
      </c>
    </row>
    <row r="2106" spans="1:7" x14ac:dyDescent="0.3">
      <c r="A2106" s="223">
        <v>2105</v>
      </c>
      <c r="B2106" s="223" t="s">
        <v>1169</v>
      </c>
      <c r="C2106" s="223" t="s">
        <v>1224</v>
      </c>
      <c r="D2106" s="223" t="s">
        <v>12</v>
      </c>
      <c r="E2106" s="223" t="s">
        <v>1087</v>
      </c>
      <c r="F2106" s="223" t="s">
        <v>1093</v>
      </c>
      <c r="G2106" s="223" t="s">
        <v>1229</v>
      </c>
    </row>
    <row r="2107" spans="1:7" x14ac:dyDescent="0.3">
      <c r="A2107" s="223">
        <v>2106</v>
      </c>
      <c r="B2107" s="223" t="s">
        <v>1169</v>
      </c>
      <c r="C2107" s="223" t="s">
        <v>1224</v>
      </c>
      <c r="D2107" s="223" t="s">
        <v>12</v>
      </c>
      <c r="E2107" s="223" t="s">
        <v>1087</v>
      </c>
      <c r="F2107" s="223" t="s">
        <v>27</v>
      </c>
      <c r="G2107" s="223" t="s">
        <v>1229</v>
      </c>
    </row>
    <row r="2108" spans="1:7" x14ac:dyDescent="0.3">
      <c r="A2108" s="223">
        <v>2107</v>
      </c>
      <c r="B2108" s="223" t="s">
        <v>1169</v>
      </c>
      <c r="C2108" s="223" t="s">
        <v>1224</v>
      </c>
      <c r="D2108" s="223" t="s">
        <v>12</v>
      </c>
      <c r="E2108" s="223" t="s">
        <v>1087</v>
      </c>
      <c r="F2108" s="223" t="s">
        <v>1096</v>
      </c>
      <c r="G2108" s="223" t="s">
        <v>1229</v>
      </c>
    </row>
    <row r="2109" spans="1:7" x14ac:dyDescent="0.3">
      <c r="A2109" s="223">
        <v>2108</v>
      </c>
      <c r="B2109" s="223" t="s">
        <v>1169</v>
      </c>
      <c r="C2109" s="223" t="s">
        <v>1224</v>
      </c>
      <c r="D2109" s="223" t="s">
        <v>12</v>
      </c>
      <c r="E2109" s="223" t="s">
        <v>1087</v>
      </c>
      <c r="F2109" s="223" t="s">
        <v>1090</v>
      </c>
      <c r="G2109" s="223" t="s">
        <v>1229</v>
      </c>
    </row>
    <row r="2110" spans="1:7" x14ac:dyDescent="0.3">
      <c r="A2110" s="223">
        <v>2109</v>
      </c>
      <c r="B2110" s="223" t="s">
        <v>1169</v>
      </c>
      <c r="C2110" s="223" t="s">
        <v>1224</v>
      </c>
      <c r="D2110" s="223" t="s">
        <v>12</v>
      </c>
      <c r="E2110" s="223" t="s">
        <v>21</v>
      </c>
      <c r="F2110" s="223" t="s">
        <v>1093</v>
      </c>
      <c r="G2110" s="223" t="s">
        <v>1229</v>
      </c>
    </row>
    <row r="2111" spans="1:7" x14ac:dyDescent="0.3">
      <c r="A2111" s="223">
        <v>2110</v>
      </c>
      <c r="B2111" s="223" t="s">
        <v>1169</v>
      </c>
      <c r="C2111" s="223" t="s">
        <v>1224</v>
      </c>
      <c r="D2111" s="223" t="s">
        <v>12</v>
      </c>
      <c r="E2111" s="223" t="s">
        <v>21</v>
      </c>
      <c r="F2111" s="223" t="s">
        <v>27</v>
      </c>
      <c r="G2111" s="223" t="s">
        <v>1229</v>
      </c>
    </row>
    <row r="2112" spans="1:7" x14ac:dyDescent="0.3">
      <c r="A2112" s="223">
        <v>2111</v>
      </c>
      <c r="B2112" s="223" t="s">
        <v>1169</v>
      </c>
      <c r="C2112" s="223" t="s">
        <v>1224</v>
      </c>
      <c r="D2112" s="223" t="s">
        <v>12</v>
      </c>
      <c r="E2112" s="223" t="s">
        <v>21</v>
      </c>
      <c r="F2112" s="223" t="s">
        <v>1096</v>
      </c>
      <c r="G2112" s="223" t="s">
        <v>1229</v>
      </c>
    </row>
    <row r="2113" spans="1:7" x14ac:dyDescent="0.3">
      <c r="A2113" s="223">
        <v>2112</v>
      </c>
      <c r="B2113" s="223" t="s">
        <v>1169</v>
      </c>
      <c r="C2113" s="223" t="s">
        <v>1224</v>
      </c>
      <c r="D2113" s="223" t="s">
        <v>12</v>
      </c>
      <c r="E2113" s="223" t="s">
        <v>21</v>
      </c>
      <c r="F2113" s="223" t="s">
        <v>1090</v>
      </c>
      <c r="G2113" s="223" t="s">
        <v>1229</v>
      </c>
    </row>
    <row r="2114" spans="1:7" x14ac:dyDescent="0.3">
      <c r="A2114" s="223">
        <v>2113</v>
      </c>
      <c r="B2114" s="223" t="s">
        <v>1169</v>
      </c>
      <c r="C2114" s="223" t="s">
        <v>1225</v>
      </c>
      <c r="D2114" s="223" t="s">
        <v>1218</v>
      </c>
      <c r="E2114" s="223" t="s">
        <v>1087</v>
      </c>
      <c r="F2114" s="223" t="s">
        <v>1093</v>
      </c>
      <c r="G2114" s="223" t="s">
        <v>1229</v>
      </c>
    </row>
    <row r="2115" spans="1:7" x14ac:dyDescent="0.3">
      <c r="A2115" s="223">
        <v>2114</v>
      </c>
      <c r="B2115" s="223" t="s">
        <v>1169</v>
      </c>
      <c r="C2115" s="223" t="s">
        <v>1225</v>
      </c>
      <c r="D2115" s="223" t="s">
        <v>1218</v>
      </c>
      <c r="E2115" s="223" t="s">
        <v>1087</v>
      </c>
      <c r="F2115" s="223" t="s">
        <v>27</v>
      </c>
      <c r="G2115" s="223" t="s">
        <v>1229</v>
      </c>
    </row>
    <row r="2116" spans="1:7" x14ac:dyDescent="0.3">
      <c r="A2116" s="223">
        <v>2115</v>
      </c>
      <c r="B2116" s="223" t="s">
        <v>1169</v>
      </c>
      <c r="C2116" s="223" t="s">
        <v>1225</v>
      </c>
      <c r="D2116" s="223" t="s">
        <v>1218</v>
      </c>
      <c r="E2116" s="223" t="s">
        <v>1087</v>
      </c>
      <c r="F2116" s="223" t="s">
        <v>1096</v>
      </c>
      <c r="G2116" s="223" t="s">
        <v>1229</v>
      </c>
    </row>
    <row r="2117" spans="1:7" x14ac:dyDescent="0.3">
      <c r="A2117" s="223">
        <v>2116</v>
      </c>
      <c r="B2117" s="223" t="s">
        <v>1169</v>
      </c>
      <c r="C2117" s="223" t="s">
        <v>1225</v>
      </c>
      <c r="D2117" s="223" t="s">
        <v>1218</v>
      </c>
      <c r="E2117" s="223" t="s">
        <v>1087</v>
      </c>
      <c r="F2117" s="223" t="s">
        <v>1090</v>
      </c>
      <c r="G2117" s="223" t="s">
        <v>1229</v>
      </c>
    </row>
    <row r="2118" spans="1:7" x14ac:dyDescent="0.3">
      <c r="A2118" s="223">
        <v>2117</v>
      </c>
      <c r="B2118" s="223" t="s">
        <v>1169</v>
      </c>
      <c r="C2118" s="223" t="s">
        <v>1225</v>
      </c>
      <c r="D2118" s="223" t="s">
        <v>1218</v>
      </c>
      <c r="E2118" s="223" t="s">
        <v>21</v>
      </c>
      <c r="F2118" s="223" t="s">
        <v>1093</v>
      </c>
      <c r="G2118" s="223" t="s">
        <v>1229</v>
      </c>
    </row>
    <row r="2119" spans="1:7" x14ac:dyDescent="0.3">
      <c r="A2119" s="223">
        <v>2118</v>
      </c>
      <c r="B2119" s="223" t="s">
        <v>1169</v>
      </c>
      <c r="C2119" s="223" t="s">
        <v>1225</v>
      </c>
      <c r="D2119" s="223" t="s">
        <v>1218</v>
      </c>
      <c r="E2119" s="223" t="s">
        <v>21</v>
      </c>
      <c r="F2119" s="223" t="s">
        <v>27</v>
      </c>
      <c r="G2119" s="223" t="s">
        <v>1229</v>
      </c>
    </row>
    <row r="2120" spans="1:7" x14ac:dyDescent="0.3">
      <c r="A2120" s="223">
        <v>2119</v>
      </c>
      <c r="B2120" s="223" t="s">
        <v>1169</v>
      </c>
      <c r="C2120" s="223" t="s">
        <v>1225</v>
      </c>
      <c r="D2120" s="223" t="s">
        <v>1218</v>
      </c>
      <c r="E2120" s="223" t="s">
        <v>21</v>
      </c>
      <c r="F2120" s="223" t="s">
        <v>1096</v>
      </c>
      <c r="G2120" s="223" t="s">
        <v>1229</v>
      </c>
    </row>
    <row r="2121" spans="1:7" x14ac:dyDescent="0.3">
      <c r="A2121" s="223">
        <v>2120</v>
      </c>
      <c r="B2121" s="223" t="s">
        <v>1169</v>
      </c>
      <c r="C2121" s="223" t="s">
        <v>1225</v>
      </c>
      <c r="D2121" s="223" t="s">
        <v>1218</v>
      </c>
      <c r="E2121" s="223" t="s">
        <v>21</v>
      </c>
      <c r="F2121" s="223" t="s">
        <v>1090</v>
      </c>
      <c r="G2121" s="223" t="s">
        <v>1229</v>
      </c>
    </row>
    <row r="2122" spans="1:7" x14ac:dyDescent="0.3">
      <c r="A2122" s="223">
        <v>2121</v>
      </c>
      <c r="B2122" s="223" t="s">
        <v>1169</v>
      </c>
      <c r="C2122" s="223" t="s">
        <v>1225</v>
      </c>
      <c r="D2122" s="223" t="s">
        <v>1220</v>
      </c>
      <c r="E2122" s="223" t="s">
        <v>1087</v>
      </c>
      <c r="F2122" s="223" t="s">
        <v>1093</v>
      </c>
      <c r="G2122" s="223" t="s">
        <v>1229</v>
      </c>
    </row>
    <row r="2123" spans="1:7" x14ac:dyDescent="0.3">
      <c r="A2123" s="223">
        <v>2122</v>
      </c>
      <c r="B2123" s="223" t="s">
        <v>1169</v>
      </c>
      <c r="C2123" s="223" t="s">
        <v>1225</v>
      </c>
      <c r="D2123" s="223" t="s">
        <v>1220</v>
      </c>
      <c r="E2123" s="223" t="s">
        <v>1087</v>
      </c>
      <c r="F2123" s="223" t="s">
        <v>27</v>
      </c>
      <c r="G2123" s="223" t="s">
        <v>1229</v>
      </c>
    </row>
    <row r="2124" spans="1:7" x14ac:dyDescent="0.3">
      <c r="A2124" s="223">
        <v>2123</v>
      </c>
      <c r="B2124" s="223" t="s">
        <v>1169</v>
      </c>
      <c r="C2124" s="223" t="s">
        <v>1225</v>
      </c>
      <c r="D2124" s="223" t="s">
        <v>1220</v>
      </c>
      <c r="E2124" s="223" t="s">
        <v>1087</v>
      </c>
      <c r="F2124" s="223" t="s">
        <v>1096</v>
      </c>
      <c r="G2124" s="223" t="s">
        <v>1229</v>
      </c>
    </row>
    <row r="2125" spans="1:7" x14ac:dyDescent="0.3">
      <c r="A2125" s="223">
        <v>2124</v>
      </c>
      <c r="B2125" s="223" t="s">
        <v>1169</v>
      </c>
      <c r="C2125" s="223" t="s">
        <v>1225</v>
      </c>
      <c r="D2125" s="223" t="s">
        <v>1220</v>
      </c>
      <c r="E2125" s="223" t="s">
        <v>1087</v>
      </c>
      <c r="F2125" s="223" t="s">
        <v>1090</v>
      </c>
      <c r="G2125" s="223" t="s">
        <v>1229</v>
      </c>
    </row>
    <row r="2126" spans="1:7" x14ac:dyDescent="0.3">
      <c r="A2126" s="223">
        <v>2125</v>
      </c>
      <c r="B2126" s="223" t="s">
        <v>1169</v>
      </c>
      <c r="C2126" s="223" t="s">
        <v>1225</v>
      </c>
      <c r="D2126" s="223" t="s">
        <v>1220</v>
      </c>
      <c r="E2126" s="223" t="s">
        <v>21</v>
      </c>
      <c r="F2126" s="223" t="s">
        <v>1093</v>
      </c>
      <c r="G2126" s="223" t="s">
        <v>1229</v>
      </c>
    </row>
    <row r="2127" spans="1:7" x14ac:dyDescent="0.3">
      <c r="A2127" s="223">
        <v>2126</v>
      </c>
      <c r="B2127" s="223" t="s">
        <v>1169</v>
      </c>
      <c r="C2127" s="223" t="s">
        <v>1225</v>
      </c>
      <c r="D2127" s="223" t="s">
        <v>1220</v>
      </c>
      <c r="E2127" s="223" t="s">
        <v>21</v>
      </c>
      <c r="F2127" s="223" t="s">
        <v>27</v>
      </c>
      <c r="G2127" s="223" t="s">
        <v>1229</v>
      </c>
    </row>
    <row r="2128" spans="1:7" x14ac:dyDescent="0.3">
      <c r="A2128" s="223">
        <v>2127</v>
      </c>
      <c r="B2128" s="223" t="s">
        <v>1169</v>
      </c>
      <c r="C2128" s="223" t="s">
        <v>1225</v>
      </c>
      <c r="D2128" s="223" t="s">
        <v>1220</v>
      </c>
      <c r="E2128" s="223" t="s">
        <v>21</v>
      </c>
      <c r="F2128" s="223" t="s">
        <v>1096</v>
      </c>
      <c r="G2128" s="223" t="s">
        <v>1229</v>
      </c>
    </row>
    <row r="2129" spans="1:7" x14ac:dyDescent="0.3">
      <c r="A2129" s="223">
        <v>2128</v>
      </c>
      <c r="B2129" s="223" t="s">
        <v>1169</v>
      </c>
      <c r="C2129" s="223" t="s">
        <v>1225</v>
      </c>
      <c r="D2129" s="223" t="s">
        <v>1220</v>
      </c>
      <c r="E2129" s="223" t="s">
        <v>21</v>
      </c>
      <c r="F2129" s="223" t="s">
        <v>1090</v>
      </c>
      <c r="G2129" s="223" t="s">
        <v>1229</v>
      </c>
    </row>
    <row r="2130" spans="1:7" x14ac:dyDescent="0.3">
      <c r="A2130" s="223">
        <v>2129</v>
      </c>
      <c r="B2130" s="223" t="s">
        <v>1169</v>
      </c>
      <c r="C2130" s="223" t="s">
        <v>1225</v>
      </c>
      <c r="D2130" s="223" t="s">
        <v>1221</v>
      </c>
      <c r="E2130" s="223" t="s">
        <v>1087</v>
      </c>
      <c r="F2130" s="223" t="s">
        <v>1093</v>
      </c>
      <c r="G2130" s="223" t="s">
        <v>1229</v>
      </c>
    </row>
    <row r="2131" spans="1:7" x14ac:dyDescent="0.3">
      <c r="A2131" s="223">
        <v>2130</v>
      </c>
      <c r="B2131" s="223" t="s">
        <v>1169</v>
      </c>
      <c r="C2131" s="223" t="s">
        <v>1225</v>
      </c>
      <c r="D2131" s="223" t="s">
        <v>1221</v>
      </c>
      <c r="E2131" s="223" t="s">
        <v>1087</v>
      </c>
      <c r="F2131" s="223" t="s">
        <v>27</v>
      </c>
      <c r="G2131" s="223" t="s">
        <v>1229</v>
      </c>
    </row>
    <row r="2132" spans="1:7" x14ac:dyDescent="0.3">
      <c r="A2132" s="223">
        <v>2131</v>
      </c>
      <c r="B2132" s="223" t="s">
        <v>1169</v>
      </c>
      <c r="C2132" s="223" t="s">
        <v>1225</v>
      </c>
      <c r="D2132" s="223" t="s">
        <v>1221</v>
      </c>
      <c r="E2132" s="223" t="s">
        <v>1087</v>
      </c>
      <c r="F2132" s="223" t="s">
        <v>1096</v>
      </c>
      <c r="G2132" s="223" t="s">
        <v>1229</v>
      </c>
    </row>
    <row r="2133" spans="1:7" x14ac:dyDescent="0.3">
      <c r="A2133" s="223">
        <v>2132</v>
      </c>
      <c r="B2133" s="223" t="s">
        <v>1169</v>
      </c>
      <c r="C2133" s="223" t="s">
        <v>1225</v>
      </c>
      <c r="D2133" s="223" t="s">
        <v>1221</v>
      </c>
      <c r="E2133" s="223" t="s">
        <v>1087</v>
      </c>
      <c r="F2133" s="223" t="s">
        <v>1090</v>
      </c>
      <c r="G2133" s="223" t="s">
        <v>1229</v>
      </c>
    </row>
    <row r="2134" spans="1:7" x14ac:dyDescent="0.3">
      <c r="A2134" s="223">
        <v>2133</v>
      </c>
      <c r="B2134" s="223" t="s">
        <v>1169</v>
      </c>
      <c r="C2134" s="223" t="s">
        <v>1225</v>
      </c>
      <c r="D2134" s="223" t="s">
        <v>1221</v>
      </c>
      <c r="E2134" s="223" t="s">
        <v>21</v>
      </c>
      <c r="F2134" s="223" t="s">
        <v>1093</v>
      </c>
      <c r="G2134" s="223" t="s">
        <v>1229</v>
      </c>
    </row>
    <row r="2135" spans="1:7" x14ac:dyDescent="0.3">
      <c r="A2135" s="223">
        <v>2134</v>
      </c>
      <c r="B2135" s="223" t="s">
        <v>1169</v>
      </c>
      <c r="C2135" s="223" t="s">
        <v>1225</v>
      </c>
      <c r="D2135" s="223" t="s">
        <v>1221</v>
      </c>
      <c r="E2135" s="223" t="s">
        <v>21</v>
      </c>
      <c r="F2135" s="223" t="s">
        <v>27</v>
      </c>
      <c r="G2135" s="223" t="s">
        <v>1229</v>
      </c>
    </row>
    <row r="2136" spans="1:7" x14ac:dyDescent="0.3">
      <c r="A2136" s="223">
        <v>2135</v>
      </c>
      <c r="B2136" s="223" t="s">
        <v>1169</v>
      </c>
      <c r="C2136" s="223" t="s">
        <v>1225</v>
      </c>
      <c r="D2136" s="223" t="s">
        <v>1221</v>
      </c>
      <c r="E2136" s="223" t="s">
        <v>21</v>
      </c>
      <c r="F2136" s="223" t="s">
        <v>1096</v>
      </c>
      <c r="G2136" s="223" t="s">
        <v>1229</v>
      </c>
    </row>
    <row r="2137" spans="1:7" x14ac:dyDescent="0.3">
      <c r="A2137" s="223">
        <v>2136</v>
      </c>
      <c r="B2137" s="223" t="s">
        <v>1169</v>
      </c>
      <c r="C2137" s="223" t="s">
        <v>1225</v>
      </c>
      <c r="D2137" s="223" t="s">
        <v>1221</v>
      </c>
      <c r="E2137" s="223" t="s">
        <v>21</v>
      </c>
      <c r="F2137" s="223" t="s">
        <v>1090</v>
      </c>
      <c r="G2137" s="223" t="s">
        <v>1229</v>
      </c>
    </row>
    <row r="2138" spans="1:7" x14ac:dyDescent="0.3">
      <c r="A2138" s="223">
        <v>2137</v>
      </c>
      <c r="B2138" s="223" t="s">
        <v>1169</v>
      </c>
      <c r="C2138" s="223" t="s">
        <v>1225</v>
      </c>
      <c r="D2138" s="223" t="s">
        <v>1222</v>
      </c>
      <c r="E2138" s="223" t="s">
        <v>1087</v>
      </c>
      <c r="F2138" s="223" t="s">
        <v>1093</v>
      </c>
      <c r="G2138" s="223" t="s">
        <v>1229</v>
      </c>
    </row>
    <row r="2139" spans="1:7" x14ac:dyDescent="0.3">
      <c r="A2139" s="223">
        <v>2138</v>
      </c>
      <c r="B2139" s="223" t="s">
        <v>1169</v>
      </c>
      <c r="C2139" s="223" t="s">
        <v>1225</v>
      </c>
      <c r="D2139" s="223" t="s">
        <v>1222</v>
      </c>
      <c r="E2139" s="223" t="s">
        <v>1087</v>
      </c>
      <c r="F2139" s="223" t="s">
        <v>27</v>
      </c>
      <c r="G2139" s="223" t="s">
        <v>1229</v>
      </c>
    </row>
    <row r="2140" spans="1:7" x14ac:dyDescent="0.3">
      <c r="A2140" s="223">
        <v>2139</v>
      </c>
      <c r="B2140" s="223" t="s">
        <v>1169</v>
      </c>
      <c r="C2140" s="223" t="s">
        <v>1225</v>
      </c>
      <c r="D2140" s="223" t="s">
        <v>1222</v>
      </c>
      <c r="E2140" s="223" t="s">
        <v>1087</v>
      </c>
      <c r="F2140" s="223" t="s">
        <v>1096</v>
      </c>
      <c r="G2140" s="223" t="s">
        <v>1229</v>
      </c>
    </row>
    <row r="2141" spans="1:7" x14ac:dyDescent="0.3">
      <c r="A2141" s="223">
        <v>2140</v>
      </c>
      <c r="B2141" s="223" t="s">
        <v>1169</v>
      </c>
      <c r="C2141" s="223" t="s">
        <v>1225</v>
      </c>
      <c r="D2141" s="223" t="s">
        <v>1222</v>
      </c>
      <c r="E2141" s="223" t="s">
        <v>1087</v>
      </c>
      <c r="F2141" s="223" t="s">
        <v>1090</v>
      </c>
      <c r="G2141" s="223" t="s">
        <v>1229</v>
      </c>
    </row>
    <row r="2142" spans="1:7" x14ac:dyDescent="0.3">
      <c r="A2142" s="223">
        <v>2141</v>
      </c>
      <c r="B2142" s="223" t="s">
        <v>1169</v>
      </c>
      <c r="C2142" s="223" t="s">
        <v>1225</v>
      </c>
      <c r="D2142" s="223" t="s">
        <v>1222</v>
      </c>
      <c r="E2142" s="223" t="s">
        <v>21</v>
      </c>
      <c r="F2142" s="223" t="s">
        <v>1093</v>
      </c>
      <c r="G2142" s="223" t="s">
        <v>1229</v>
      </c>
    </row>
    <row r="2143" spans="1:7" x14ac:dyDescent="0.3">
      <c r="A2143" s="223">
        <v>2142</v>
      </c>
      <c r="B2143" s="223" t="s">
        <v>1169</v>
      </c>
      <c r="C2143" s="223" t="s">
        <v>1225</v>
      </c>
      <c r="D2143" s="223" t="s">
        <v>1222</v>
      </c>
      <c r="E2143" s="223" t="s">
        <v>21</v>
      </c>
      <c r="F2143" s="223" t="s">
        <v>27</v>
      </c>
      <c r="G2143" s="223" t="s">
        <v>1229</v>
      </c>
    </row>
    <row r="2144" spans="1:7" x14ac:dyDescent="0.3">
      <c r="A2144" s="223">
        <v>2143</v>
      </c>
      <c r="B2144" s="223" t="s">
        <v>1169</v>
      </c>
      <c r="C2144" s="223" t="s">
        <v>1225</v>
      </c>
      <c r="D2144" s="223" t="s">
        <v>1222</v>
      </c>
      <c r="E2144" s="223" t="s">
        <v>21</v>
      </c>
      <c r="F2144" s="223" t="s">
        <v>1096</v>
      </c>
      <c r="G2144" s="223" t="s">
        <v>1229</v>
      </c>
    </row>
    <row r="2145" spans="1:7" x14ac:dyDescent="0.3">
      <c r="A2145" s="223">
        <v>2144</v>
      </c>
      <c r="B2145" s="223" t="s">
        <v>1169</v>
      </c>
      <c r="C2145" s="223" t="s">
        <v>1225</v>
      </c>
      <c r="D2145" s="223" t="s">
        <v>1222</v>
      </c>
      <c r="E2145" s="223" t="s">
        <v>21</v>
      </c>
      <c r="F2145" s="223" t="s">
        <v>1090</v>
      </c>
      <c r="G2145" s="223" t="s">
        <v>1229</v>
      </c>
    </row>
    <row r="2146" spans="1:7" x14ac:dyDescent="0.3">
      <c r="A2146" s="223">
        <v>2145</v>
      </c>
      <c r="B2146" s="223" t="s">
        <v>1169</v>
      </c>
      <c r="C2146" s="223" t="s">
        <v>1225</v>
      </c>
      <c r="D2146" s="223" t="s">
        <v>1223</v>
      </c>
      <c r="E2146" s="223" t="s">
        <v>1087</v>
      </c>
      <c r="F2146" s="223" t="s">
        <v>1093</v>
      </c>
      <c r="G2146" s="223" t="s">
        <v>1229</v>
      </c>
    </row>
    <row r="2147" spans="1:7" x14ac:dyDescent="0.3">
      <c r="A2147" s="223">
        <v>2146</v>
      </c>
      <c r="B2147" s="223" t="s">
        <v>1169</v>
      </c>
      <c r="C2147" s="223" t="s">
        <v>1225</v>
      </c>
      <c r="D2147" s="223" t="s">
        <v>1223</v>
      </c>
      <c r="E2147" s="223" t="s">
        <v>1087</v>
      </c>
      <c r="F2147" s="223" t="s">
        <v>27</v>
      </c>
      <c r="G2147" s="223" t="s">
        <v>1229</v>
      </c>
    </row>
    <row r="2148" spans="1:7" x14ac:dyDescent="0.3">
      <c r="A2148" s="223">
        <v>2147</v>
      </c>
      <c r="B2148" s="223" t="s">
        <v>1169</v>
      </c>
      <c r="C2148" s="223" t="s">
        <v>1225</v>
      </c>
      <c r="D2148" s="223" t="s">
        <v>1223</v>
      </c>
      <c r="E2148" s="223" t="s">
        <v>1087</v>
      </c>
      <c r="F2148" s="223" t="s">
        <v>1096</v>
      </c>
      <c r="G2148" s="223" t="s">
        <v>1229</v>
      </c>
    </row>
    <row r="2149" spans="1:7" x14ac:dyDescent="0.3">
      <c r="A2149" s="223">
        <v>2148</v>
      </c>
      <c r="B2149" s="223" t="s">
        <v>1169</v>
      </c>
      <c r="C2149" s="223" t="s">
        <v>1225</v>
      </c>
      <c r="D2149" s="223" t="s">
        <v>1223</v>
      </c>
      <c r="E2149" s="223" t="s">
        <v>1087</v>
      </c>
      <c r="F2149" s="223" t="s">
        <v>1090</v>
      </c>
      <c r="G2149" s="223" t="s">
        <v>1229</v>
      </c>
    </row>
    <row r="2150" spans="1:7" x14ac:dyDescent="0.3">
      <c r="A2150" s="223">
        <v>2149</v>
      </c>
      <c r="B2150" s="223" t="s">
        <v>1169</v>
      </c>
      <c r="C2150" s="223" t="s">
        <v>1225</v>
      </c>
      <c r="D2150" s="223" t="s">
        <v>1223</v>
      </c>
      <c r="E2150" s="223" t="s">
        <v>21</v>
      </c>
      <c r="F2150" s="223" t="s">
        <v>1093</v>
      </c>
      <c r="G2150" s="223" t="s">
        <v>1229</v>
      </c>
    </row>
    <row r="2151" spans="1:7" x14ac:dyDescent="0.3">
      <c r="A2151" s="223">
        <v>2150</v>
      </c>
      <c r="B2151" s="223" t="s">
        <v>1169</v>
      </c>
      <c r="C2151" s="223" t="s">
        <v>1225</v>
      </c>
      <c r="D2151" s="223" t="s">
        <v>1223</v>
      </c>
      <c r="E2151" s="223" t="s">
        <v>21</v>
      </c>
      <c r="F2151" s="223" t="s">
        <v>27</v>
      </c>
      <c r="G2151" s="223" t="s">
        <v>1229</v>
      </c>
    </row>
    <row r="2152" spans="1:7" x14ac:dyDescent="0.3">
      <c r="A2152" s="223">
        <v>2151</v>
      </c>
      <c r="B2152" s="223" t="s">
        <v>1169</v>
      </c>
      <c r="C2152" s="223" t="s">
        <v>1225</v>
      </c>
      <c r="D2152" s="223" t="s">
        <v>1223</v>
      </c>
      <c r="E2152" s="223" t="s">
        <v>21</v>
      </c>
      <c r="F2152" s="223" t="s">
        <v>1096</v>
      </c>
      <c r="G2152" s="223" t="s">
        <v>1229</v>
      </c>
    </row>
    <row r="2153" spans="1:7" x14ac:dyDescent="0.3">
      <c r="A2153" s="223">
        <v>2152</v>
      </c>
      <c r="B2153" s="223" t="s">
        <v>1169</v>
      </c>
      <c r="C2153" s="223" t="s">
        <v>1225</v>
      </c>
      <c r="D2153" s="223" t="s">
        <v>1223</v>
      </c>
      <c r="E2153" s="223" t="s">
        <v>21</v>
      </c>
      <c r="F2153" s="223" t="s">
        <v>1090</v>
      </c>
      <c r="G2153" s="223" t="s">
        <v>1229</v>
      </c>
    </row>
    <row r="2154" spans="1:7" x14ac:dyDescent="0.3">
      <c r="A2154" s="223">
        <v>2153</v>
      </c>
      <c r="B2154" s="223" t="s">
        <v>1169</v>
      </c>
      <c r="C2154" s="223" t="s">
        <v>1225</v>
      </c>
      <c r="D2154" s="223" t="s">
        <v>12</v>
      </c>
      <c r="E2154" s="223" t="s">
        <v>1087</v>
      </c>
      <c r="F2154" s="223" t="s">
        <v>1093</v>
      </c>
      <c r="G2154" s="223" t="s">
        <v>1229</v>
      </c>
    </row>
    <row r="2155" spans="1:7" x14ac:dyDescent="0.3">
      <c r="A2155" s="223">
        <v>2154</v>
      </c>
      <c r="B2155" s="223" t="s">
        <v>1169</v>
      </c>
      <c r="C2155" s="223" t="s">
        <v>1225</v>
      </c>
      <c r="D2155" s="223" t="s">
        <v>12</v>
      </c>
      <c r="E2155" s="223" t="s">
        <v>1087</v>
      </c>
      <c r="F2155" s="223" t="s">
        <v>27</v>
      </c>
      <c r="G2155" s="223" t="s">
        <v>1229</v>
      </c>
    </row>
    <row r="2156" spans="1:7" x14ac:dyDescent="0.3">
      <c r="A2156" s="223">
        <v>2155</v>
      </c>
      <c r="B2156" s="223" t="s">
        <v>1169</v>
      </c>
      <c r="C2156" s="223" t="s">
        <v>1225</v>
      </c>
      <c r="D2156" s="223" t="s">
        <v>12</v>
      </c>
      <c r="E2156" s="223" t="s">
        <v>1087</v>
      </c>
      <c r="F2156" s="223" t="s">
        <v>1096</v>
      </c>
      <c r="G2156" s="223" t="s">
        <v>1229</v>
      </c>
    </row>
    <row r="2157" spans="1:7" x14ac:dyDescent="0.3">
      <c r="A2157" s="223">
        <v>2156</v>
      </c>
      <c r="B2157" s="223" t="s">
        <v>1169</v>
      </c>
      <c r="C2157" s="223" t="s">
        <v>1225</v>
      </c>
      <c r="D2157" s="223" t="s">
        <v>12</v>
      </c>
      <c r="E2157" s="223" t="s">
        <v>1087</v>
      </c>
      <c r="F2157" s="223" t="s">
        <v>1090</v>
      </c>
      <c r="G2157" s="223" t="s">
        <v>1229</v>
      </c>
    </row>
    <row r="2158" spans="1:7" x14ac:dyDescent="0.3">
      <c r="A2158" s="223">
        <v>2157</v>
      </c>
      <c r="B2158" s="223" t="s">
        <v>1169</v>
      </c>
      <c r="C2158" s="223" t="s">
        <v>1225</v>
      </c>
      <c r="D2158" s="223" t="s">
        <v>12</v>
      </c>
      <c r="E2158" s="223" t="s">
        <v>21</v>
      </c>
      <c r="F2158" s="223" t="s">
        <v>1093</v>
      </c>
      <c r="G2158" s="223" t="s">
        <v>1229</v>
      </c>
    </row>
    <row r="2159" spans="1:7" x14ac:dyDescent="0.3">
      <c r="A2159" s="223">
        <v>2158</v>
      </c>
      <c r="B2159" s="223" t="s">
        <v>1169</v>
      </c>
      <c r="C2159" s="223" t="s">
        <v>1225</v>
      </c>
      <c r="D2159" s="223" t="s">
        <v>12</v>
      </c>
      <c r="E2159" s="223" t="s">
        <v>21</v>
      </c>
      <c r="F2159" s="223" t="s">
        <v>27</v>
      </c>
      <c r="G2159" s="223" t="s">
        <v>1229</v>
      </c>
    </row>
    <row r="2160" spans="1:7" x14ac:dyDescent="0.3">
      <c r="A2160" s="223">
        <v>2159</v>
      </c>
      <c r="B2160" s="223" t="s">
        <v>1169</v>
      </c>
      <c r="C2160" s="223" t="s">
        <v>1225</v>
      </c>
      <c r="D2160" s="223" t="s">
        <v>12</v>
      </c>
      <c r="E2160" s="223" t="s">
        <v>21</v>
      </c>
      <c r="F2160" s="223" t="s">
        <v>1096</v>
      </c>
      <c r="G2160" s="223" t="s">
        <v>1229</v>
      </c>
    </row>
    <row r="2161" spans="1:7" x14ac:dyDescent="0.3">
      <c r="A2161" s="223">
        <v>2160</v>
      </c>
      <c r="B2161" s="223" t="s">
        <v>1169</v>
      </c>
      <c r="C2161" s="223" t="s">
        <v>1225</v>
      </c>
      <c r="D2161" s="223" t="s">
        <v>12</v>
      </c>
      <c r="E2161" s="223" t="s">
        <v>21</v>
      </c>
      <c r="F2161" s="223" t="s">
        <v>1090</v>
      </c>
      <c r="G2161" s="223" t="s">
        <v>1229</v>
      </c>
    </row>
    <row r="2162" spans="1:7" x14ac:dyDescent="0.3">
      <c r="A2162" s="223">
        <v>2161</v>
      </c>
      <c r="B2162" s="223" t="s">
        <v>1169</v>
      </c>
      <c r="C2162" s="223" t="s">
        <v>1226</v>
      </c>
      <c r="D2162" s="223" t="s">
        <v>1218</v>
      </c>
      <c r="E2162" s="223" t="s">
        <v>1087</v>
      </c>
      <c r="F2162" s="223" t="s">
        <v>1093</v>
      </c>
      <c r="G2162" s="223" t="s">
        <v>1229</v>
      </c>
    </row>
    <row r="2163" spans="1:7" x14ac:dyDescent="0.3">
      <c r="A2163" s="223">
        <v>2162</v>
      </c>
      <c r="B2163" s="223" t="s">
        <v>1169</v>
      </c>
      <c r="C2163" s="223" t="s">
        <v>1226</v>
      </c>
      <c r="D2163" s="223" t="s">
        <v>1218</v>
      </c>
      <c r="E2163" s="223" t="s">
        <v>1087</v>
      </c>
      <c r="F2163" s="223" t="s">
        <v>27</v>
      </c>
      <c r="G2163" s="223" t="s">
        <v>1229</v>
      </c>
    </row>
    <row r="2164" spans="1:7" x14ac:dyDescent="0.3">
      <c r="A2164" s="223">
        <v>2163</v>
      </c>
      <c r="B2164" s="223" t="s">
        <v>1169</v>
      </c>
      <c r="C2164" s="223" t="s">
        <v>1226</v>
      </c>
      <c r="D2164" s="223" t="s">
        <v>1218</v>
      </c>
      <c r="E2164" s="223" t="s">
        <v>1087</v>
      </c>
      <c r="F2164" s="223" t="s">
        <v>1096</v>
      </c>
      <c r="G2164" s="223" t="s">
        <v>1229</v>
      </c>
    </row>
    <row r="2165" spans="1:7" x14ac:dyDescent="0.3">
      <c r="A2165" s="223">
        <v>2164</v>
      </c>
      <c r="B2165" s="223" t="s">
        <v>1169</v>
      </c>
      <c r="C2165" s="223" t="s">
        <v>1226</v>
      </c>
      <c r="D2165" s="223" t="s">
        <v>1218</v>
      </c>
      <c r="E2165" s="223" t="s">
        <v>1087</v>
      </c>
      <c r="F2165" s="223" t="s">
        <v>1090</v>
      </c>
      <c r="G2165" s="223" t="s">
        <v>1229</v>
      </c>
    </row>
    <row r="2166" spans="1:7" x14ac:dyDescent="0.3">
      <c r="A2166" s="223">
        <v>2165</v>
      </c>
      <c r="B2166" s="223" t="s">
        <v>1169</v>
      </c>
      <c r="C2166" s="223" t="s">
        <v>1226</v>
      </c>
      <c r="D2166" s="223" t="s">
        <v>1218</v>
      </c>
      <c r="E2166" s="223" t="s">
        <v>21</v>
      </c>
      <c r="F2166" s="223" t="s">
        <v>1093</v>
      </c>
      <c r="G2166" s="223" t="s">
        <v>1229</v>
      </c>
    </row>
    <row r="2167" spans="1:7" x14ac:dyDescent="0.3">
      <c r="A2167" s="223">
        <v>2166</v>
      </c>
      <c r="B2167" s="223" t="s">
        <v>1169</v>
      </c>
      <c r="C2167" s="223" t="s">
        <v>1226</v>
      </c>
      <c r="D2167" s="223" t="s">
        <v>1218</v>
      </c>
      <c r="E2167" s="223" t="s">
        <v>21</v>
      </c>
      <c r="F2167" s="223" t="s">
        <v>27</v>
      </c>
      <c r="G2167" s="223" t="s">
        <v>1229</v>
      </c>
    </row>
    <row r="2168" spans="1:7" x14ac:dyDescent="0.3">
      <c r="A2168" s="223">
        <v>2167</v>
      </c>
      <c r="B2168" s="223" t="s">
        <v>1169</v>
      </c>
      <c r="C2168" s="223" t="s">
        <v>1226</v>
      </c>
      <c r="D2168" s="223" t="s">
        <v>1218</v>
      </c>
      <c r="E2168" s="223" t="s">
        <v>21</v>
      </c>
      <c r="F2168" s="223" t="s">
        <v>1096</v>
      </c>
      <c r="G2168" s="223" t="s">
        <v>1229</v>
      </c>
    </row>
    <row r="2169" spans="1:7" x14ac:dyDescent="0.3">
      <c r="A2169" s="223">
        <v>2168</v>
      </c>
      <c r="B2169" s="223" t="s">
        <v>1169</v>
      </c>
      <c r="C2169" s="223" t="s">
        <v>1226</v>
      </c>
      <c r="D2169" s="223" t="s">
        <v>1218</v>
      </c>
      <c r="E2169" s="223" t="s">
        <v>21</v>
      </c>
      <c r="F2169" s="223" t="s">
        <v>1090</v>
      </c>
      <c r="G2169" s="223" t="s">
        <v>1229</v>
      </c>
    </row>
    <row r="2170" spans="1:7" x14ac:dyDescent="0.3">
      <c r="A2170" s="223">
        <v>2169</v>
      </c>
      <c r="B2170" s="223" t="s">
        <v>1169</v>
      </c>
      <c r="C2170" s="223" t="s">
        <v>1226</v>
      </c>
      <c r="D2170" s="223" t="s">
        <v>1220</v>
      </c>
      <c r="E2170" s="223" t="s">
        <v>1087</v>
      </c>
      <c r="F2170" s="223" t="s">
        <v>1093</v>
      </c>
      <c r="G2170" s="223" t="s">
        <v>1229</v>
      </c>
    </row>
    <row r="2171" spans="1:7" x14ac:dyDescent="0.3">
      <c r="A2171" s="223">
        <v>2170</v>
      </c>
      <c r="B2171" s="223" t="s">
        <v>1169</v>
      </c>
      <c r="C2171" s="223" t="s">
        <v>1226</v>
      </c>
      <c r="D2171" s="223" t="s">
        <v>1220</v>
      </c>
      <c r="E2171" s="223" t="s">
        <v>1087</v>
      </c>
      <c r="F2171" s="223" t="s">
        <v>27</v>
      </c>
      <c r="G2171" s="223" t="s">
        <v>1229</v>
      </c>
    </row>
    <row r="2172" spans="1:7" x14ac:dyDescent="0.3">
      <c r="A2172" s="223">
        <v>2171</v>
      </c>
      <c r="B2172" s="223" t="s">
        <v>1169</v>
      </c>
      <c r="C2172" s="223" t="s">
        <v>1226</v>
      </c>
      <c r="D2172" s="223" t="s">
        <v>1220</v>
      </c>
      <c r="E2172" s="223" t="s">
        <v>1087</v>
      </c>
      <c r="F2172" s="223" t="s">
        <v>1096</v>
      </c>
      <c r="G2172" s="223" t="s">
        <v>1229</v>
      </c>
    </row>
    <row r="2173" spans="1:7" x14ac:dyDescent="0.3">
      <c r="A2173" s="223">
        <v>2172</v>
      </c>
      <c r="B2173" s="223" t="s">
        <v>1169</v>
      </c>
      <c r="C2173" s="223" t="s">
        <v>1226</v>
      </c>
      <c r="D2173" s="223" t="s">
        <v>1220</v>
      </c>
      <c r="E2173" s="223" t="s">
        <v>1087</v>
      </c>
      <c r="F2173" s="223" t="s">
        <v>1090</v>
      </c>
      <c r="G2173" s="223" t="s">
        <v>1229</v>
      </c>
    </row>
    <row r="2174" spans="1:7" x14ac:dyDescent="0.3">
      <c r="A2174" s="223">
        <v>2173</v>
      </c>
      <c r="B2174" s="223" t="s">
        <v>1169</v>
      </c>
      <c r="C2174" s="223" t="s">
        <v>1226</v>
      </c>
      <c r="D2174" s="223" t="s">
        <v>1220</v>
      </c>
      <c r="E2174" s="223" t="s">
        <v>21</v>
      </c>
      <c r="F2174" s="223" t="s">
        <v>1093</v>
      </c>
      <c r="G2174" s="223" t="s">
        <v>1229</v>
      </c>
    </row>
    <row r="2175" spans="1:7" x14ac:dyDescent="0.3">
      <c r="A2175" s="223">
        <v>2174</v>
      </c>
      <c r="B2175" s="223" t="s">
        <v>1169</v>
      </c>
      <c r="C2175" s="223" t="s">
        <v>1226</v>
      </c>
      <c r="D2175" s="223" t="s">
        <v>1220</v>
      </c>
      <c r="E2175" s="223" t="s">
        <v>21</v>
      </c>
      <c r="F2175" s="223" t="s">
        <v>27</v>
      </c>
      <c r="G2175" s="223" t="s">
        <v>1229</v>
      </c>
    </row>
    <row r="2176" spans="1:7" x14ac:dyDescent="0.3">
      <c r="A2176" s="223">
        <v>2175</v>
      </c>
      <c r="B2176" s="223" t="s">
        <v>1169</v>
      </c>
      <c r="C2176" s="223" t="s">
        <v>1226</v>
      </c>
      <c r="D2176" s="223" t="s">
        <v>1220</v>
      </c>
      <c r="E2176" s="223" t="s">
        <v>21</v>
      </c>
      <c r="F2176" s="223" t="s">
        <v>1096</v>
      </c>
      <c r="G2176" s="223" t="s">
        <v>1229</v>
      </c>
    </row>
    <row r="2177" spans="1:7" x14ac:dyDescent="0.3">
      <c r="A2177" s="223">
        <v>2176</v>
      </c>
      <c r="B2177" s="223" t="s">
        <v>1169</v>
      </c>
      <c r="C2177" s="223" t="s">
        <v>1226</v>
      </c>
      <c r="D2177" s="223" t="s">
        <v>1220</v>
      </c>
      <c r="E2177" s="223" t="s">
        <v>21</v>
      </c>
      <c r="F2177" s="223" t="s">
        <v>1090</v>
      </c>
      <c r="G2177" s="223" t="s">
        <v>1229</v>
      </c>
    </row>
    <row r="2178" spans="1:7" x14ac:dyDescent="0.3">
      <c r="A2178" s="223">
        <v>2177</v>
      </c>
      <c r="B2178" s="223" t="s">
        <v>1169</v>
      </c>
      <c r="C2178" s="223" t="s">
        <v>1226</v>
      </c>
      <c r="D2178" s="223" t="s">
        <v>1221</v>
      </c>
      <c r="E2178" s="223" t="s">
        <v>1087</v>
      </c>
      <c r="F2178" s="223" t="s">
        <v>1093</v>
      </c>
      <c r="G2178" s="223" t="s">
        <v>1229</v>
      </c>
    </row>
    <row r="2179" spans="1:7" x14ac:dyDescent="0.3">
      <c r="A2179" s="223">
        <v>2178</v>
      </c>
      <c r="B2179" s="223" t="s">
        <v>1169</v>
      </c>
      <c r="C2179" s="223" t="s">
        <v>1226</v>
      </c>
      <c r="D2179" s="223" t="s">
        <v>1221</v>
      </c>
      <c r="E2179" s="223" t="s">
        <v>1087</v>
      </c>
      <c r="F2179" s="223" t="s">
        <v>27</v>
      </c>
      <c r="G2179" s="223" t="s">
        <v>1229</v>
      </c>
    </row>
    <row r="2180" spans="1:7" x14ac:dyDescent="0.3">
      <c r="A2180" s="223">
        <v>2179</v>
      </c>
      <c r="B2180" s="223" t="s">
        <v>1169</v>
      </c>
      <c r="C2180" s="223" t="s">
        <v>1226</v>
      </c>
      <c r="D2180" s="223" t="s">
        <v>1221</v>
      </c>
      <c r="E2180" s="223" t="s">
        <v>1087</v>
      </c>
      <c r="F2180" s="223" t="s">
        <v>1096</v>
      </c>
      <c r="G2180" s="223" t="s">
        <v>1229</v>
      </c>
    </row>
    <row r="2181" spans="1:7" x14ac:dyDescent="0.3">
      <c r="A2181" s="223">
        <v>2180</v>
      </c>
      <c r="B2181" s="223" t="s">
        <v>1169</v>
      </c>
      <c r="C2181" s="223" t="s">
        <v>1226</v>
      </c>
      <c r="D2181" s="223" t="s">
        <v>1221</v>
      </c>
      <c r="E2181" s="223" t="s">
        <v>1087</v>
      </c>
      <c r="F2181" s="223" t="s">
        <v>1090</v>
      </c>
      <c r="G2181" s="223" t="s">
        <v>1229</v>
      </c>
    </row>
    <row r="2182" spans="1:7" x14ac:dyDescent="0.3">
      <c r="A2182" s="223">
        <v>2181</v>
      </c>
      <c r="B2182" s="223" t="s">
        <v>1169</v>
      </c>
      <c r="C2182" s="223" t="s">
        <v>1226</v>
      </c>
      <c r="D2182" s="223" t="s">
        <v>1221</v>
      </c>
      <c r="E2182" s="223" t="s">
        <v>21</v>
      </c>
      <c r="F2182" s="223" t="s">
        <v>1093</v>
      </c>
      <c r="G2182" s="223" t="s">
        <v>1229</v>
      </c>
    </row>
    <row r="2183" spans="1:7" x14ac:dyDescent="0.3">
      <c r="A2183" s="223">
        <v>2182</v>
      </c>
      <c r="B2183" s="223" t="s">
        <v>1169</v>
      </c>
      <c r="C2183" s="223" t="s">
        <v>1226</v>
      </c>
      <c r="D2183" s="223" t="s">
        <v>1221</v>
      </c>
      <c r="E2183" s="223" t="s">
        <v>21</v>
      </c>
      <c r="F2183" s="223" t="s">
        <v>27</v>
      </c>
      <c r="G2183" s="223" t="s">
        <v>1229</v>
      </c>
    </row>
    <row r="2184" spans="1:7" x14ac:dyDescent="0.3">
      <c r="A2184" s="223">
        <v>2183</v>
      </c>
      <c r="B2184" s="223" t="s">
        <v>1169</v>
      </c>
      <c r="C2184" s="223" t="s">
        <v>1226</v>
      </c>
      <c r="D2184" s="223" t="s">
        <v>1221</v>
      </c>
      <c r="E2184" s="223" t="s">
        <v>21</v>
      </c>
      <c r="F2184" s="223" t="s">
        <v>1096</v>
      </c>
      <c r="G2184" s="223" t="s">
        <v>1229</v>
      </c>
    </row>
    <row r="2185" spans="1:7" x14ac:dyDescent="0.3">
      <c r="A2185" s="223">
        <v>2184</v>
      </c>
      <c r="B2185" s="223" t="s">
        <v>1169</v>
      </c>
      <c r="C2185" s="223" t="s">
        <v>1226</v>
      </c>
      <c r="D2185" s="223" t="s">
        <v>1221</v>
      </c>
      <c r="E2185" s="223" t="s">
        <v>21</v>
      </c>
      <c r="F2185" s="223" t="s">
        <v>1090</v>
      </c>
      <c r="G2185" s="223" t="s">
        <v>1229</v>
      </c>
    </row>
    <row r="2186" spans="1:7" x14ac:dyDescent="0.3">
      <c r="A2186" s="223">
        <v>2185</v>
      </c>
      <c r="B2186" s="223" t="s">
        <v>1169</v>
      </c>
      <c r="C2186" s="223" t="s">
        <v>1226</v>
      </c>
      <c r="D2186" s="223" t="s">
        <v>1222</v>
      </c>
      <c r="E2186" s="223" t="s">
        <v>1087</v>
      </c>
      <c r="F2186" s="223" t="s">
        <v>1093</v>
      </c>
      <c r="G2186" s="223" t="s">
        <v>1229</v>
      </c>
    </row>
    <row r="2187" spans="1:7" x14ac:dyDescent="0.3">
      <c r="A2187" s="223">
        <v>2186</v>
      </c>
      <c r="B2187" s="223" t="s">
        <v>1169</v>
      </c>
      <c r="C2187" s="223" t="s">
        <v>1226</v>
      </c>
      <c r="D2187" s="223" t="s">
        <v>1222</v>
      </c>
      <c r="E2187" s="223" t="s">
        <v>1087</v>
      </c>
      <c r="F2187" s="223" t="s">
        <v>27</v>
      </c>
      <c r="G2187" s="223" t="s">
        <v>1229</v>
      </c>
    </row>
    <row r="2188" spans="1:7" x14ac:dyDescent="0.3">
      <c r="A2188" s="223">
        <v>2187</v>
      </c>
      <c r="B2188" s="223" t="s">
        <v>1169</v>
      </c>
      <c r="C2188" s="223" t="s">
        <v>1226</v>
      </c>
      <c r="D2188" s="223" t="s">
        <v>1222</v>
      </c>
      <c r="E2188" s="223" t="s">
        <v>1087</v>
      </c>
      <c r="F2188" s="223" t="s">
        <v>1096</v>
      </c>
      <c r="G2188" s="223" t="s">
        <v>1229</v>
      </c>
    </row>
    <row r="2189" spans="1:7" x14ac:dyDescent="0.3">
      <c r="A2189" s="223">
        <v>2188</v>
      </c>
      <c r="B2189" s="223" t="s">
        <v>1169</v>
      </c>
      <c r="C2189" s="223" t="s">
        <v>1226</v>
      </c>
      <c r="D2189" s="223" t="s">
        <v>1222</v>
      </c>
      <c r="E2189" s="223" t="s">
        <v>1087</v>
      </c>
      <c r="F2189" s="223" t="s">
        <v>1090</v>
      </c>
      <c r="G2189" s="223" t="s">
        <v>1229</v>
      </c>
    </row>
    <row r="2190" spans="1:7" x14ac:dyDescent="0.3">
      <c r="A2190" s="223">
        <v>2189</v>
      </c>
      <c r="B2190" s="223" t="s">
        <v>1169</v>
      </c>
      <c r="C2190" s="223" t="s">
        <v>1226</v>
      </c>
      <c r="D2190" s="223" t="s">
        <v>1222</v>
      </c>
      <c r="E2190" s="223" t="s">
        <v>21</v>
      </c>
      <c r="F2190" s="223" t="s">
        <v>1093</v>
      </c>
      <c r="G2190" s="223" t="s">
        <v>1229</v>
      </c>
    </row>
    <row r="2191" spans="1:7" x14ac:dyDescent="0.3">
      <c r="A2191" s="223">
        <v>2190</v>
      </c>
      <c r="B2191" s="223" t="s">
        <v>1169</v>
      </c>
      <c r="C2191" s="223" t="s">
        <v>1226</v>
      </c>
      <c r="D2191" s="223" t="s">
        <v>1222</v>
      </c>
      <c r="E2191" s="223" t="s">
        <v>21</v>
      </c>
      <c r="F2191" s="223" t="s">
        <v>27</v>
      </c>
      <c r="G2191" s="223" t="s">
        <v>1229</v>
      </c>
    </row>
    <row r="2192" spans="1:7" x14ac:dyDescent="0.3">
      <c r="A2192" s="223">
        <v>2191</v>
      </c>
      <c r="B2192" s="223" t="s">
        <v>1169</v>
      </c>
      <c r="C2192" s="223" t="s">
        <v>1226</v>
      </c>
      <c r="D2192" s="223" t="s">
        <v>1222</v>
      </c>
      <c r="E2192" s="223" t="s">
        <v>21</v>
      </c>
      <c r="F2192" s="223" t="s">
        <v>1096</v>
      </c>
      <c r="G2192" s="223" t="s">
        <v>1229</v>
      </c>
    </row>
    <row r="2193" spans="1:7" x14ac:dyDescent="0.3">
      <c r="A2193" s="223">
        <v>2192</v>
      </c>
      <c r="B2193" s="223" t="s">
        <v>1169</v>
      </c>
      <c r="C2193" s="223" t="s">
        <v>1226</v>
      </c>
      <c r="D2193" s="223" t="s">
        <v>1222</v>
      </c>
      <c r="E2193" s="223" t="s">
        <v>21</v>
      </c>
      <c r="F2193" s="223" t="s">
        <v>1090</v>
      </c>
      <c r="G2193" s="223" t="s">
        <v>1229</v>
      </c>
    </row>
    <row r="2194" spans="1:7" x14ac:dyDescent="0.3">
      <c r="A2194" s="223">
        <v>2193</v>
      </c>
      <c r="B2194" s="223" t="s">
        <v>1169</v>
      </c>
      <c r="C2194" s="223" t="s">
        <v>1226</v>
      </c>
      <c r="D2194" s="223" t="s">
        <v>1223</v>
      </c>
      <c r="E2194" s="223" t="s">
        <v>1087</v>
      </c>
      <c r="F2194" s="223" t="s">
        <v>1093</v>
      </c>
      <c r="G2194" s="223" t="s">
        <v>1229</v>
      </c>
    </row>
    <row r="2195" spans="1:7" x14ac:dyDescent="0.3">
      <c r="A2195" s="223">
        <v>2194</v>
      </c>
      <c r="B2195" s="223" t="s">
        <v>1169</v>
      </c>
      <c r="C2195" s="223" t="s">
        <v>1226</v>
      </c>
      <c r="D2195" s="223" t="s">
        <v>1223</v>
      </c>
      <c r="E2195" s="223" t="s">
        <v>1087</v>
      </c>
      <c r="F2195" s="223" t="s">
        <v>27</v>
      </c>
      <c r="G2195" s="223" t="s">
        <v>1229</v>
      </c>
    </row>
    <row r="2196" spans="1:7" x14ac:dyDescent="0.3">
      <c r="A2196" s="223">
        <v>2195</v>
      </c>
      <c r="B2196" s="223" t="s">
        <v>1169</v>
      </c>
      <c r="C2196" s="223" t="s">
        <v>1226</v>
      </c>
      <c r="D2196" s="223" t="s">
        <v>1223</v>
      </c>
      <c r="E2196" s="223" t="s">
        <v>1087</v>
      </c>
      <c r="F2196" s="223" t="s">
        <v>1096</v>
      </c>
      <c r="G2196" s="223" t="s">
        <v>1229</v>
      </c>
    </row>
    <row r="2197" spans="1:7" x14ac:dyDescent="0.3">
      <c r="A2197" s="223">
        <v>2196</v>
      </c>
      <c r="B2197" s="223" t="s">
        <v>1169</v>
      </c>
      <c r="C2197" s="223" t="s">
        <v>1226</v>
      </c>
      <c r="D2197" s="223" t="s">
        <v>1223</v>
      </c>
      <c r="E2197" s="223" t="s">
        <v>1087</v>
      </c>
      <c r="F2197" s="223" t="s">
        <v>1090</v>
      </c>
      <c r="G2197" s="223" t="s">
        <v>1179</v>
      </c>
    </row>
    <row r="2198" spans="1:7" x14ac:dyDescent="0.3">
      <c r="A2198" s="223">
        <v>2197</v>
      </c>
      <c r="B2198" s="223" t="s">
        <v>1169</v>
      </c>
      <c r="C2198" s="223" t="s">
        <v>1226</v>
      </c>
      <c r="D2198" s="223" t="s">
        <v>1223</v>
      </c>
      <c r="E2198" s="223" t="s">
        <v>21</v>
      </c>
      <c r="F2198" s="223" t="s">
        <v>1093</v>
      </c>
      <c r="G2198" s="223" t="s">
        <v>1229</v>
      </c>
    </row>
    <row r="2199" spans="1:7" x14ac:dyDescent="0.3">
      <c r="A2199" s="223">
        <v>2198</v>
      </c>
      <c r="B2199" s="223" t="s">
        <v>1169</v>
      </c>
      <c r="C2199" s="223" t="s">
        <v>1226</v>
      </c>
      <c r="D2199" s="223" t="s">
        <v>1223</v>
      </c>
      <c r="E2199" s="223" t="s">
        <v>21</v>
      </c>
      <c r="F2199" s="223" t="s">
        <v>27</v>
      </c>
      <c r="G2199" s="223" t="s">
        <v>1229</v>
      </c>
    </row>
    <row r="2200" spans="1:7" x14ac:dyDescent="0.3">
      <c r="A2200" s="223">
        <v>2199</v>
      </c>
      <c r="B2200" s="223" t="s">
        <v>1169</v>
      </c>
      <c r="C2200" s="223" t="s">
        <v>1226</v>
      </c>
      <c r="D2200" s="223" t="s">
        <v>1223</v>
      </c>
      <c r="E2200" s="223" t="s">
        <v>21</v>
      </c>
      <c r="F2200" s="223" t="s">
        <v>1096</v>
      </c>
      <c r="G2200" s="223" t="s">
        <v>1168</v>
      </c>
    </row>
    <row r="2201" spans="1:7" x14ac:dyDescent="0.3">
      <c r="A2201" s="223">
        <v>2200</v>
      </c>
      <c r="B2201" s="223" t="s">
        <v>1169</v>
      </c>
      <c r="C2201" s="223" t="s">
        <v>1226</v>
      </c>
      <c r="D2201" s="223" t="s">
        <v>1223</v>
      </c>
      <c r="E2201" s="223" t="s">
        <v>21</v>
      </c>
      <c r="F2201" s="223" t="s">
        <v>1090</v>
      </c>
      <c r="G2201" s="223" t="s">
        <v>1175</v>
      </c>
    </row>
    <row r="2202" spans="1:7" x14ac:dyDescent="0.3">
      <c r="A2202" s="223">
        <v>2201</v>
      </c>
      <c r="B2202" s="223" t="s">
        <v>1169</v>
      </c>
      <c r="C2202" s="223" t="s">
        <v>1226</v>
      </c>
      <c r="D2202" s="223" t="s">
        <v>12</v>
      </c>
      <c r="E2202" s="223" t="s">
        <v>1087</v>
      </c>
      <c r="F2202" s="223" t="s">
        <v>1093</v>
      </c>
      <c r="G2202" s="223" t="s">
        <v>1229</v>
      </c>
    </row>
    <row r="2203" spans="1:7" x14ac:dyDescent="0.3">
      <c r="A2203" s="223">
        <v>2202</v>
      </c>
      <c r="B2203" s="223" t="s">
        <v>1169</v>
      </c>
      <c r="C2203" s="223" t="s">
        <v>1226</v>
      </c>
      <c r="D2203" s="223" t="s">
        <v>12</v>
      </c>
      <c r="E2203" s="223" t="s">
        <v>1087</v>
      </c>
      <c r="F2203" s="223" t="s">
        <v>27</v>
      </c>
      <c r="G2203" s="223" t="s">
        <v>1229</v>
      </c>
    </row>
    <row r="2204" spans="1:7" x14ac:dyDescent="0.3">
      <c r="A2204" s="223">
        <v>2203</v>
      </c>
      <c r="B2204" s="223" t="s">
        <v>1169</v>
      </c>
      <c r="C2204" s="223" t="s">
        <v>1226</v>
      </c>
      <c r="D2204" s="223" t="s">
        <v>12</v>
      </c>
      <c r="E2204" s="223" t="s">
        <v>1087</v>
      </c>
      <c r="F2204" s="223" t="s">
        <v>1096</v>
      </c>
      <c r="G2204" s="223" t="s">
        <v>1229</v>
      </c>
    </row>
    <row r="2205" spans="1:7" x14ac:dyDescent="0.3">
      <c r="A2205" s="223">
        <v>2204</v>
      </c>
      <c r="B2205" s="223" t="s">
        <v>1169</v>
      </c>
      <c r="C2205" s="223" t="s">
        <v>1226</v>
      </c>
      <c r="D2205" s="223" t="s">
        <v>12</v>
      </c>
      <c r="E2205" s="223" t="s">
        <v>1087</v>
      </c>
      <c r="F2205" s="223" t="s">
        <v>1090</v>
      </c>
      <c r="G2205" s="223" t="s">
        <v>1179</v>
      </c>
    </row>
    <row r="2206" spans="1:7" x14ac:dyDescent="0.3">
      <c r="A2206" s="223">
        <v>2205</v>
      </c>
      <c r="B2206" s="223" t="s">
        <v>1169</v>
      </c>
      <c r="C2206" s="223" t="s">
        <v>1226</v>
      </c>
      <c r="D2206" s="223" t="s">
        <v>12</v>
      </c>
      <c r="E2206" s="223" t="s">
        <v>21</v>
      </c>
      <c r="F2206" s="223" t="s">
        <v>1093</v>
      </c>
      <c r="G2206" s="223" t="s">
        <v>1229</v>
      </c>
    </row>
    <row r="2207" spans="1:7" x14ac:dyDescent="0.3">
      <c r="A2207" s="223">
        <v>2206</v>
      </c>
      <c r="B2207" s="223" t="s">
        <v>1169</v>
      </c>
      <c r="C2207" s="223" t="s">
        <v>1226</v>
      </c>
      <c r="D2207" s="223" t="s">
        <v>12</v>
      </c>
      <c r="E2207" s="223" t="s">
        <v>21</v>
      </c>
      <c r="F2207" s="223" t="s">
        <v>27</v>
      </c>
      <c r="G2207" s="223" t="s">
        <v>1229</v>
      </c>
    </row>
    <row r="2208" spans="1:7" x14ac:dyDescent="0.3">
      <c r="A2208" s="223">
        <v>2207</v>
      </c>
      <c r="B2208" s="223" t="s">
        <v>1169</v>
      </c>
      <c r="C2208" s="223" t="s">
        <v>1226</v>
      </c>
      <c r="D2208" s="223" t="s">
        <v>12</v>
      </c>
      <c r="E2208" s="223" t="s">
        <v>21</v>
      </c>
      <c r="F2208" s="223" t="s">
        <v>1096</v>
      </c>
      <c r="G2208" s="223" t="s">
        <v>1168</v>
      </c>
    </row>
    <row r="2209" spans="1:7" x14ac:dyDescent="0.3">
      <c r="A2209" s="223">
        <v>2208</v>
      </c>
      <c r="B2209" s="223" t="s">
        <v>1169</v>
      </c>
      <c r="C2209" s="223" t="s">
        <v>1226</v>
      </c>
      <c r="D2209" s="223" t="s">
        <v>12</v>
      </c>
      <c r="E2209" s="223" t="s">
        <v>21</v>
      </c>
      <c r="F2209" s="223" t="s">
        <v>1090</v>
      </c>
      <c r="G2209" s="223" t="s">
        <v>1175</v>
      </c>
    </row>
    <row r="2210" spans="1:7" x14ac:dyDescent="0.3">
      <c r="A2210" s="223">
        <v>2209</v>
      </c>
      <c r="B2210" s="223" t="s">
        <v>1169</v>
      </c>
      <c r="C2210" s="223" t="s">
        <v>9</v>
      </c>
      <c r="D2210" s="223" t="s">
        <v>1218</v>
      </c>
      <c r="E2210" s="223" t="s">
        <v>1087</v>
      </c>
      <c r="F2210" s="223" t="s">
        <v>1093</v>
      </c>
      <c r="G2210" s="223" t="s">
        <v>1229</v>
      </c>
    </row>
    <row r="2211" spans="1:7" x14ac:dyDescent="0.3">
      <c r="A2211" s="223">
        <v>2210</v>
      </c>
      <c r="B2211" s="223" t="s">
        <v>1169</v>
      </c>
      <c r="C2211" s="223" t="s">
        <v>9</v>
      </c>
      <c r="D2211" s="223" t="s">
        <v>1218</v>
      </c>
      <c r="E2211" s="223" t="s">
        <v>1087</v>
      </c>
      <c r="F2211" s="223" t="s">
        <v>27</v>
      </c>
      <c r="G2211" s="223" t="s">
        <v>1229</v>
      </c>
    </row>
    <row r="2212" spans="1:7" x14ac:dyDescent="0.3">
      <c r="A2212" s="223">
        <v>2211</v>
      </c>
      <c r="B2212" s="223" t="s">
        <v>1169</v>
      </c>
      <c r="C2212" s="223" t="s">
        <v>9</v>
      </c>
      <c r="D2212" s="223" t="s">
        <v>1218</v>
      </c>
      <c r="E2212" s="223" t="s">
        <v>1087</v>
      </c>
      <c r="F2212" s="223" t="s">
        <v>1096</v>
      </c>
      <c r="G2212" s="223" t="s">
        <v>1229</v>
      </c>
    </row>
    <row r="2213" spans="1:7" x14ac:dyDescent="0.3">
      <c r="A2213" s="223">
        <v>2212</v>
      </c>
      <c r="B2213" s="223" t="s">
        <v>1169</v>
      </c>
      <c r="C2213" s="223" t="s">
        <v>9</v>
      </c>
      <c r="D2213" s="223" t="s">
        <v>1218</v>
      </c>
      <c r="E2213" s="223" t="s">
        <v>1087</v>
      </c>
      <c r="F2213" s="223" t="s">
        <v>1090</v>
      </c>
      <c r="G2213" s="223" t="s">
        <v>1229</v>
      </c>
    </row>
    <row r="2214" spans="1:7" x14ac:dyDescent="0.3">
      <c r="A2214" s="223">
        <v>2213</v>
      </c>
      <c r="B2214" s="223" t="s">
        <v>1169</v>
      </c>
      <c r="C2214" s="223" t="s">
        <v>9</v>
      </c>
      <c r="D2214" s="223" t="s">
        <v>1218</v>
      </c>
      <c r="E2214" s="223" t="s">
        <v>21</v>
      </c>
      <c r="F2214" s="223" t="s">
        <v>1093</v>
      </c>
      <c r="G2214" s="223" t="s">
        <v>1229</v>
      </c>
    </row>
    <row r="2215" spans="1:7" x14ac:dyDescent="0.3">
      <c r="A2215" s="223">
        <v>2214</v>
      </c>
      <c r="B2215" s="223" t="s">
        <v>1169</v>
      </c>
      <c r="C2215" s="223" t="s">
        <v>9</v>
      </c>
      <c r="D2215" s="223" t="s">
        <v>1218</v>
      </c>
      <c r="E2215" s="223" t="s">
        <v>21</v>
      </c>
      <c r="F2215" s="223" t="s">
        <v>27</v>
      </c>
      <c r="G2215" s="223" t="s">
        <v>1229</v>
      </c>
    </row>
    <row r="2216" spans="1:7" x14ac:dyDescent="0.3">
      <c r="A2216" s="223">
        <v>2215</v>
      </c>
      <c r="B2216" s="223" t="s">
        <v>1169</v>
      </c>
      <c r="C2216" s="223" t="s">
        <v>9</v>
      </c>
      <c r="D2216" s="223" t="s">
        <v>1218</v>
      </c>
      <c r="E2216" s="223" t="s">
        <v>21</v>
      </c>
      <c r="F2216" s="223" t="s">
        <v>1096</v>
      </c>
      <c r="G2216" s="223" t="s">
        <v>1229</v>
      </c>
    </row>
    <row r="2217" spans="1:7" x14ac:dyDescent="0.3">
      <c r="A2217" s="223">
        <v>2216</v>
      </c>
      <c r="B2217" s="223" t="s">
        <v>1169</v>
      </c>
      <c r="C2217" s="223" t="s">
        <v>9</v>
      </c>
      <c r="D2217" s="223" t="s">
        <v>1218</v>
      </c>
      <c r="E2217" s="223" t="s">
        <v>21</v>
      </c>
      <c r="F2217" s="223" t="s">
        <v>1090</v>
      </c>
      <c r="G2217" s="223" t="s">
        <v>1229</v>
      </c>
    </row>
    <row r="2218" spans="1:7" x14ac:dyDescent="0.3">
      <c r="A2218" s="223">
        <v>2217</v>
      </c>
      <c r="B2218" s="223" t="s">
        <v>1169</v>
      </c>
      <c r="C2218" s="223" t="s">
        <v>9</v>
      </c>
      <c r="D2218" s="223" t="s">
        <v>1220</v>
      </c>
      <c r="E2218" s="223" t="s">
        <v>1087</v>
      </c>
      <c r="F2218" s="223" t="s">
        <v>1093</v>
      </c>
      <c r="G2218" s="223" t="s">
        <v>1229</v>
      </c>
    </row>
    <row r="2219" spans="1:7" x14ac:dyDescent="0.3">
      <c r="A2219" s="223">
        <v>2218</v>
      </c>
      <c r="B2219" s="223" t="s">
        <v>1169</v>
      </c>
      <c r="C2219" s="223" t="s">
        <v>9</v>
      </c>
      <c r="D2219" s="223" t="s">
        <v>1220</v>
      </c>
      <c r="E2219" s="223" t="s">
        <v>1087</v>
      </c>
      <c r="F2219" s="223" t="s">
        <v>27</v>
      </c>
      <c r="G2219" s="223" t="s">
        <v>1229</v>
      </c>
    </row>
    <row r="2220" spans="1:7" x14ac:dyDescent="0.3">
      <c r="A2220" s="223">
        <v>2219</v>
      </c>
      <c r="B2220" s="223" t="s">
        <v>1169</v>
      </c>
      <c r="C2220" s="223" t="s">
        <v>9</v>
      </c>
      <c r="D2220" s="223" t="s">
        <v>1220</v>
      </c>
      <c r="E2220" s="223" t="s">
        <v>1087</v>
      </c>
      <c r="F2220" s="223" t="s">
        <v>1096</v>
      </c>
      <c r="G2220" s="223" t="s">
        <v>1229</v>
      </c>
    </row>
    <row r="2221" spans="1:7" x14ac:dyDescent="0.3">
      <c r="A2221" s="223">
        <v>2220</v>
      </c>
      <c r="B2221" s="223" t="s">
        <v>1169</v>
      </c>
      <c r="C2221" s="223" t="s">
        <v>9</v>
      </c>
      <c r="D2221" s="223" t="s">
        <v>1220</v>
      </c>
      <c r="E2221" s="223" t="s">
        <v>1087</v>
      </c>
      <c r="F2221" s="223" t="s">
        <v>1090</v>
      </c>
      <c r="G2221" s="223" t="s">
        <v>1229</v>
      </c>
    </row>
    <row r="2222" spans="1:7" x14ac:dyDescent="0.3">
      <c r="A2222" s="223">
        <v>2221</v>
      </c>
      <c r="B2222" s="223" t="s">
        <v>1169</v>
      </c>
      <c r="C2222" s="223" t="s">
        <v>9</v>
      </c>
      <c r="D2222" s="223" t="s">
        <v>1220</v>
      </c>
      <c r="E2222" s="223" t="s">
        <v>21</v>
      </c>
      <c r="F2222" s="223" t="s">
        <v>1093</v>
      </c>
      <c r="G2222" s="223" t="s">
        <v>1229</v>
      </c>
    </row>
    <row r="2223" spans="1:7" x14ac:dyDescent="0.3">
      <c r="A2223" s="223">
        <v>2222</v>
      </c>
      <c r="B2223" s="223" t="s">
        <v>1169</v>
      </c>
      <c r="C2223" s="223" t="s">
        <v>9</v>
      </c>
      <c r="D2223" s="223" t="s">
        <v>1220</v>
      </c>
      <c r="E2223" s="223" t="s">
        <v>21</v>
      </c>
      <c r="F2223" s="223" t="s">
        <v>27</v>
      </c>
      <c r="G2223" s="223" t="s">
        <v>1229</v>
      </c>
    </row>
    <row r="2224" spans="1:7" x14ac:dyDescent="0.3">
      <c r="A2224" s="223">
        <v>2223</v>
      </c>
      <c r="B2224" s="223" t="s">
        <v>1169</v>
      </c>
      <c r="C2224" s="223" t="s">
        <v>9</v>
      </c>
      <c r="D2224" s="223" t="s">
        <v>1220</v>
      </c>
      <c r="E2224" s="223" t="s">
        <v>21</v>
      </c>
      <c r="F2224" s="223" t="s">
        <v>1096</v>
      </c>
      <c r="G2224" s="223" t="s">
        <v>1229</v>
      </c>
    </row>
    <row r="2225" spans="1:7" x14ac:dyDescent="0.3">
      <c r="A2225" s="223">
        <v>2224</v>
      </c>
      <c r="B2225" s="223" t="s">
        <v>1169</v>
      </c>
      <c r="C2225" s="223" t="s">
        <v>9</v>
      </c>
      <c r="D2225" s="223" t="s">
        <v>1220</v>
      </c>
      <c r="E2225" s="223" t="s">
        <v>21</v>
      </c>
      <c r="F2225" s="223" t="s">
        <v>1090</v>
      </c>
      <c r="G2225" s="223" t="s">
        <v>1229</v>
      </c>
    </row>
    <row r="2226" spans="1:7" x14ac:dyDescent="0.3">
      <c r="A2226" s="223">
        <v>2225</v>
      </c>
      <c r="B2226" s="223" t="s">
        <v>1169</v>
      </c>
      <c r="C2226" s="223" t="s">
        <v>9</v>
      </c>
      <c r="D2226" s="223" t="s">
        <v>1221</v>
      </c>
      <c r="E2226" s="223" t="s">
        <v>1087</v>
      </c>
      <c r="F2226" s="223" t="s">
        <v>1093</v>
      </c>
      <c r="G2226" s="223" t="s">
        <v>1229</v>
      </c>
    </row>
    <row r="2227" spans="1:7" x14ac:dyDescent="0.3">
      <c r="A2227" s="223">
        <v>2226</v>
      </c>
      <c r="B2227" s="223" t="s">
        <v>1169</v>
      </c>
      <c r="C2227" s="223" t="s">
        <v>9</v>
      </c>
      <c r="D2227" s="223" t="s">
        <v>1221</v>
      </c>
      <c r="E2227" s="223" t="s">
        <v>1087</v>
      </c>
      <c r="F2227" s="223" t="s">
        <v>27</v>
      </c>
      <c r="G2227" s="223" t="s">
        <v>1229</v>
      </c>
    </row>
    <row r="2228" spans="1:7" x14ac:dyDescent="0.3">
      <c r="A2228" s="223">
        <v>2227</v>
      </c>
      <c r="B2228" s="223" t="s">
        <v>1169</v>
      </c>
      <c r="C2228" s="223" t="s">
        <v>9</v>
      </c>
      <c r="D2228" s="223" t="s">
        <v>1221</v>
      </c>
      <c r="E2228" s="223" t="s">
        <v>1087</v>
      </c>
      <c r="F2228" s="223" t="s">
        <v>1096</v>
      </c>
      <c r="G2228" s="223" t="s">
        <v>1229</v>
      </c>
    </row>
    <row r="2229" spans="1:7" x14ac:dyDescent="0.3">
      <c r="A2229" s="223">
        <v>2228</v>
      </c>
      <c r="B2229" s="223" t="s">
        <v>1169</v>
      </c>
      <c r="C2229" s="223" t="s">
        <v>9</v>
      </c>
      <c r="D2229" s="223" t="s">
        <v>1221</v>
      </c>
      <c r="E2229" s="223" t="s">
        <v>1087</v>
      </c>
      <c r="F2229" s="223" t="s">
        <v>1090</v>
      </c>
      <c r="G2229" s="223" t="s">
        <v>1229</v>
      </c>
    </row>
    <row r="2230" spans="1:7" x14ac:dyDescent="0.3">
      <c r="A2230" s="223">
        <v>2229</v>
      </c>
      <c r="B2230" s="223" t="s">
        <v>1169</v>
      </c>
      <c r="C2230" s="223" t="s">
        <v>9</v>
      </c>
      <c r="D2230" s="223" t="s">
        <v>1221</v>
      </c>
      <c r="E2230" s="223" t="s">
        <v>21</v>
      </c>
      <c r="F2230" s="223" t="s">
        <v>1093</v>
      </c>
      <c r="G2230" s="223" t="s">
        <v>1229</v>
      </c>
    </row>
    <row r="2231" spans="1:7" x14ac:dyDescent="0.3">
      <c r="A2231" s="223">
        <v>2230</v>
      </c>
      <c r="B2231" s="223" t="s">
        <v>1169</v>
      </c>
      <c r="C2231" s="223" t="s">
        <v>9</v>
      </c>
      <c r="D2231" s="223" t="s">
        <v>1221</v>
      </c>
      <c r="E2231" s="223" t="s">
        <v>21</v>
      </c>
      <c r="F2231" s="223" t="s">
        <v>27</v>
      </c>
      <c r="G2231" s="223" t="s">
        <v>1229</v>
      </c>
    </row>
    <row r="2232" spans="1:7" x14ac:dyDescent="0.3">
      <c r="A2232" s="223">
        <v>2231</v>
      </c>
      <c r="B2232" s="223" t="s">
        <v>1169</v>
      </c>
      <c r="C2232" s="223" t="s">
        <v>9</v>
      </c>
      <c r="D2232" s="223" t="s">
        <v>1221</v>
      </c>
      <c r="E2232" s="223" t="s">
        <v>21</v>
      </c>
      <c r="F2232" s="223" t="s">
        <v>1096</v>
      </c>
      <c r="G2232" s="223" t="s">
        <v>1229</v>
      </c>
    </row>
    <row r="2233" spans="1:7" x14ac:dyDescent="0.3">
      <c r="A2233" s="223">
        <v>2232</v>
      </c>
      <c r="B2233" s="223" t="s">
        <v>1169</v>
      </c>
      <c r="C2233" s="223" t="s">
        <v>9</v>
      </c>
      <c r="D2233" s="223" t="s">
        <v>1221</v>
      </c>
      <c r="E2233" s="223" t="s">
        <v>21</v>
      </c>
      <c r="F2233" s="223" t="s">
        <v>1090</v>
      </c>
      <c r="G2233" s="223" t="s">
        <v>1229</v>
      </c>
    </row>
    <row r="2234" spans="1:7" x14ac:dyDescent="0.3">
      <c r="A2234" s="223">
        <v>2233</v>
      </c>
      <c r="B2234" s="223" t="s">
        <v>1169</v>
      </c>
      <c r="C2234" s="223" t="s">
        <v>9</v>
      </c>
      <c r="D2234" s="223" t="s">
        <v>1222</v>
      </c>
      <c r="E2234" s="223" t="s">
        <v>1087</v>
      </c>
      <c r="F2234" s="223" t="s">
        <v>1093</v>
      </c>
      <c r="G2234" s="223" t="s">
        <v>1229</v>
      </c>
    </row>
    <row r="2235" spans="1:7" x14ac:dyDescent="0.3">
      <c r="A2235" s="223">
        <v>2234</v>
      </c>
      <c r="B2235" s="223" t="s">
        <v>1169</v>
      </c>
      <c r="C2235" s="223" t="s">
        <v>9</v>
      </c>
      <c r="D2235" s="223" t="s">
        <v>1222</v>
      </c>
      <c r="E2235" s="223" t="s">
        <v>1087</v>
      </c>
      <c r="F2235" s="223" t="s">
        <v>27</v>
      </c>
      <c r="G2235" s="223" t="s">
        <v>1229</v>
      </c>
    </row>
    <row r="2236" spans="1:7" x14ac:dyDescent="0.3">
      <c r="A2236" s="223">
        <v>2235</v>
      </c>
      <c r="B2236" s="223" t="s">
        <v>1169</v>
      </c>
      <c r="C2236" s="223" t="s">
        <v>9</v>
      </c>
      <c r="D2236" s="223" t="s">
        <v>1222</v>
      </c>
      <c r="E2236" s="223" t="s">
        <v>1087</v>
      </c>
      <c r="F2236" s="223" t="s">
        <v>1096</v>
      </c>
      <c r="G2236" s="223" t="s">
        <v>1229</v>
      </c>
    </row>
    <row r="2237" spans="1:7" x14ac:dyDescent="0.3">
      <c r="A2237" s="223">
        <v>2236</v>
      </c>
      <c r="B2237" s="223" t="s">
        <v>1169</v>
      </c>
      <c r="C2237" s="223" t="s">
        <v>9</v>
      </c>
      <c r="D2237" s="223" t="s">
        <v>1222</v>
      </c>
      <c r="E2237" s="223" t="s">
        <v>1087</v>
      </c>
      <c r="F2237" s="223" t="s">
        <v>1090</v>
      </c>
      <c r="G2237" s="223" t="s">
        <v>1229</v>
      </c>
    </row>
    <row r="2238" spans="1:7" x14ac:dyDescent="0.3">
      <c r="A2238" s="223">
        <v>2237</v>
      </c>
      <c r="B2238" s="223" t="s">
        <v>1169</v>
      </c>
      <c r="C2238" s="223" t="s">
        <v>9</v>
      </c>
      <c r="D2238" s="223" t="s">
        <v>1222</v>
      </c>
      <c r="E2238" s="223" t="s">
        <v>21</v>
      </c>
      <c r="F2238" s="223" t="s">
        <v>1093</v>
      </c>
      <c r="G2238" s="223" t="s">
        <v>1229</v>
      </c>
    </row>
    <row r="2239" spans="1:7" x14ac:dyDescent="0.3">
      <c r="A2239" s="223">
        <v>2238</v>
      </c>
      <c r="B2239" s="223" t="s">
        <v>1169</v>
      </c>
      <c r="C2239" s="223" t="s">
        <v>9</v>
      </c>
      <c r="D2239" s="223" t="s">
        <v>1222</v>
      </c>
      <c r="E2239" s="223" t="s">
        <v>21</v>
      </c>
      <c r="F2239" s="223" t="s">
        <v>27</v>
      </c>
      <c r="G2239" s="223" t="s">
        <v>1229</v>
      </c>
    </row>
    <row r="2240" spans="1:7" x14ac:dyDescent="0.3">
      <c r="A2240" s="223">
        <v>2239</v>
      </c>
      <c r="B2240" s="223" t="s">
        <v>1169</v>
      </c>
      <c r="C2240" s="223" t="s">
        <v>9</v>
      </c>
      <c r="D2240" s="223" t="s">
        <v>1222</v>
      </c>
      <c r="E2240" s="223" t="s">
        <v>21</v>
      </c>
      <c r="F2240" s="223" t="s">
        <v>1096</v>
      </c>
      <c r="G2240" s="223" t="s">
        <v>1229</v>
      </c>
    </row>
    <row r="2241" spans="1:7" x14ac:dyDescent="0.3">
      <c r="A2241" s="223">
        <v>2240</v>
      </c>
      <c r="B2241" s="223" t="s">
        <v>1169</v>
      </c>
      <c r="C2241" s="223" t="s">
        <v>9</v>
      </c>
      <c r="D2241" s="223" t="s">
        <v>1222</v>
      </c>
      <c r="E2241" s="223" t="s">
        <v>21</v>
      </c>
      <c r="F2241" s="223" t="s">
        <v>1090</v>
      </c>
      <c r="G2241" s="223" t="s">
        <v>1229</v>
      </c>
    </row>
    <row r="2242" spans="1:7" x14ac:dyDescent="0.3">
      <c r="A2242" s="223">
        <v>2241</v>
      </c>
      <c r="B2242" s="223" t="s">
        <v>1169</v>
      </c>
      <c r="C2242" s="223" t="s">
        <v>9</v>
      </c>
      <c r="D2242" s="223" t="s">
        <v>1223</v>
      </c>
      <c r="E2242" s="223" t="s">
        <v>1087</v>
      </c>
      <c r="F2242" s="223" t="s">
        <v>1093</v>
      </c>
      <c r="G2242" s="223" t="s">
        <v>1229</v>
      </c>
    </row>
    <row r="2243" spans="1:7" x14ac:dyDescent="0.3">
      <c r="A2243" s="223">
        <v>2242</v>
      </c>
      <c r="B2243" s="223" t="s">
        <v>1169</v>
      </c>
      <c r="C2243" s="223" t="s">
        <v>9</v>
      </c>
      <c r="D2243" s="223" t="s">
        <v>1223</v>
      </c>
      <c r="E2243" s="223" t="s">
        <v>1087</v>
      </c>
      <c r="F2243" s="223" t="s">
        <v>27</v>
      </c>
      <c r="G2243" s="223" t="s">
        <v>1229</v>
      </c>
    </row>
    <row r="2244" spans="1:7" x14ac:dyDescent="0.3">
      <c r="A2244" s="223">
        <v>2243</v>
      </c>
      <c r="B2244" s="223" t="s">
        <v>1169</v>
      </c>
      <c r="C2244" s="223" t="s">
        <v>9</v>
      </c>
      <c r="D2244" s="223" t="s">
        <v>1223</v>
      </c>
      <c r="E2244" s="223" t="s">
        <v>1087</v>
      </c>
      <c r="F2244" s="223" t="s">
        <v>1096</v>
      </c>
      <c r="G2244" s="223" t="s">
        <v>1229</v>
      </c>
    </row>
    <row r="2245" spans="1:7" x14ac:dyDescent="0.3">
      <c r="A2245" s="223">
        <v>2244</v>
      </c>
      <c r="B2245" s="223" t="s">
        <v>1169</v>
      </c>
      <c r="C2245" s="223" t="s">
        <v>9</v>
      </c>
      <c r="D2245" s="223" t="s">
        <v>1223</v>
      </c>
      <c r="E2245" s="223" t="s">
        <v>1087</v>
      </c>
      <c r="F2245" s="223" t="s">
        <v>1090</v>
      </c>
      <c r="G2245" s="223" t="s">
        <v>1179</v>
      </c>
    </row>
    <row r="2246" spans="1:7" x14ac:dyDescent="0.3">
      <c r="A2246" s="223">
        <v>2245</v>
      </c>
      <c r="B2246" s="223" t="s">
        <v>1169</v>
      </c>
      <c r="C2246" s="223" t="s">
        <v>9</v>
      </c>
      <c r="D2246" s="223" t="s">
        <v>1223</v>
      </c>
      <c r="E2246" s="223" t="s">
        <v>21</v>
      </c>
      <c r="F2246" s="223" t="s">
        <v>1093</v>
      </c>
      <c r="G2246" s="223" t="s">
        <v>1229</v>
      </c>
    </row>
    <row r="2247" spans="1:7" x14ac:dyDescent="0.3">
      <c r="A2247" s="223">
        <v>2246</v>
      </c>
      <c r="B2247" s="223" t="s">
        <v>1169</v>
      </c>
      <c r="C2247" s="223" t="s">
        <v>9</v>
      </c>
      <c r="D2247" s="223" t="s">
        <v>1223</v>
      </c>
      <c r="E2247" s="223" t="s">
        <v>21</v>
      </c>
      <c r="F2247" s="223" t="s">
        <v>27</v>
      </c>
      <c r="G2247" s="223" t="s">
        <v>1229</v>
      </c>
    </row>
    <row r="2248" spans="1:7" x14ac:dyDescent="0.3">
      <c r="A2248" s="223">
        <v>2247</v>
      </c>
      <c r="B2248" s="223" t="s">
        <v>1169</v>
      </c>
      <c r="C2248" s="223" t="s">
        <v>9</v>
      </c>
      <c r="D2248" s="223" t="s">
        <v>1223</v>
      </c>
      <c r="E2248" s="223" t="s">
        <v>21</v>
      </c>
      <c r="F2248" s="223" t="s">
        <v>1096</v>
      </c>
      <c r="G2248" s="223" t="s">
        <v>1168</v>
      </c>
    </row>
    <row r="2249" spans="1:7" x14ac:dyDescent="0.3">
      <c r="A2249" s="223">
        <v>2248</v>
      </c>
      <c r="B2249" s="223" t="s">
        <v>1169</v>
      </c>
      <c r="C2249" s="223" t="s">
        <v>9</v>
      </c>
      <c r="D2249" s="223" t="s">
        <v>1223</v>
      </c>
      <c r="E2249" s="223" t="s">
        <v>21</v>
      </c>
      <c r="F2249" s="223" t="s">
        <v>1090</v>
      </c>
      <c r="G2249" s="223" t="s">
        <v>1175</v>
      </c>
    </row>
    <row r="2250" spans="1:7" x14ac:dyDescent="0.3">
      <c r="A2250" s="223">
        <v>2249</v>
      </c>
      <c r="B2250" s="223" t="s">
        <v>1169</v>
      </c>
      <c r="C2250" s="223" t="s">
        <v>9</v>
      </c>
      <c r="D2250" s="223" t="s">
        <v>12</v>
      </c>
      <c r="E2250" s="223" t="s">
        <v>1087</v>
      </c>
      <c r="F2250" s="223" t="s">
        <v>1093</v>
      </c>
      <c r="G2250" s="223" t="s">
        <v>1229</v>
      </c>
    </row>
    <row r="2251" spans="1:7" x14ac:dyDescent="0.3">
      <c r="A2251" s="223">
        <v>2250</v>
      </c>
      <c r="B2251" s="223" t="s">
        <v>1169</v>
      </c>
      <c r="C2251" s="223" t="s">
        <v>9</v>
      </c>
      <c r="D2251" s="223" t="s">
        <v>12</v>
      </c>
      <c r="E2251" s="223" t="s">
        <v>1087</v>
      </c>
      <c r="F2251" s="223" t="s">
        <v>27</v>
      </c>
      <c r="G2251" s="223" t="s">
        <v>1229</v>
      </c>
    </row>
    <row r="2252" spans="1:7" x14ac:dyDescent="0.3">
      <c r="A2252" s="223">
        <v>2251</v>
      </c>
      <c r="B2252" s="223" t="s">
        <v>1169</v>
      </c>
      <c r="C2252" s="223" t="s">
        <v>9</v>
      </c>
      <c r="D2252" s="223" t="s">
        <v>12</v>
      </c>
      <c r="E2252" s="223" t="s">
        <v>1087</v>
      </c>
      <c r="F2252" s="223" t="s">
        <v>1096</v>
      </c>
      <c r="G2252" s="223" t="s">
        <v>1229</v>
      </c>
    </row>
    <row r="2253" spans="1:7" x14ac:dyDescent="0.3">
      <c r="A2253" s="223">
        <v>2252</v>
      </c>
      <c r="B2253" s="223" t="s">
        <v>1169</v>
      </c>
      <c r="C2253" s="223" t="s">
        <v>9</v>
      </c>
      <c r="D2253" s="223" t="s">
        <v>12</v>
      </c>
      <c r="E2253" s="223" t="s">
        <v>1087</v>
      </c>
      <c r="F2253" s="223" t="s">
        <v>1090</v>
      </c>
      <c r="G2253" s="223" t="s">
        <v>1179</v>
      </c>
    </row>
    <row r="2254" spans="1:7" x14ac:dyDescent="0.3">
      <c r="A2254" s="223">
        <v>2253</v>
      </c>
      <c r="B2254" s="223" t="s">
        <v>1169</v>
      </c>
      <c r="C2254" s="223" t="s">
        <v>9</v>
      </c>
      <c r="D2254" s="223" t="s">
        <v>12</v>
      </c>
      <c r="E2254" s="223" t="s">
        <v>21</v>
      </c>
      <c r="F2254" s="223" t="s">
        <v>1093</v>
      </c>
      <c r="G2254" s="223" t="s">
        <v>1229</v>
      </c>
    </row>
    <row r="2255" spans="1:7" x14ac:dyDescent="0.3">
      <c r="A2255" s="223">
        <v>2254</v>
      </c>
      <c r="B2255" s="223" t="s">
        <v>1169</v>
      </c>
      <c r="C2255" s="223" t="s">
        <v>9</v>
      </c>
      <c r="D2255" s="223" t="s">
        <v>12</v>
      </c>
      <c r="E2255" s="223" t="s">
        <v>21</v>
      </c>
      <c r="F2255" s="223" t="s">
        <v>27</v>
      </c>
      <c r="G2255" s="223" t="s">
        <v>1229</v>
      </c>
    </row>
    <row r="2256" spans="1:7" x14ac:dyDescent="0.3">
      <c r="A2256" s="223">
        <v>2255</v>
      </c>
      <c r="B2256" s="223" t="s">
        <v>1169</v>
      </c>
      <c r="C2256" s="223" t="s">
        <v>9</v>
      </c>
      <c r="D2256" s="223" t="s">
        <v>12</v>
      </c>
      <c r="E2256" s="223" t="s">
        <v>21</v>
      </c>
      <c r="F2256" s="223" t="s">
        <v>1096</v>
      </c>
      <c r="G2256" s="223" t="s">
        <v>1168</v>
      </c>
    </row>
    <row r="2257" spans="1:7" x14ac:dyDescent="0.3">
      <c r="A2257" s="223">
        <v>2256</v>
      </c>
      <c r="B2257" s="223" t="s">
        <v>1169</v>
      </c>
      <c r="C2257" s="223" t="s">
        <v>9</v>
      </c>
      <c r="D2257" s="223" t="s">
        <v>12</v>
      </c>
      <c r="E2257" s="223" t="s">
        <v>21</v>
      </c>
      <c r="F2257" s="223" t="s">
        <v>1090</v>
      </c>
      <c r="G2257" s="223" t="s">
        <v>1175</v>
      </c>
    </row>
    <row r="2258" spans="1:7" x14ac:dyDescent="0.3">
      <c r="A2258" s="223">
        <v>2257</v>
      </c>
      <c r="B2258" s="223" t="s">
        <v>1169</v>
      </c>
      <c r="C2258" s="223" t="s">
        <v>1227</v>
      </c>
      <c r="D2258" s="223" t="s">
        <v>1218</v>
      </c>
      <c r="E2258" s="223" t="s">
        <v>1087</v>
      </c>
      <c r="F2258" s="223" t="s">
        <v>1093</v>
      </c>
      <c r="G2258" s="223" t="s">
        <v>1229</v>
      </c>
    </row>
    <row r="2259" spans="1:7" x14ac:dyDescent="0.3">
      <c r="A2259" s="223">
        <v>2258</v>
      </c>
      <c r="B2259" s="223" t="s">
        <v>1169</v>
      </c>
      <c r="C2259" s="223" t="s">
        <v>1227</v>
      </c>
      <c r="D2259" s="223" t="s">
        <v>1218</v>
      </c>
      <c r="E2259" s="223" t="s">
        <v>1087</v>
      </c>
      <c r="F2259" s="223" t="s">
        <v>27</v>
      </c>
      <c r="G2259" s="223" t="s">
        <v>1229</v>
      </c>
    </row>
    <row r="2260" spans="1:7" x14ac:dyDescent="0.3">
      <c r="A2260" s="223">
        <v>2259</v>
      </c>
      <c r="B2260" s="223" t="s">
        <v>1169</v>
      </c>
      <c r="C2260" s="223" t="s">
        <v>1227</v>
      </c>
      <c r="D2260" s="223" t="s">
        <v>1218</v>
      </c>
      <c r="E2260" s="223" t="s">
        <v>1087</v>
      </c>
      <c r="F2260" s="223" t="s">
        <v>1096</v>
      </c>
      <c r="G2260" s="223" t="s">
        <v>1229</v>
      </c>
    </row>
    <row r="2261" spans="1:7" x14ac:dyDescent="0.3">
      <c r="A2261" s="223">
        <v>2260</v>
      </c>
      <c r="B2261" s="223" t="s">
        <v>1169</v>
      </c>
      <c r="C2261" s="223" t="s">
        <v>1227</v>
      </c>
      <c r="D2261" s="223" t="s">
        <v>1218</v>
      </c>
      <c r="E2261" s="223" t="s">
        <v>1087</v>
      </c>
      <c r="F2261" s="223" t="s">
        <v>1090</v>
      </c>
      <c r="G2261" s="223" t="s">
        <v>1229</v>
      </c>
    </row>
    <row r="2262" spans="1:7" x14ac:dyDescent="0.3">
      <c r="A2262" s="223">
        <v>2261</v>
      </c>
      <c r="B2262" s="223" t="s">
        <v>1169</v>
      </c>
      <c r="C2262" s="223" t="s">
        <v>1227</v>
      </c>
      <c r="D2262" s="223" t="s">
        <v>1218</v>
      </c>
      <c r="E2262" s="223" t="s">
        <v>21</v>
      </c>
      <c r="F2262" s="223" t="s">
        <v>1093</v>
      </c>
      <c r="G2262" s="223" t="s">
        <v>1229</v>
      </c>
    </row>
    <row r="2263" spans="1:7" x14ac:dyDescent="0.3">
      <c r="A2263" s="223">
        <v>2262</v>
      </c>
      <c r="B2263" s="223" t="s">
        <v>1169</v>
      </c>
      <c r="C2263" s="223" t="s">
        <v>1227</v>
      </c>
      <c r="D2263" s="223" t="s">
        <v>1218</v>
      </c>
      <c r="E2263" s="223" t="s">
        <v>21</v>
      </c>
      <c r="F2263" s="223" t="s">
        <v>27</v>
      </c>
      <c r="G2263" s="223" t="s">
        <v>1229</v>
      </c>
    </row>
    <row r="2264" spans="1:7" x14ac:dyDescent="0.3">
      <c r="A2264" s="223">
        <v>2263</v>
      </c>
      <c r="B2264" s="223" t="s">
        <v>1169</v>
      </c>
      <c r="C2264" s="223" t="s">
        <v>1227</v>
      </c>
      <c r="D2264" s="223" t="s">
        <v>1218</v>
      </c>
      <c r="E2264" s="223" t="s">
        <v>21</v>
      </c>
      <c r="F2264" s="223" t="s">
        <v>1096</v>
      </c>
      <c r="G2264" s="223" t="s">
        <v>1229</v>
      </c>
    </row>
    <row r="2265" spans="1:7" x14ac:dyDescent="0.3">
      <c r="A2265" s="223">
        <v>2264</v>
      </c>
      <c r="B2265" s="223" t="s">
        <v>1169</v>
      </c>
      <c r="C2265" s="223" t="s">
        <v>1227</v>
      </c>
      <c r="D2265" s="223" t="s">
        <v>1218</v>
      </c>
      <c r="E2265" s="223" t="s">
        <v>21</v>
      </c>
      <c r="F2265" s="223" t="s">
        <v>1090</v>
      </c>
      <c r="G2265" s="223" t="s">
        <v>1229</v>
      </c>
    </row>
    <row r="2266" spans="1:7" x14ac:dyDescent="0.3">
      <c r="A2266" s="223">
        <v>2265</v>
      </c>
      <c r="B2266" s="223" t="s">
        <v>1169</v>
      </c>
      <c r="C2266" s="223" t="s">
        <v>1227</v>
      </c>
      <c r="D2266" s="223" t="s">
        <v>1220</v>
      </c>
      <c r="E2266" s="223" t="s">
        <v>1087</v>
      </c>
      <c r="F2266" s="223" t="s">
        <v>1093</v>
      </c>
      <c r="G2266" s="223" t="s">
        <v>1229</v>
      </c>
    </row>
    <row r="2267" spans="1:7" x14ac:dyDescent="0.3">
      <c r="A2267" s="223">
        <v>2266</v>
      </c>
      <c r="B2267" s="223" t="s">
        <v>1169</v>
      </c>
      <c r="C2267" s="223" t="s">
        <v>1227</v>
      </c>
      <c r="D2267" s="223" t="s">
        <v>1220</v>
      </c>
      <c r="E2267" s="223" t="s">
        <v>1087</v>
      </c>
      <c r="F2267" s="223" t="s">
        <v>27</v>
      </c>
      <c r="G2267" s="223" t="s">
        <v>1229</v>
      </c>
    </row>
    <row r="2268" spans="1:7" x14ac:dyDescent="0.3">
      <c r="A2268" s="223">
        <v>2267</v>
      </c>
      <c r="B2268" s="223" t="s">
        <v>1169</v>
      </c>
      <c r="C2268" s="223" t="s">
        <v>1227</v>
      </c>
      <c r="D2268" s="223" t="s">
        <v>1220</v>
      </c>
      <c r="E2268" s="223" t="s">
        <v>1087</v>
      </c>
      <c r="F2268" s="223" t="s">
        <v>1096</v>
      </c>
      <c r="G2268" s="223" t="s">
        <v>1229</v>
      </c>
    </row>
    <row r="2269" spans="1:7" x14ac:dyDescent="0.3">
      <c r="A2269" s="223">
        <v>2268</v>
      </c>
      <c r="B2269" s="223" t="s">
        <v>1169</v>
      </c>
      <c r="C2269" s="223" t="s">
        <v>1227</v>
      </c>
      <c r="D2269" s="223" t="s">
        <v>1220</v>
      </c>
      <c r="E2269" s="223" t="s">
        <v>1087</v>
      </c>
      <c r="F2269" s="223" t="s">
        <v>1090</v>
      </c>
      <c r="G2269" s="223" t="s">
        <v>1229</v>
      </c>
    </row>
    <row r="2270" spans="1:7" x14ac:dyDescent="0.3">
      <c r="A2270" s="223">
        <v>2269</v>
      </c>
      <c r="B2270" s="223" t="s">
        <v>1169</v>
      </c>
      <c r="C2270" s="223" t="s">
        <v>1227</v>
      </c>
      <c r="D2270" s="223" t="s">
        <v>1220</v>
      </c>
      <c r="E2270" s="223" t="s">
        <v>21</v>
      </c>
      <c r="F2270" s="223" t="s">
        <v>1093</v>
      </c>
      <c r="G2270" s="223" t="s">
        <v>1229</v>
      </c>
    </row>
    <row r="2271" spans="1:7" x14ac:dyDescent="0.3">
      <c r="A2271" s="223">
        <v>2270</v>
      </c>
      <c r="B2271" s="223" t="s">
        <v>1169</v>
      </c>
      <c r="C2271" s="223" t="s">
        <v>1227</v>
      </c>
      <c r="D2271" s="223" t="s">
        <v>1220</v>
      </c>
      <c r="E2271" s="223" t="s">
        <v>21</v>
      </c>
      <c r="F2271" s="223" t="s">
        <v>27</v>
      </c>
      <c r="G2271" s="223" t="s">
        <v>1229</v>
      </c>
    </row>
    <row r="2272" spans="1:7" x14ac:dyDescent="0.3">
      <c r="A2272" s="223">
        <v>2271</v>
      </c>
      <c r="B2272" s="223" t="s">
        <v>1169</v>
      </c>
      <c r="C2272" s="223" t="s">
        <v>1227</v>
      </c>
      <c r="D2272" s="223" t="s">
        <v>1220</v>
      </c>
      <c r="E2272" s="223" t="s">
        <v>21</v>
      </c>
      <c r="F2272" s="223" t="s">
        <v>1096</v>
      </c>
      <c r="G2272" s="223" t="s">
        <v>1229</v>
      </c>
    </row>
    <row r="2273" spans="1:7" x14ac:dyDescent="0.3">
      <c r="A2273" s="223">
        <v>2272</v>
      </c>
      <c r="B2273" s="223" t="s">
        <v>1169</v>
      </c>
      <c r="C2273" s="223" t="s">
        <v>1227</v>
      </c>
      <c r="D2273" s="223" t="s">
        <v>1220</v>
      </c>
      <c r="E2273" s="223" t="s">
        <v>21</v>
      </c>
      <c r="F2273" s="223" t="s">
        <v>1090</v>
      </c>
      <c r="G2273" s="223" t="s">
        <v>1229</v>
      </c>
    </row>
    <row r="2274" spans="1:7" x14ac:dyDescent="0.3">
      <c r="A2274" s="223">
        <v>2273</v>
      </c>
      <c r="B2274" s="223" t="s">
        <v>1169</v>
      </c>
      <c r="C2274" s="223" t="s">
        <v>1227</v>
      </c>
      <c r="D2274" s="223" t="s">
        <v>1221</v>
      </c>
      <c r="E2274" s="223" t="s">
        <v>1087</v>
      </c>
      <c r="F2274" s="223" t="s">
        <v>1093</v>
      </c>
      <c r="G2274" s="223" t="s">
        <v>1229</v>
      </c>
    </row>
    <row r="2275" spans="1:7" x14ac:dyDescent="0.3">
      <c r="A2275" s="223">
        <v>2274</v>
      </c>
      <c r="B2275" s="223" t="s">
        <v>1169</v>
      </c>
      <c r="C2275" s="223" t="s">
        <v>1227</v>
      </c>
      <c r="D2275" s="223" t="s">
        <v>1221</v>
      </c>
      <c r="E2275" s="223" t="s">
        <v>1087</v>
      </c>
      <c r="F2275" s="223" t="s">
        <v>27</v>
      </c>
      <c r="G2275" s="223" t="s">
        <v>1229</v>
      </c>
    </row>
    <row r="2276" spans="1:7" x14ac:dyDescent="0.3">
      <c r="A2276" s="223">
        <v>2275</v>
      </c>
      <c r="B2276" s="223" t="s">
        <v>1169</v>
      </c>
      <c r="C2276" s="223" t="s">
        <v>1227</v>
      </c>
      <c r="D2276" s="223" t="s">
        <v>1221</v>
      </c>
      <c r="E2276" s="223" t="s">
        <v>1087</v>
      </c>
      <c r="F2276" s="223" t="s">
        <v>1096</v>
      </c>
      <c r="G2276" s="223" t="s">
        <v>1229</v>
      </c>
    </row>
    <row r="2277" spans="1:7" x14ac:dyDescent="0.3">
      <c r="A2277" s="223">
        <v>2276</v>
      </c>
      <c r="B2277" s="223" t="s">
        <v>1169</v>
      </c>
      <c r="C2277" s="223" t="s">
        <v>1227</v>
      </c>
      <c r="D2277" s="223" t="s">
        <v>1221</v>
      </c>
      <c r="E2277" s="223" t="s">
        <v>1087</v>
      </c>
      <c r="F2277" s="223" t="s">
        <v>1090</v>
      </c>
      <c r="G2277" s="223" t="s">
        <v>1229</v>
      </c>
    </row>
    <row r="2278" spans="1:7" x14ac:dyDescent="0.3">
      <c r="A2278" s="223">
        <v>2277</v>
      </c>
      <c r="B2278" s="223" t="s">
        <v>1169</v>
      </c>
      <c r="C2278" s="223" t="s">
        <v>1227</v>
      </c>
      <c r="D2278" s="223" t="s">
        <v>1221</v>
      </c>
      <c r="E2278" s="223" t="s">
        <v>21</v>
      </c>
      <c r="F2278" s="223" t="s">
        <v>1093</v>
      </c>
      <c r="G2278" s="223" t="s">
        <v>1229</v>
      </c>
    </row>
    <row r="2279" spans="1:7" x14ac:dyDescent="0.3">
      <c r="A2279" s="223">
        <v>2278</v>
      </c>
      <c r="B2279" s="223" t="s">
        <v>1169</v>
      </c>
      <c r="C2279" s="223" t="s">
        <v>1227</v>
      </c>
      <c r="D2279" s="223" t="s">
        <v>1221</v>
      </c>
      <c r="E2279" s="223" t="s">
        <v>21</v>
      </c>
      <c r="F2279" s="223" t="s">
        <v>27</v>
      </c>
      <c r="G2279" s="223" t="s">
        <v>1229</v>
      </c>
    </row>
    <row r="2280" spans="1:7" x14ac:dyDescent="0.3">
      <c r="A2280" s="223">
        <v>2279</v>
      </c>
      <c r="B2280" s="223" t="s">
        <v>1169</v>
      </c>
      <c r="C2280" s="223" t="s">
        <v>1227</v>
      </c>
      <c r="D2280" s="223" t="s">
        <v>1221</v>
      </c>
      <c r="E2280" s="223" t="s">
        <v>21</v>
      </c>
      <c r="F2280" s="223" t="s">
        <v>1096</v>
      </c>
      <c r="G2280" s="223" t="s">
        <v>1229</v>
      </c>
    </row>
    <row r="2281" spans="1:7" x14ac:dyDescent="0.3">
      <c r="A2281" s="223">
        <v>2280</v>
      </c>
      <c r="B2281" s="223" t="s">
        <v>1169</v>
      </c>
      <c r="C2281" s="223" t="s">
        <v>1227</v>
      </c>
      <c r="D2281" s="223" t="s">
        <v>1221</v>
      </c>
      <c r="E2281" s="223" t="s">
        <v>21</v>
      </c>
      <c r="F2281" s="223" t="s">
        <v>1090</v>
      </c>
      <c r="G2281" s="223" t="s">
        <v>1229</v>
      </c>
    </row>
    <row r="2282" spans="1:7" x14ac:dyDescent="0.3">
      <c r="A2282" s="223">
        <v>2281</v>
      </c>
      <c r="B2282" s="223" t="s">
        <v>1169</v>
      </c>
      <c r="C2282" s="223" t="s">
        <v>1227</v>
      </c>
      <c r="D2282" s="223" t="s">
        <v>1222</v>
      </c>
      <c r="E2282" s="223" t="s">
        <v>1087</v>
      </c>
      <c r="F2282" s="223" t="s">
        <v>1093</v>
      </c>
      <c r="G2282" s="223" t="s">
        <v>1229</v>
      </c>
    </row>
    <row r="2283" spans="1:7" x14ac:dyDescent="0.3">
      <c r="A2283" s="223">
        <v>2282</v>
      </c>
      <c r="B2283" s="223" t="s">
        <v>1169</v>
      </c>
      <c r="C2283" s="223" t="s">
        <v>1227</v>
      </c>
      <c r="D2283" s="223" t="s">
        <v>1222</v>
      </c>
      <c r="E2283" s="223" t="s">
        <v>1087</v>
      </c>
      <c r="F2283" s="223" t="s">
        <v>27</v>
      </c>
      <c r="G2283" s="223" t="s">
        <v>1229</v>
      </c>
    </row>
    <row r="2284" spans="1:7" x14ac:dyDescent="0.3">
      <c r="A2284" s="223">
        <v>2283</v>
      </c>
      <c r="B2284" s="223" t="s">
        <v>1169</v>
      </c>
      <c r="C2284" s="223" t="s">
        <v>1227</v>
      </c>
      <c r="D2284" s="223" t="s">
        <v>1222</v>
      </c>
      <c r="E2284" s="223" t="s">
        <v>1087</v>
      </c>
      <c r="F2284" s="223" t="s">
        <v>1096</v>
      </c>
      <c r="G2284" s="223" t="s">
        <v>1229</v>
      </c>
    </row>
    <row r="2285" spans="1:7" x14ac:dyDescent="0.3">
      <c r="A2285" s="223">
        <v>2284</v>
      </c>
      <c r="B2285" s="223" t="s">
        <v>1169</v>
      </c>
      <c r="C2285" s="223" t="s">
        <v>1227</v>
      </c>
      <c r="D2285" s="223" t="s">
        <v>1222</v>
      </c>
      <c r="E2285" s="223" t="s">
        <v>1087</v>
      </c>
      <c r="F2285" s="223" t="s">
        <v>1090</v>
      </c>
      <c r="G2285" s="223" t="s">
        <v>1229</v>
      </c>
    </row>
    <row r="2286" spans="1:7" x14ac:dyDescent="0.3">
      <c r="A2286" s="223">
        <v>2285</v>
      </c>
      <c r="B2286" s="223" t="s">
        <v>1169</v>
      </c>
      <c r="C2286" s="223" t="s">
        <v>1227</v>
      </c>
      <c r="D2286" s="223" t="s">
        <v>1222</v>
      </c>
      <c r="E2286" s="223" t="s">
        <v>21</v>
      </c>
      <c r="F2286" s="223" t="s">
        <v>1093</v>
      </c>
      <c r="G2286" s="223" t="s">
        <v>1229</v>
      </c>
    </row>
    <row r="2287" spans="1:7" x14ac:dyDescent="0.3">
      <c r="A2287" s="223">
        <v>2286</v>
      </c>
      <c r="B2287" s="223" t="s">
        <v>1169</v>
      </c>
      <c r="C2287" s="223" t="s">
        <v>1227</v>
      </c>
      <c r="D2287" s="223" t="s">
        <v>1222</v>
      </c>
      <c r="E2287" s="223" t="s">
        <v>21</v>
      </c>
      <c r="F2287" s="223" t="s">
        <v>27</v>
      </c>
      <c r="G2287" s="223" t="s">
        <v>1229</v>
      </c>
    </row>
    <row r="2288" spans="1:7" x14ac:dyDescent="0.3">
      <c r="A2288" s="223">
        <v>2287</v>
      </c>
      <c r="B2288" s="223" t="s">
        <v>1169</v>
      </c>
      <c r="C2288" s="223" t="s">
        <v>1227</v>
      </c>
      <c r="D2288" s="223" t="s">
        <v>1222</v>
      </c>
      <c r="E2288" s="223" t="s">
        <v>21</v>
      </c>
      <c r="F2288" s="223" t="s">
        <v>1096</v>
      </c>
      <c r="G2288" s="223" t="s">
        <v>1229</v>
      </c>
    </row>
    <row r="2289" spans="1:7" x14ac:dyDescent="0.3">
      <c r="A2289" s="223">
        <v>2288</v>
      </c>
      <c r="B2289" s="223" t="s">
        <v>1169</v>
      </c>
      <c r="C2289" s="223" t="s">
        <v>1227</v>
      </c>
      <c r="D2289" s="223" t="s">
        <v>1222</v>
      </c>
      <c r="E2289" s="223" t="s">
        <v>21</v>
      </c>
      <c r="F2289" s="223" t="s">
        <v>1090</v>
      </c>
      <c r="G2289" s="223" t="s">
        <v>1229</v>
      </c>
    </row>
    <row r="2290" spans="1:7" x14ac:dyDescent="0.3">
      <c r="A2290" s="223">
        <v>2289</v>
      </c>
      <c r="B2290" s="223" t="s">
        <v>1169</v>
      </c>
      <c r="C2290" s="223" t="s">
        <v>1227</v>
      </c>
      <c r="D2290" s="223" t="s">
        <v>1223</v>
      </c>
      <c r="E2290" s="223" t="s">
        <v>1087</v>
      </c>
      <c r="F2290" s="223" t="s">
        <v>1093</v>
      </c>
      <c r="G2290" s="223" t="s">
        <v>1229</v>
      </c>
    </row>
    <row r="2291" spans="1:7" x14ac:dyDescent="0.3">
      <c r="A2291" s="223">
        <v>2290</v>
      </c>
      <c r="B2291" s="223" t="s">
        <v>1169</v>
      </c>
      <c r="C2291" s="223" t="s">
        <v>1227</v>
      </c>
      <c r="D2291" s="223" t="s">
        <v>1223</v>
      </c>
      <c r="E2291" s="223" t="s">
        <v>1087</v>
      </c>
      <c r="F2291" s="223" t="s">
        <v>27</v>
      </c>
      <c r="G2291" s="223" t="s">
        <v>1229</v>
      </c>
    </row>
    <row r="2292" spans="1:7" x14ac:dyDescent="0.3">
      <c r="A2292" s="223">
        <v>2291</v>
      </c>
      <c r="B2292" s="223" t="s">
        <v>1169</v>
      </c>
      <c r="C2292" s="223" t="s">
        <v>1227</v>
      </c>
      <c r="D2292" s="223" t="s">
        <v>1223</v>
      </c>
      <c r="E2292" s="223" t="s">
        <v>1087</v>
      </c>
      <c r="F2292" s="223" t="s">
        <v>1096</v>
      </c>
      <c r="G2292" s="223" t="s">
        <v>1229</v>
      </c>
    </row>
    <row r="2293" spans="1:7" x14ac:dyDescent="0.3">
      <c r="A2293" s="223">
        <v>2292</v>
      </c>
      <c r="B2293" s="223" t="s">
        <v>1169</v>
      </c>
      <c r="C2293" s="223" t="s">
        <v>1227</v>
      </c>
      <c r="D2293" s="223" t="s">
        <v>1223</v>
      </c>
      <c r="E2293" s="223" t="s">
        <v>1087</v>
      </c>
      <c r="F2293" s="223" t="s">
        <v>1090</v>
      </c>
      <c r="G2293" s="223" t="s">
        <v>1179</v>
      </c>
    </row>
    <row r="2294" spans="1:7" x14ac:dyDescent="0.3">
      <c r="A2294" s="223">
        <v>2293</v>
      </c>
      <c r="B2294" s="223" t="s">
        <v>1169</v>
      </c>
      <c r="C2294" s="223" t="s">
        <v>1227</v>
      </c>
      <c r="D2294" s="223" t="s">
        <v>1223</v>
      </c>
      <c r="E2294" s="223" t="s">
        <v>21</v>
      </c>
      <c r="F2294" s="223" t="s">
        <v>1093</v>
      </c>
      <c r="G2294" s="223" t="s">
        <v>1229</v>
      </c>
    </row>
    <row r="2295" spans="1:7" x14ac:dyDescent="0.3">
      <c r="A2295" s="223">
        <v>2294</v>
      </c>
      <c r="B2295" s="223" t="s">
        <v>1169</v>
      </c>
      <c r="C2295" s="223" t="s">
        <v>1227</v>
      </c>
      <c r="D2295" s="223" t="s">
        <v>1223</v>
      </c>
      <c r="E2295" s="223" t="s">
        <v>21</v>
      </c>
      <c r="F2295" s="223" t="s">
        <v>27</v>
      </c>
      <c r="G2295" s="223" t="s">
        <v>1229</v>
      </c>
    </row>
    <row r="2296" spans="1:7" x14ac:dyDescent="0.3">
      <c r="A2296" s="223">
        <v>2295</v>
      </c>
      <c r="B2296" s="223" t="s">
        <v>1169</v>
      </c>
      <c r="C2296" s="223" t="s">
        <v>1227</v>
      </c>
      <c r="D2296" s="223" t="s">
        <v>1223</v>
      </c>
      <c r="E2296" s="223" t="s">
        <v>21</v>
      </c>
      <c r="F2296" s="223" t="s">
        <v>1096</v>
      </c>
      <c r="G2296" s="223" t="s">
        <v>1168</v>
      </c>
    </row>
    <row r="2297" spans="1:7" x14ac:dyDescent="0.3">
      <c r="A2297" s="223">
        <v>2296</v>
      </c>
      <c r="B2297" s="223" t="s">
        <v>1169</v>
      </c>
      <c r="C2297" s="223" t="s">
        <v>1227</v>
      </c>
      <c r="D2297" s="223" t="s">
        <v>1223</v>
      </c>
      <c r="E2297" s="223" t="s">
        <v>21</v>
      </c>
      <c r="F2297" s="223" t="s">
        <v>1090</v>
      </c>
      <c r="G2297" s="223" t="s">
        <v>1175</v>
      </c>
    </row>
    <row r="2298" spans="1:7" x14ac:dyDescent="0.3">
      <c r="A2298" s="223">
        <v>2297</v>
      </c>
      <c r="B2298" s="223" t="s">
        <v>1169</v>
      </c>
      <c r="C2298" s="223" t="s">
        <v>1227</v>
      </c>
      <c r="D2298" s="223" t="s">
        <v>12</v>
      </c>
      <c r="E2298" s="223" t="s">
        <v>1087</v>
      </c>
      <c r="F2298" s="223" t="s">
        <v>1093</v>
      </c>
      <c r="G2298" s="223" t="s">
        <v>1229</v>
      </c>
    </row>
    <row r="2299" spans="1:7" x14ac:dyDescent="0.3">
      <c r="A2299" s="223">
        <v>2298</v>
      </c>
      <c r="B2299" s="223" t="s">
        <v>1169</v>
      </c>
      <c r="C2299" s="223" t="s">
        <v>1227</v>
      </c>
      <c r="D2299" s="223" t="s">
        <v>12</v>
      </c>
      <c r="E2299" s="223" t="s">
        <v>1087</v>
      </c>
      <c r="F2299" s="223" t="s">
        <v>27</v>
      </c>
      <c r="G2299" s="223" t="s">
        <v>1229</v>
      </c>
    </row>
    <row r="2300" spans="1:7" x14ac:dyDescent="0.3">
      <c r="A2300" s="223">
        <v>2299</v>
      </c>
      <c r="B2300" s="223" t="s">
        <v>1169</v>
      </c>
      <c r="C2300" s="223" t="s">
        <v>1227</v>
      </c>
      <c r="D2300" s="223" t="s">
        <v>12</v>
      </c>
      <c r="E2300" s="223" t="s">
        <v>1087</v>
      </c>
      <c r="F2300" s="223" t="s">
        <v>1096</v>
      </c>
      <c r="G2300" s="223" t="s">
        <v>1229</v>
      </c>
    </row>
    <row r="2301" spans="1:7" x14ac:dyDescent="0.3">
      <c r="A2301" s="223">
        <v>2300</v>
      </c>
      <c r="B2301" s="223" t="s">
        <v>1169</v>
      </c>
      <c r="C2301" s="223" t="s">
        <v>1227</v>
      </c>
      <c r="D2301" s="223" t="s">
        <v>12</v>
      </c>
      <c r="E2301" s="223" t="s">
        <v>1087</v>
      </c>
      <c r="F2301" s="223" t="s">
        <v>1090</v>
      </c>
      <c r="G2301" s="223" t="s">
        <v>1179</v>
      </c>
    </row>
    <row r="2302" spans="1:7" x14ac:dyDescent="0.3">
      <c r="A2302" s="223">
        <v>2301</v>
      </c>
      <c r="B2302" s="223" t="s">
        <v>1169</v>
      </c>
      <c r="C2302" s="223" t="s">
        <v>1227</v>
      </c>
      <c r="D2302" s="223" t="s">
        <v>12</v>
      </c>
      <c r="E2302" s="223" t="s">
        <v>21</v>
      </c>
      <c r="F2302" s="223" t="s">
        <v>1093</v>
      </c>
      <c r="G2302" s="223" t="s">
        <v>1229</v>
      </c>
    </row>
    <row r="2303" spans="1:7" x14ac:dyDescent="0.3">
      <c r="A2303" s="223">
        <v>2302</v>
      </c>
      <c r="B2303" s="223" t="s">
        <v>1169</v>
      </c>
      <c r="C2303" s="223" t="s">
        <v>1227</v>
      </c>
      <c r="D2303" s="223" t="s">
        <v>12</v>
      </c>
      <c r="E2303" s="223" t="s">
        <v>21</v>
      </c>
      <c r="F2303" s="223" t="s">
        <v>27</v>
      </c>
      <c r="G2303" s="223" t="s">
        <v>1229</v>
      </c>
    </row>
    <row r="2304" spans="1:7" x14ac:dyDescent="0.3">
      <c r="A2304" s="223">
        <v>2303</v>
      </c>
      <c r="B2304" s="223" t="s">
        <v>1169</v>
      </c>
      <c r="C2304" s="223" t="s">
        <v>1227</v>
      </c>
      <c r="D2304" s="223" t="s">
        <v>12</v>
      </c>
      <c r="E2304" s="223" t="s">
        <v>21</v>
      </c>
      <c r="F2304" s="223" t="s">
        <v>1096</v>
      </c>
      <c r="G2304" s="223" t="s">
        <v>1168</v>
      </c>
    </row>
    <row r="2305" spans="1:7" x14ac:dyDescent="0.3">
      <c r="A2305" s="223">
        <v>2304</v>
      </c>
      <c r="B2305" s="223" t="s">
        <v>1169</v>
      </c>
      <c r="C2305" s="223" t="s">
        <v>1227</v>
      </c>
      <c r="D2305" s="223" t="s">
        <v>12</v>
      </c>
      <c r="E2305" s="223" t="s">
        <v>21</v>
      </c>
      <c r="F2305" s="223" t="s">
        <v>1090</v>
      </c>
      <c r="G2305" s="223" t="s">
        <v>1175</v>
      </c>
    </row>
    <row r="2306" spans="1:7" x14ac:dyDescent="0.3">
      <c r="A2306" s="223">
        <v>2305</v>
      </c>
      <c r="B2306" s="223" t="s">
        <v>1169</v>
      </c>
      <c r="C2306" s="223" t="s">
        <v>1228</v>
      </c>
      <c r="D2306" s="223" t="s">
        <v>1218</v>
      </c>
      <c r="E2306" s="223" t="s">
        <v>1087</v>
      </c>
      <c r="F2306" s="223" t="s">
        <v>1093</v>
      </c>
      <c r="G2306" s="223" t="s">
        <v>1229</v>
      </c>
    </row>
    <row r="2307" spans="1:7" x14ac:dyDescent="0.3">
      <c r="A2307" s="223">
        <v>2306</v>
      </c>
      <c r="B2307" s="223" t="s">
        <v>1169</v>
      </c>
      <c r="C2307" s="223" t="s">
        <v>1228</v>
      </c>
      <c r="D2307" s="223" t="s">
        <v>1218</v>
      </c>
      <c r="E2307" s="223" t="s">
        <v>1087</v>
      </c>
      <c r="F2307" s="223" t="s">
        <v>27</v>
      </c>
      <c r="G2307" s="223" t="s">
        <v>1229</v>
      </c>
    </row>
    <row r="2308" spans="1:7" x14ac:dyDescent="0.3">
      <c r="A2308" s="223">
        <v>2307</v>
      </c>
      <c r="B2308" s="223" t="s">
        <v>1169</v>
      </c>
      <c r="C2308" s="223" t="s">
        <v>1228</v>
      </c>
      <c r="D2308" s="223" t="s">
        <v>1218</v>
      </c>
      <c r="E2308" s="223" t="s">
        <v>1087</v>
      </c>
      <c r="F2308" s="223" t="s">
        <v>1096</v>
      </c>
      <c r="G2308" s="223" t="s">
        <v>1229</v>
      </c>
    </row>
    <row r="2309" spans="1:7" x14ac:dyDescent="0.3">
      <c r="A2309" s="223">
        <v>2308</v>
      </c>
      <c r="B2309" s="223" t="s">
        <v>1169</v>
      </c>
      <c r="C2309" s="223" t="s">
        <v>1228</v>
      </c>
      <c r="D2309" s="223" t="s">
        <v>1218</v>
      </c>
      <c r="E2309" s="223" t="s">
        <v>1087</v>
      </c>
      <c r="F2309" s="223" t="s">
        <v>1090</v>
      </c>
      <c r="G2309" s="223" t="s">
        <v>1229</v>
      </c>
    </row>
    <row r="2310" spans="1:7" x14ac:dyDescent="0.3">
      <c r="A2310" s="223">
        <v>2309</v>
      </c>
      <c r="B2310" s="223" t="s">
        <v>1169</v>
      </c>
      <c r="C2310" s="223" t="s">
        <v>1228</v>
      </c>
      <c r="D2310" s="223" t="s">
        <v>1218</v>
      </c>
      <c r="E2310" s="223" t="s">
        <v>21</v>
      </c>
      <c r="F2310" s="223" t="s">
        <v>1093</v>
      </c>
      <c r="G2310" s="223" t="s">
        <v>1229</v>
      </c>
    </row>
    <row r="2311" spans="1:7" x14ac:dyDescent="0.3">
      <c r="A2311" s="223">
        <v>2310</v>
      </c>
      <c r="B2311" s="223" t="s">
        <v>1169</v>
      </c>
      <c r="C2311" s="223" t="s">
        <v>1228</v>
      </c>
      <c r="D2311" s="223" t="s">
        <v>1218</v>
      </c>
      <c r="E2311" s="223" t="s">
        <v>21</v>
      </c>
      <c r="F2311" s="223" t="s">
        <v>27</v>
      </c>
      <c r="G2311" s="223" t="s">
        <v>1229</v>
      </c>
    </row>
    <row r="2312" spans="1:7" x14ac:dyDescent="0.3">
      <c r="A2312" s="223">
        <v>2311</v>
      </c>
      <c r="B2312" s="223" t="s">
        <v>1169</v>
      </c>
      <c r="C2312" s="223" t="s">
        <v>1228</v>
      </c>
      <c r="D2312" s="223" t="s">
        <v>1218</v>
      </c>
      <c r="E2312" s="223" t="s">
        <v>21</v>
      </c>
      <c r="F2312" s="223" t="s">
        <v>1096</v>
      </c>
      <c r="G2312" s="223" t="s">
        <v>1229</v>
      </c>
    </row>
    <row r="2313" spans="1:7" x14ac:dyDescent="0.3">
      <c r="A2313" s="223">
        <v>2312</v>
      </c>
      <c r="B2313" s="223" t="s">
        <v>1169</v>
      </c>
      <c r="C2313" s="223" t="s">
        <v>1228</v>
      </c>
      <c r="D2313" s="223" t="s">
        <v>1218</v>
      </c>
      <c r="E2313" s="223" t="s">
        <v>21</v>
      </c>
      <c r="F2313" s="223" t="s">
        <v>1090</v>
      </c>
      <c r="G2313" s="223" t="s">
        <v>1229</v>
      </c>
    </row>
    <row r="2314" spans="1:7" x14ac:dyDescent="0.3">
      <c r="A2314" s="223">
        <v>2313</v>
      </c>
      <c r="B2314" s="223" t="s">
        <v>1169</v>
      </c>
      <c r="C2314" s="223" t="s">
        <v>1228</v>
      </c>
      <c r="D2314" s="223" t="s">
        <v>1220</v>
      </c>
      <c r="E2314" s="223" t="s">
        <v>1087</v>
      </c>
      <c r="F2314" s="223" t="s">
        <v>1093</v>
      </c>
      <c r="G2314" s="223" t="s">
        <v>1229</v>
      </c>
    </row>
    <row r="2315" spans="1:7" x14ac:dyDescent="0.3">
      <c r="A2315" s="223">
        <v>2314</v>
      </c>
      <c r="B2315" s="223" t="s">
        <v>1169</v>
      </c>
      <c r="C2315" s="223" t="s">
        <v>1228</v>
      </c>
      <c r="D2315" s="223" t="s">
        <v>1220</v>
      </c>
      <c r="E2315" s="223" t="s">
        <v>1087</v>
      </c>
      <c r="F2315" s="223" t="s">
        <v>27</v>
      </c>
      <c r="G2315" s="223" t="s">
        <v>1229</v>
      </c>
    </row>
    <row r="2316" spans="1:7" x14ac:dyDescent="0.3">
      <c r="A2316" s="223">
        <v>2315</v>
      </c>
      <c r="B2316" s="223" t="s">
        <v>1169</v>
      </c>
      <c r="C2316" s="223" t="s">
        <v>1228</v>
      </c>
      <c r="D2316" s="223" t="s">
        <v>1220</v>
      </c>
      <c r="E2316" s="223" t="s">
        <v>1087</v>
      </c>
      <c r="F2316" s="223" t="s">
        <v>1096</v>
      </c>
      <c r="G2316" s="223" t="s">
        <v>1229</v>
      </c>
    </row>
    <row r="2317" spans="1:7" x14ac:dyDescent="0.3">
      <c r="A2317" s="223">
        <v>2316</v>
      </c>
      <c r="B2317" s="223" t="s">
        <v>1169</v>
      </c>
      <c r="C2317" s="223" t="s">
        <v>1228</v>
      </c>
      <c r="D2317" s="223" t="s">
        <v>1220</v>
      </c>
      <c r="E2317" s="223" t="s">
        <v>1087</v>
      </c>
      <c r="F2317" s="223" t="s">
        <v>1090</v>
      </c>
      <c r="G2317" s="223" t="s">
        <v>1229</v>
      </c>
    </row>
    <row r="2318" spans="1:7" x14ac:dyDescent="0.3">
      <c r="A2318" s="223">
        <v>2317</v>
      </c>
      <c r="B2318" s="223" t="s">
        <v>1169</v>
      </c>
      <c r="C2318" s="223" t="s">
        <v>1228</v>
      </c>
      <c r="D2318" s="223" t="s">
        <v>1220</v>
      </c>
      <c r="E2318" s="223" t="s">
        <v>21</v>
      </c>
      <c r="F2318" s="223" t="s">
        <v>1093</v>
      </c>
      <c r="G2318" s="223" t="s">
        <v>1229</v>
      </c>
    </row>
    <row r="2319" spans="1:7" x14ac:dyDescent="0.3">
      <c r="A2319" s="223">
        <v>2318</v>
      </c>
      <c r="B2319" s="223" t="s">
        <v>1169</v>
      </c>
      <c r="C2319" s="223" t="s">
        <v>1228</v>
      </c>
      <c r="D2319" s="223" t="s">
        <v>1220</v>
      </c>
      <c r="E2319" s="223" t="s">
        <v>21</v>
      </c>
      <c r="F2319" s="223" t="s">
        <v>27</v>
      </c>
      <c r="G2319" s="223" t="s">
        <v>1229</v>
      </c>
    </row>
    <row r="2320" spans="1:7" x14ac:dyDescent="0.3">
      <c r="A2320" s="223">
        <v>2319</v>
      </c>
      <c r="B2320" s="223" t="s">
        <v>1169</v>
      </c>
      <c r="C2320" s="223" t="s">
        <v>1228</v>
      </c>
      <c r="D2320" s="223" t="s">
        <v>1220</v>
      </c>
      <c r="E2320" s="223" t="s">
        <v>21</v>
      </c>
      <c r="F2320" s="223" t="s">
        <v>1096</v>
      </c>
      <c r="G2320" s="223" t="s">
        <v>1229</v>
      </c>
    </row>
    <row r="2321" spans="1:7" x14ac:dyDescent="0.3">
      <c r="A2321" s="223">
        <v>2320</v>
      </c>
      <c r="B2321" s="223" t="s">
        <v>1169</v>
      </c>
      <c r="C2321" s="223" t="s">
        <v>1228</v>
      </c>
      <c r="D2321" s="223" t="s">
        <v>1220</v>
      </c>
      <c r="E2321" s="223" t="s">
        <v>21</v>
      </c>
      <c r="F2321" s="223" t="s">
        <v>1090</v>
      </c>
      <c r="G2321" s="223" t="s">
        <v>1229</v>
      </c>
    </row>
    <row r="2322" spans="1:7" x14ac:dyDescent="0.3">
      <c r="A2322" s="223">
        <v>2321</v>
      </c>
      <c r="B2322" s="223" t="s">
        <v>1169</v>
      </c>
      <c r="C2322" s="223" t="s">
        <v>1228</v>
      </c>
      <c r="D2322" s="223" t="s">
        <v>1221</v>
      </c>
      <c r="E2322" s="223" t="s">
        <v>1087</v>
      </c>
      <c r="F2322" s="223" t="s">
        <v>1093</v>
      </c>
      <c r="G2322" s="223" t="s">
        <v>1229</v>
      </c>
    </row>
    <row r="2323" spans="1:7" x14ac:dyDescent="0.3">
      <c r="A2323" s="223">
        <v>2322</v>
      </c>
      <c r="B2323" s="223" t="s">
        <v>1169</v>
      </c>
      <c r="C2323" s="223" t="s">
        <v>1228</v>
      </c>
      <c r="D2323" s="223" t="s">
        <v>1221</v>
      </c>
      <c r="E2323" s="223" t="s">
        <v>1087</v>
      </c>
      <c r="F2323" s="223" t="s">
        <v>27</v>
      </c>
      <c r="G2323" s="223" t="s">
        <v>1229</v>
      </c>
    </row>
    <row r="2324" spans="1:7" x14ac:dyDescent="0.3">
      <c r="A2324" s="223">
        <v>2323</v>
      </c>
      <c r="B2324" s="223" t="s">
        <v>1169</v>
      </c>
      <c r="C2324" s="223" t="s">
        <v>1228</v>
      </c>
      <c r="D2324" s="223" t="s">
        <v>1221</v>
      </c>
      <c r="E2324" s="223" t="s">
        <v>1087</v>
      </c>
      <c r="F2324" s="223" t="s">
        <v>1096</v>
      </c>
      <c r="G2324" s="223" t="s">
        <v>1229</v>
      </c>
    </row>
    <row r="2325" spans="1:7" x14ac:dyDescent="0.3">
      <c r="A2325" s="223">
        <v>2324</v>
      </c>
      <c r="B2325" s="223" t="s">
        <v>1169</v>
      </c>
      <c r="C2325" s="223" t="s">
        <v>1228</v>
      </c>
      <c r="D2325" s="223" t="s">
        <v>1221</v>
      </c>
      <c r="E2325" s="223" t="s">
        <v>1087</v>
      </c>
      <c r="F2325" s="223" t="s">
        <v>1090</v>
      </c>
      <c r="G2325" s="223" t="s">
        <v>1229</v>
      </c>
    </row>
    <row r="2326" spans="1:7" x14ac:dyDescent="0.3">
      <c r="A2326" s="223">
        <v>2325</v>
      </c>
      <c r="B2326" s="223" t="s">
        <v>1169</v>
      </c>
      <c r="C2326" s="223" t="s">
        <v>1228</v>
      </c>
      <c r="D2326" s="223" t="s">
        <v>1221</v>
      </c>
      <c r="E2326" s="223" t="s">
        <v>21</v>
      </c>
      <c r="F2326" s="223" t="s">
        <v>1093</v>
      </c>
      <c r="G2326" s="223" t="s">
        <v>1229</v>
      </c>
    </row>
    <row r="2327" spans="1:7" x14ac:dyDescent="0.3">
      <c r="A2327" s="223">
        <v>2326</v>
      </c>
      <c r="B2327" s="223" t="s">
        <v>1169</v>
      </c>
      <c r="C2327" s="223" t="s">
        <v>1228</v>
      </c>
      <c r="D2327" s="223" t="s">
        <v>1221</v>
      </c>
      <c r="E2327" s="223" t="s">
        <v>21</v>
      </c>
      <c r="F2327" s="223" t="s">
        <v>27</v>
      </c>
      <c r="G2327" s="223" t="s">
        <v>1229</v>
      </c>
    </row>
    <row r="2328" spans="1:7" x14ac:dyDescent="0.3">
      <c r="A2328" s="223">
        <v>2327</v>
      </c>
      <c r="B2328" s="223" t="s">
        <v>1169</v>
      </c>
      <c r="C2328" s="223" t="s">
        <v>1228</v>
      </c>
      <c r="D2328" s="223" t="s">
        <v>1221</v>
      </c>
      <c r="E2328" s="223" t="s">
        <v>21</v>
      </c>
      <c r="F2328" s="223" t="s">
        <v>1096</v>
      </c>
      <c r="G2328" s="223" t="s">
        <v>1229</v>
      </c>
    </row>
    <row r="2329" spans="1:7" x14ac:dyDescent="0.3">
      <c r="A2329" s="223">
        <v>2328</v>
      </c>
      <c r="B2329" s="223" t="s">
        <v>1169</v>
      </c>
      <c r="C2329" s="223" t="s">
        <v>1228</v>
      </c>
      <c r="D2329" s="223" t="s">
        <v>1221</v>
      </c>
      <c r="E2329" s="223" t="s">
        <v>21</v>
      </c>
      <c r="F2329" s="223" t="s">
        <v>1090</v>
      </c>
      <c r="G2329" s="223" t="s">
        <v>1229</v>
      </c>
    </row>
    <row r="2330" spans="1:7" x14ac:dyDescent="0.3">
      <c r="A2330" s="223">
        <v>2329</v>
      </c>
      <c r="B2330" s="223" t="s">
        <v>1169</v>
      </c>
      <c r="C2330" s="223" t="s">
        <v>1228</v>
      </c>
      <c r="D2330" s="223" t="s">
        <v>1222</v>
      </c>
      <c r="E2330" s="223" t="s">
        <v>1087</v>
      </c>
      <c r="F2330" s="223" t="s">
        <v>1093</v>
      </c>
      <c r="G2330" s="223" t="s">
        <v>1229</v>
      </c>
    </row>
    <row r="2331" spans="1:7" x14ac:dyDescent="0.3">
      <c r="A2331" s="223">
        <v>2330</v>
      </c>
      <c r="B2331" s="223" t="s">
        <v>1169</v>
      </c>
      <c r="C2331" s="223" t="s">
        <v>1228</v>
      </c>
      <c r="D2331" s="223" t="s">
        <v>1222</v>
      </c>
      <c r="E2331" s="223" t="s">
        <v>1087</v>
      </c>
      <c r="F2331" s="223" t="s">
        <v>27</v>
      </c>
      <c r="G2331" s="223" t="s">
        <v>1229</v>
      </c>
    </row>
    <row r="2332" spans="1:7" x14ac:dyDescent="0.3">
      <c r="A2332" s="223">
        <v>2331</v>
      </c>
      <c r="B2332" s="223" t="s">
        <v>1169</v>
      </c>
      <c r="C2332" s="223" t="s">
        <v>1228</v>
      </c>
      <c r="D2332" s="223" t="s">
        <v>1222</v>
      </c>
      <c r="E2332" s="223" t="s">
        <v>1087</v>
      </c>
      <c r="F2332" s="223" t="s">
        <v>1096</v>
      </c>
      <c r="G2332" s="223" t="s">
        <v>1229</v>
      </c>
    </row>
    <row r="2333" spans="1:7" x14ac:dyDescent="0.3">
      <c r="A2333" s="223">
        <v>2332</v>
      </c>
      <c r="B2333" s="223" t="s">
        <v>1169</v>
      </c>
      <c r="C2333" s="223" t="s">
        <v>1228</v>
      </c>
      <c r="D2333" s="223" t="s">
        <v>1222</v>
      </c>
      <c r="E2333" s="223" t="s">
        <v>1087</v>
      </c>
      <c r="F2333" s="223" t="s">
        <v>1090</v>
      </c>
      <c r="G2333" s="223" t="s">
        <v>1229</v>
      </c>
    </row>
    <row r="2334" spans="1:7" x14ac:dyDescent="0.3">
      <c r="A2334" s="223">
        <v>2333</v>
      </c>
      <c r="B2334" s="223" t="s">
        <v>1169</v>
      </c>
      <c r="C2334" s="223" t="s">
        <v>1228</v>
      </c>
      <c r="D2334" s="223" t="s">
        <v>1222</v>
      </c>
      <c r="E2334" s="223" t="s">
        <v>21</v>
      </c>
      <c r="F2334" s="223" t="s">
        <v>1093</v>
      </c>
      <c r="G2334" s="223" t="s">
        <v>1229</v>
      </c>
    </row>
    <row r="2335" spans="1:7" x14ac:dyDescent="0.3">
      <c r="A2335" s="223">
        <v>2334</v>
      </c>
      <c r="B2335" s="223" t="s">
        <v>1169</v>
      </c>
      <c r="C2335" s="223" t="s">
        <v>1228</v>
      </c>
      <c r="D2335" s="223" t="s">
        <v>1222</v>
      </c>
      <c r="E2335" s="223" t="s">
        <v>21</v>
      </c>
      <c r="F2335" s="223" t="s">
        <v>27</v>
      </c>
      <c r="G2335" s="223" t="s">
        <v>1229</v>
      </c>
    </row>
    <row r="2336" spans="1:7" x14ac:dyDescent="0.3">
      <c r="A2336" s="223">
        <v>2335</v>
      </c>
      <c r="B2336" s="223" t="s">
        <v>1169</v>
      </c>
      <c r="C2336" s="223" t="s">
        <v>1228</v>
      </c>
      <c r="D2336" s="223" t="s">
        <v>1222</v>
      </c>
      <c r="E2336" s="223" t="s">
        <v>21</v>
      </c>
      <c r="F2336" s="223" t="s">
        <v>1096</v>
      </c>
      <c r="G2336" s="223" t="s">
        <v>1229</v>
      </c>
    </row>
    <row r="2337" spans="1:7" x14ac:dyDescent="0.3">
      <c r="A2337" s="223">
        <v>2336</v>
      </c>
      <c r="B2337" s="223" t="s">
        <v>1169</v>
      </c>
      <c r="C2337" s="223" t="s">
        <v>1228</v>
      </c>
      <c r="D2337" s="223" t="s">
        <v>1222</v>
      </c>
      <c r="E2337" s="223" t="s">
        <v>21</v>
      </c>
      <c r="F2337" s="223" t="s">
        <v>1090</v>
      </c>
      <c r="G2337" s="223" t="s">
        <v>1229</v>
      </c>
    </row>
    <row r="2338" spans="1:7" x14ac:dyDescent="0.3">
      <c r="A2338" s="223">
        <v>2337</v>
      </c>
      <c r="B2338" s="223" t="s">
        <v>1169</v>
      </c>
      <c r="C2338" s="223" t="s">
        <v>1228</v>
      </c>
      <c r="D2338" s="223" t="s">
        <v>1223</v>
      </c>
      <c r="E2338" s="223" t="s">
        <v>1087</v>
      </c>
      <c r="F2338" s="223" t="s">
        <v>1093</v>
      </c>
      <c r="G2338" s="223" t="s">
        <v>1229</v>
      </c>
    </row>
    <row r="2339" spans="1:7" x14ac:dyDescent="0.3">
      <c r="A2339" s="223">
        <v>2338</v>
      </c>
      <c r="B2339" s="223" t="s">
        <v>1169</v>
      </c>
      <c r="C2339" s="223" t="s">
        <v>1228</v>
      </c>
      <c r="D2339" s="223" t="s">
        <v>1223</v>
      </c>
      <c r="E2339" s="223" t="s">
        <v>1087</v>
      </c>
      <c r="F2339" s="223" t="s">
        <v>27</v>
      </c>
      <c r="G2339" s="223" t="s">
        <v>1229</v>
      </c>
    </row>
    <row r="2340" spans="1:7" x14ac:dyDescent="0.3">
      <c r="A2340" s="223">
        <v>2339</v>
      </c>
      <c r="B2340" s="223" t="s">
        <v>1169</v>
      </c>
      <c r="C2340" s="223" t="s">
        <v>1228</v>
      </c>
      <c r="D2340" s="223" t="s">
        <v>1223</v>
      </c>
      <c r="E2340" s="223" t="s">
        <v>1087</v>
      </c>
      <c r="F2340" s="223" t="s">
        <v>1096</v>
      </c>
      <c r="G2340" s="223" t="s">
        <v>1229</v>
      </c>
    </row>
    <row r="2341" spans="1:7" x14ac:dyDescent="0.3">
      <c r="A2341" s="223">
        <v>2340</v>
      </c>
      <c r="B2341" s="223" t="s">
        <v>1169</v>
      </c>
      <c r="C2341" s="223" t="s">
        <v>1228</v>
      </c>
      <c r="D2341" s="223" t="s">
        <v>1223</v>
      </c>
      <c r="E2341" s="223" t="s">
        <v>1087</v>
      </c>
      <c r="F2341" s="223" t="s">
        <v>1090</v>
      </c>
      <c r="G2341" s="223" t="s">
        <v>1179</v>
      </c>
    </row>
    <row r="2342" spans="1:7" x14ac:dyDescent="0.3">
      <c r="A2342" s="223">
        <v>2341</v>
      </c>
      <c r="B2342" s="223" t="s">
        <v>1169</v>
      </c>
      <c r="C2342" s="223" t="s">
        <v>1228</v>
      </c>
      <c r="D2342" s="223" t="s">
        <v>1223</v>
      </c>
      <c r="E2342" s="223" t="s">
        <v>21</v>
      </c>
      <c r="F2342" s="223" t="s">
        <v>1093</v>
      </c>
      <c r="G2342" s="223" t="s">
        <v>1229</v>
      </c>
    </row>
    <row r="2343" spans="1:7" x14ac:dyDescent="0.3">
      <c r="A2343" s="223">
        <v>2342</v>
      </c>
      <c r="B2343" s="223" t="s">
        <v>1169</v>
      </c>
      <c r="C2343" s="223" t="s">
        <v>1228</v>
      </c>
      <c r="D2343" s="223" t="s">
        <v>1223</v>
      </c>
      <c r="E2343" s="223" t="s">
        <v>21</v>
      </c>
      <c r="F2343" s="223" t="s">
        <v>27</v>
      </c>
      <c r="G2343" s="223" t="s">
        <v>1229</v>
      </c>
    </row>
    <row r="2344" spans="1:7" x14ac:dyDescent="0.3">
      <c r="A2344" s="223">
        <v>2343</v>
      </c>
      <c r="B2344" s="223" t="s">
        <v>1169</v>
      </c>
      <c r="C2344" s="223" t="s">
        <v>1228</v>
      </c>
      <c r="D2344" s="223" t="s">
        <v>1223</v>
      </c>
      <c r="E2344" s="223" t="s">
        <v>21</v>
      </c>
      <c r="F2344" s="223" t="s">
        <v>1096</v>
      </c>
      <c r="G2344" s="223" t="s">
        <v>1168</v>
      </c>
    </row>
    <row r="2345" spans="1:7" x14ac:dyDescent="0.3">
      <c r="A2345" s="223">
        <v>2344</v>
      </c>
      <c r="B2345" s="223" t="s">
        <v>1169</v>
      </c>
      <c r="C2345" s="223" t="s">
        <v>1228</v>
      </c>
      <c r="D2345" s="223" t="s">
        <v>1223</v>
      </c>
      <c r="E2345" s="223" t="s">
        <v>21</v>
      </c>
      <c r="F2345" s="223" t="s">
        <v>1090</v>
      </c>
      <c r="G2345" s="223" t="s">
        <v>1175</v>
      </c>
    </row>
    <row r="2346" spans="1:7" x14ac:dyDescent="0.3">
      <c r="A2346" s="223">
        <v>2345</v>
      </c>
      <c r="B2346" s="223" t="s">
        <v>1169</v>
      </c>
      <c r="C2346" s="223" t="s">
        <v>1228</v>
      </c>
      <c r="D2346" s="223" t="s">
        <v>12</v>
      </c>
      <c r="E2346" s="223" t="s">
        <v>1087</v>
      </c>
      <c r="F2346" s="223" t="s">
        <v>1093</v>
      </c>
      <c r="G2346" s="223" t="s">
        <v>1229</v>
      </c>
    </row>
    <row r="2347" spans="1:7" x14ac:dyDescent="0.3">
      <c r="A2347" s="223">
        <v>2346</v>
      </c>
      <c r="B2347" s="223" t="s">
        <v>1169</v>
      </c>
      <c r="C2347" s="223" t="s">
        <v>1228</v>
      </c>
      <c r="D2347" s="223" t="s">
        <v>12</v>
      </c>
      <c r="E2347" s="223" t="s">
        <v>1087</v>
      </c>
      <c r="F2347" s="223" t="s">
        <v>27</v>
      </c>
      <c r="G2347" s="223" t="s">
        <v>1229</v>
      </c>
    </row>
    <row r="2348" spans="1:7" x14ac:dyDescent="0.3">
      <c r="A2348" s="223">
        <v>2347</v>
      </c>
      <c r="B2348" s="223" t="s">
        <v>1169</v>
      </c>
      <c r="C2348" s="223" t="s">
        <v>1228</v>
      </c>
      <c r="D2348" s="223" t="s">
        <v>12</v>
      </c>
      <c r="E2348" s="223" t="s">
        <v>1087</v>
      </c>
      <c r="F2348" s="223" t="s">
        <v>1096</v>
      </c>
      <c r="G2348" s="223" t="s">
        <v>1229</v>
      </c>
    </row>
    <row r="2349" spans="1:7" x14ac:dyDescent="0.3">
      <c r="A2349" s="223">
        <v>2348</v>
      </c>
      <c r="B2349" s="223" t="s">
        <v>1169</v>
      </c>
      <c r="C2349" s="223" t="s">
        <v>1228</v>
      </c>
      <c r="D2349" s="223" t="s">
        <v>12</v>
      </c>
      <c r="E2349" s="223" t="s">
        <v>1087</v>
      </c>
      <c r="F2349" s="223" t="s">
        <v>1090</v>
      </c>
      <c r="G2349" s="223" t="s">
        <v>1179</v>
      </c>
    </row>
    <row r="2350" spans="1:7" x14ac:dyDescent="0.3">
      <c r="A2350" s="223">
        <v>2349</v>
      </c>
      <c r="B2350" s="223" t="s">
        <v>1169</v>
      </c>
      <c r="C2350" s="223" t="s">
        <v>1228</v>
      </c>
      <c r="D2350" s="223" t="s">
        <v>12</v>
      </c>
      <c r="E2350" s="223" t="s">
        <v>21</v>
      </c>
      <c r="F2350" s="223" t="s">
        <v>1093</v>
      </c>
      <c r="G2350" s="223" t="s">
        <v>1229</v>
      </c>
    </row>
    <row r="2351" spans="1:7" x14ac:dyDescent="0.3">
      <c r="A2351" s="223">
        <v>2350</v>
      </c>
      <c r="B2351" s="223" t="s">
        <v>1169</v>
      </c>
      <c r="C2351" s="223" t="s">
        <v>1228</v>
      </c>
      <c r="D2351" s="223" t="s">
        <v>12</v>
      </c>
      <c r="E2351" s="223" t="s">
        <v>21</v>
      </c>
      <c r="F2351" s="223" t="s">
        <v>27</v>
      </c>
      <c r="G2351" s="223" t="s">
        <v>1229</v>
      </c>
    </row>
    <row r="2352" spans="1:7" x14ac:dyDescent="0.3">
      <c r="A2352" s="223">
        <v>2351</v>
      </c>
      <c r="B2352" s="223" t="s">
        <v>1169</v>
      </c>
      <c r="C2352" s="223" t="s">
        <v>1228</v>
      </c>
      <c r="D2352" s="223" t="s">
        <v>12</v>
      </c>
      <c r="E2352" s="223" t="s">
        <v>21</v>
      </c>
      <c r="F2352" s="223" t="s">
        <v>1096</v>
      </c>
      <c r="G2352" s="223" t="s">
        <v>1168</v>
      </c>
    </row>
    <row r="2353" spans="1:7" x14ac:dyDescent="0.3">
      <c r="A2353" s="223">
        <v>2352</v>
      </c>
      <c r="B2353" s="223" t="s">
        <v>1169</v>
      </c>
      <c r="C2353" s="223" t="s">
        <v>1228</v>
      </c>
      <c r="D2353" s="223" t="s">
        <v>12</v>
      </c>
      <c r="E2353" s="223" t="s">
        <v>21</v>
      </c>
      <c r="F2353" s="223" t="s">
        <v>1090</v>
      </c>
      <c r="G2353" s="223" t="s">
        <v>1175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20B06F4BCDA41AFBE33E773D638EE" ma:contentTypeVersion="3" ma:contentTypeDescription="Create a new document." ma:contentTypeScope="" ma:versionID="596aeb023930e99e2b42f6d0b8c14bf8">
  <xsd:schema xmlns:xsd="http://www.w3.org/2001/XMLSchema" xmlns:xs="http://www.w3.org/2001/XMLSchema" xmlns:p="http://schemas.microsoft.com/office/2006/metadata/properties" xmlns:ns2="b85d24b8-6b8d-4322-8207-27c172560fb5" targetNamespace="http://schemas.microsoft.com/office/2006/metadata/properties" ma:root="true" ma:fieldsID="e95285411b75c0c3b5c720d0c168220d" ns2:_="">
    <xsd:import namespace="b85d24b8-6b8d-4322-8207-27c172560f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d24b8-6b8d-4322-8207-27c172560f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4BE8E-9D31-4A4A-8A42-42CDC838C142}">
  <ds:schemaRefs>
    <ds:schemaRef ds:uri="http://purl.org/dc/terms/"/>
    <ds:schemaRef ds:uri="http://schemas.microsoft.com/office/infopath/2007/PartnerControls"/>
    <ds:schemaRef ds:uri="http://www.w3.org/XML/1998/namespace"/>
    <ds:schemaRef ds:uri="b85d24b8-6b8d-4322-8207-27c172560fb5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99E6B02-0AFA-40AD-8143-4EE5D7C566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5d24b8-6b8d-4322-8207-27c172560f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66317A-B15F-4310-B6A2-DD16637808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33</vt:i4>
      </vt:variant>
    </vt:vector>
  </HeadingPairs>
  <TitlesOfParts>
    <vt:vector size="43" baseType="lpstr">
      <vt:lpstr>A_작성 Instruction</vt:lpstr>
      <vt:lpstr>B_ET 기본정보</vt:lpstr>
      <vt:lpstr>C_ET 구성원 정보</vt:lpstr>
      <vt:lpstr>D_2606 budget template</vt:lpstr>
      <vt:lpstr>F_표준감사시간</vt:lpstr>
      <vt:lpstr>E_예산관리단위</vt:lpstr>
      <vt:lpstr>DB_rVal</vt:lpstr>
      <vt:lpstr>DB_cList</vt:lpstr>
      <vt:lpstr>DB_tStat</vt:lpstr>
      <vt:lpstr>DB_tMap</vt:lpstr>
      <vt:lpstr>'D_2606 budget template'!_FilterDatabase</vt:lpstr>
      <vt:lpstr>List_FS_IT감사RA</vt:lpstr>
      <vt:lpstr>List_FS_KICS</vt:lpstr>
      <vt:lpstr>List_FS_계획단계</vt:lpstr>
      <vt:lpstr>List_FS_내부통제</vt:lpstr>
      <vt:lpstr>List_FS_대분류</vt:lpstr>
      <vt:lpstr>List_FS_부채및자본</vt:lpstr>
      <vt:lpstr>List_FS_분반기검토</vt:lpstr>
      <vt:lpstr>List_FS_수익비용</vt:lpstr>
      <vt:lpstr>List_FS_연결</vt:lpstr>
      <vt:lpstr>List_FS_자산</vt:lpstr>
      <vt:lpstr>List_FS_재무제표수준위험</vt:lpstr>
      <vt:lpstr>List_FS_종결단계</vt:lpstr>
      <vt:lpstr>List_IT감사RA</vt:lpstr>
      <vt:lpstr>List_Members</vt:lpstr>
      <vt:lpstr>List_계획단계</vt:lpstr>
      <vt:lpstr>List_내부통제</vt:lpstr>
      <vt:lpstr>List_대분류</vt:lpstr>
      <vt:lpstr>List_부채및자본</vt:lpstr>
      <vt:lpstr>List_분반기검토</vt:lpstr>
      <vt:lpstr>List_수익비용</vt:lpstr>
      <vt:lpstr>List_업무개시연월</vt:lpstr>
      <vt:lpstr>List_연결</vt:lpstr>
      <vt:lpstr>List_자산</vt:lpstr>
      <vt:lpstr>List_재무제표수준위험</vt:lpstr>
      <vt:lpstr>List_종결단계</vt:lpstr>
      <vt:lpstr>Range_Header_1to12</vt:lpstr>
      <vt:lpstr>Range_Members</vt:lpstr>
      <vt:lpstr>Range_TblBudgetAll</vt:lpstr>
      <vt:lpstr>Range_Template상단</vt:lpstr>
      <vt:lpstr>Range_기본정보1</vt:lpstr>
      <vt:lpstr>Range_기본정보2</vt:lpstr>
      <vt:lpstr>Range_기본정보3</vt:lpstr>
    </vt:vector>
  </TitlesOfParts>
  <Manager/>
  <Company>PricewaterhouseCoopers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Jeoungeun Park (KR - ASR)</dc:creator>
  <cp:keywords/>
  <dc:description/>
  <cp:lastModifiedBy>Hee-Jeong Park (KR - ASR)</cp:lastModifiedBy>
  <cp:revision/>
  <dcterms:created xsi:type="dcterms:W3CDTF">2025-07-23T08:55:59Z</dcterms:created>
  <dcterms:modified xsi:type="dcterms:W3CDTF">2026-03-18T07:58:02Z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0x01010056220B06F4BCDA41AFBE33E773D638EE</vt:lpwstr>
  </property>
</Properties>
</file>